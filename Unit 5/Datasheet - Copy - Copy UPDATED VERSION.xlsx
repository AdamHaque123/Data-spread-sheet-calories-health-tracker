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jcsfc-my.sharepoint.com/personal/d16741_jcc_ac_uk/Documents/Unit 5/"/>
    </mc:Choice>
  </mc:AlternateContent>
  <xr:revisionPtr revIDLastSave="4" documentId="8_{0F81FFFF-63BF-426B-A962-ED8222BCAF0D}" xr6:coauthVersionLast="47" xr6:coauthVersionMax="47" xr10:uidLastSave="{991B76DC-D364-4D21-8367-387E3963D6B9}"/>
  <bookViews>
    <workbookView xWindow="-120" yWindow="-120" windowWidth="29040" windowHeight="15720" firstSheet="2" activeTab="2" xr2:uid="{ED72D031-D89C-4801-8B1D-AA306862C0E8}"/>
  </bookViews>
  <sheets>
    <sheet name="Datasheet" sheetId="1" r:id="rId1"/>
    <sheet name="Start menu " sheetId="2" r:id="rId2"/>
    <sheet name="Week1" sheetId="3" r:id="rId3"/>
    <sheet name="Week2" sheetId="4" r:id="rId4"/>
    <sheet name="Week3" sheetId="5" r:id="rId5"/>
    <sheet name="Week4" sheetId="6" r:id="rId6"/>
    <sheet name="Week 5" sheetId="8" r:id="rId7"/>
    <sheet name="Progress Week" sheetId="10" r:id="rId8"/>
  </sheets>
  <definedNames>
    <definedName name="BMIWeek1">Week1!$F$72</definedName>
    <definedName name="BMIWeek2">Week2!$F$72</definedName>
    <definedName name="BMIweek3">Week3!$F$72</definedName>
    <definedName name="BMIweek4">Week4!$F$72</definedName>
    <definedName name="BMIweek5">'Week 5'!$F$72</definedName>
    <definedName name="BREAKFAST">Datasheet!$A$12:$A$16</definedName>
    <definedName name="BREAKFASTTABLE">Datasheet!$A$12:$B$16</definedName>
    <definedName name="DINNER">Datasheet!$A$24:$A$28</definedName>
    <definedName name="DINNERTABLE">Datasheet!$A$24:$B$28</definedName>
    <definedName name="EXERCISES">Datasheet!$E$13:$E$21</definedName>
    <definedName name="HeightMeters">'Start menu '!$E$14</definedName>
    <definedName name="LUNCH">Datasheet!$A$18:$A$22</definedName>
    <definedName name="LUNCHTABLE">Datasheet!$A$18:$B$22</definedName>
    <definedName name="METVALUE">Datasheet!$E$13:$F$21</definedName>
    <definedName name="Week1endweight">Week1!$F$68</definedName>
    <definedName name="Week2endweight">Week2!$F$68</definedName>
    <definedName name="Week3endweight">Week3!$F$68</definedName>
    <definedName name="Week4endweight">Week4!$F$68</definedName>
    <definedName name="Week5endweight">'Week 5'!$F$68</definedName>
    <definedName name="weight">'Start menu '!$G$14</definedName>
    <definedName name="Weight1KG">Week1!$F$64</definedName>
    <definedName name="Weight2Kg">Week2!$F$64</definedName>
    <definedName name="Weight3kg">Week3!$F$64</definedName>
    <definedName name="Weight4kg">Week4!$F$64</definedName>
    <definedName name="Weight5kg">'Week 5'!$F$64</definedName>
    <definedName name="weightKG0">'Start menu '!$E$15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0" l="1"/>
  <c r="L12" i="10"/>
  <c r="L11" i="10"/>
  <c r="L10" i="10"/>
  <c r="L9" i="10"/>
  <c r="F72" i="5"/>
  <c r="AJ22" i="3"/>
  <c r="AN22" i="3" s="1"/>
  <c r="AP22" i="3" s="1"/>
  <c r="AJ28" i="3"/>
  <c r="AN28" i="3" s="1"/>
  <c r="AP28" i="3" s="1"/>
  <c r="Q13" i="3"/>
  <c r="D39" i="3" s="1"/>
  <c r="Q22" i="3"/>
  <c r="F72" i="3"/>
  <c r="B8" i="10"/>
  <c r="F72" i="8"/>
  <c r="EX35" i="8"/>
  <c r="DY35" i="8"/>
  <c r="FE28" i="8"/>
  <c r="FI28" i="8" s="1"/>
  <c r="FK28" i="8" s="1"/>
  <c r="EF28" i="8"/>
  <c r="EJ28" i="8" s="1"/>
  <c r="EL28" i="8" s="1"/>
  <c r="DG28" i="8"/>
  <c r="DK28" i="8" s="1"/>
  <c r="DM28" i="8" s="1"/>
  <c r="CH28" i="8"/>
  <c r="CL28" i="8" s="1"/>
  <c r="CN28" i="8" s="1"/>
  <c r="BI28" i="8"/>
  <c r="BM28" i="8" s="1"/>
  <c r="BO28" i="8" s="1"/>
  <c r="AJ28" i="8"/>
  <c r="AN28" i="8" s="1"/>
  <c r="AP28" i="8" s="1"/>
  <c r="K28" i="8"/>
  <c r="O28" i="8" s="1"/>
  <c r="Q28" i="8" s="1"/>
  <c r="FE25" i="8"/>
  <c r="FI25" i="8" s="1"/>
  <c r="FK25" i="8" s="1"/>
  <c r="EF25" i="8"/>
  <c r="EJ25" i="8" s="1"/>
  <c r="EL25" i="8" s="1"/>
  <c r="DG25" i="8"/>
  <c r="DK25" i="8" s="1"/>
  <c r="DM25" i="8" s="1"/>
  <c r="CH25" i="8"/>
  <c r="CL25" i="8" s="1"/>
  <c r="CN25" i="8" s="1"/>
  <c r="BI25" i="8"/>
  <c r="BM25" i="8" s="1"/>
  <c r="BO25" i="8" s="1"/>
  <c r="AJ25" i="8"/>
  <c r="AN25" i="8" s="1"/>
  <c r="AP25" i="8" s="1"/>
  <c r="K25" i="8"/>
  <c r="O25" i="8" s="1"/>
  <c r="Q25" i="8" s="1"/>
  <c r="FE22" i="8"/>
  <c r="FI22" i="8" s="1"/>
  <c r="FK22" i="8" s="1"/>
  <c r="EF22" i="8"/>
  <c r="EJ22" i="8" s="1"/>
  <c r="EL22" i="8" s="1"/>
  <c r="DG22" i="8"/>
  <c r="DK22" i="8" s="1"/>
  <c r="DM22" i="8" s="1"/>
  <c r="CH22" i="8"/>
  <c r="CL22" i="8" s="1"/>
  <c r="CN22" i="8" s="1"/>
  <c r="BI22" i="8"/>
  <c r="BM22" i="8" s="1"/>
  <c r="BO22" i="8" s="1"/>
  <c r="AJ22" i="8"/>
  <c r="AN22" i="8" s="1"/>
  <c r="AP22" i="8" s="1"/>
  <c r="K22" i="8"/>
  <c r="O22" i="8" s="1"/>
  <c r="Q22" i="8" s="1"/>
  <c r="FE19" i="8"/>
  <c r="FI19" i="8" s="1"/>
  <c r="FK19" i="8" s="1"/>
  <c r="EZ19" i="8"/>
  <c r="EF19" i="8"/>
  <c r="EJ19" i="8" s="1"/>
  <c r="EL19" i="8" s="1"/>
  <c r="EA19" i="8"/>
  <c r="DG19" i="8"/>
  <c r="DK19" i="8" s="1"/>
  <c r="DM19" i="8" s="1"/>
  <c r="DB19" i="8"/>
  <c r="CH19" i="8"/>
  <c r="CL19" i="8" s="1"/>
  <c r="CN19" i="8" s="1"/>
  <c r="CC19" i="8"/>
  <c r="BI19" i="8"/>
  <c r="BM19" i="8" s="1"/>
  <c r="BO19" i="8" s="1"/>
  <c r="BD19" i="8"/>
  <c r="AJ19" i="8"/>
  <c r="AN19" i="8" s="1"/>
  <c r="AP19" i="8" s="1"/>
  <c r="AE19" i="8"/>
  <c r="K19" i="8"/>
  <c r="O19" i="8" s="1"/>
  <c r="Q19" i="8" s="1"/>
  <c r="F19" i="8"/>
  <c r="FE16" i="8"/>
  <c r="FI16" i="8" s="1"/>
  <c r="FK16" i="8" s="1"/>
  <c r="EF16" i="8"/>
  <c r="EJ16" i="8" s="1"/>
  <c r="EL16" i="8" s="1"/>
  <c r="DK16" i="8"/>
  <c r="DM16" i="8" s="1"/>
  <c r="DG16" i="8"/>
  <c r="CH16" i="8"/>
  <c r="CL16" i="8" s="1"/>
  <c r="CN16" i="8" s="1"/>
  <c r="BI16" i="8"/>
  <c r="BM16" i="8" s="1"/>
  <c r="BO16" i="8" s="1"/>
  <c r="AJ16" i="8"/>
  <c r="AN16" i="8" s="1"/>
  <c r="AP16" i="8" s="1"/>
  <c r="O16" i="8"/>
  <c r="Q16" i="8" s="1"/>
  <c r="K16" i="8"/>
  <c r="EZ15" i="8"/>
  <c r="EA15" i="8"/>
  <c r="DB15" i="8"/>
  <c r="CC15" i="8"/>
  <c r="BD15" i="8"/>
  <c r="AE15" i="8"/>
  <c r="F15" i="8"/>
  <c r="FE13" i="8"/>
  <c r="FI13" i="8" s="1"/>
  <c r="FK13" i="8" s="1"/>
  <c r="EF13" i="8"/>
  <c r="EJ13" i="8" s="1"/>
  <c r="EL13" i="8" s="1"/>
  <c r="DG13" i="8"/>
  <c r="DK13" i="8" s="1"/>
  <c r="DM13" i="8" s="1"/>
  <c r="CH13" i="8"/>
  <c r="CL13" i="8" s="1"/>
  <c r="CN13" i="8" s="1"/>
  <c r="BM13" i="8"/>
  <c r="BO13" i="8" s="1"/>
  <c r="BI13" i="8"/>
  <c r="AJ13" i="8"/>
  <c r="AN13" i="8" s="1"/>
  <c r="AP13" i="8" s="1"/>
  <c r="K13" i="8"/>
  <c r="O13" i="8" s="1"/>
  <c r="Q13" i="8" s="1"/>
  <c r="EZ11" i="8"/>
  <c r="EA11" i="8"/>
  <c r="DB11" i="8"/>
  <c r="CC11" i="8"/>
  <c r="CA35" i="8" s="1"/>
  <c r="BD11" i="8"/>
  <c r="BB35" i="8" s="1"/>
  <c r="AE11" i="8"/>
  <c r="AC35" i="8" s="1"/>
  <c r="F11" i="8"/>
  <c r="D35" i="8" s="1"/>
  <c r="F72" i="6"/>
  <c r="EX35" i="6"/>
  <c r="DY35" i="6"/>
  <c r="D35" i="6"/>
  <c r="FI28" i="6"/>
  <c r="FK28" i="6" s="1"/>
  <c r="FE28" i="6"/>
  <c r="EF28" i="6"/>
  <c r="EJ28" i="6" s="1"/>
  <c r="EL28" i="6" s="1"/>
  <c r="DG28" i="6"/>
  <c r="DK28" i="6" s="1"/>
  <c r="DM28" i="6" s="1"/>
  <c r="CH28" i="6"/>
  <c r="CL28" i="6" s="1"/>
  <c r="CN28" i="6" s="1"/>
  <c r="BM28" i="6"/>
  <c r="BO28" i="6" s="1"/>
  <c r="BI28" i="6"/>
  <c r="AJ28" i="6"/>
  <c r="AN28" i="6" s="1"/>
  <c r="AP28" i="6" s="1"/>
  <c r="K28" i="6"/>
  <c r="O28" i="6" s="1"/>
  <c r="Q28" i="6" s="1"/>
  <c r="FE25" i="6"/>
  <c r="FI25" i="6" s="1"/>
  <c r="FK25" i="6" s="1"/>
  <c r="EJ25" i="6"/>
  <c r="EL25" i="6" s="1"/>
  <c r="EF25" i="6"/>
  <c r="DG25" i="6"/>
  <c r="DK25" i="6" s="1"/>
  <c r="DM25" i="6" s="1"/>
  <c r="CH25" i="6"/>
  <c r="CL25" i="6" s="1"/>
  <c r="CN25" i="6" s="1"/>
  <c r="BI25" i="6"/>
  <c r="BM25" i="6" s="1"/>
  <c r="BO25" i="6" s="1"/>
  <c r="AN25" i="6"/>
  <c r="AP25" i="6" s="1"/>
  <c r="AJ25" i="6"/>
  <c r="K25" i="6"/>
  <c r="O25" i="6" s="1"/>
  <c r="Q25" i="6" s="1"/>
  <c r="FE22" i="6"/>
  <c r="FI22" i="6" s="1"/>
  <c r="FK22" i="6" s="1"/>
  <c r="EF22" i="6"/>
  <c r="EJ22" i="6" s="1"/>
  <c r="EL22" i="6" s="1"/>
  <c r="DK22" i="6"/>
  <c r="DM22" i="6" s="1"/>
  <c r="DG22" i="6"/>
  <c r="CH22" i="6"/>
  <c r="CL22" i="6" s="1"/>
  <c r="CN22" i="6" s="1"/>
  <c r="BI22" i="6"/>
  <c r="BM22" i="6" s="1"/>
  <c r="BO22" i="6" s="1"/>
  <c r="AJ22" i="6"/>
  <c r="AN22" i="6" s="1"/>
  <c r="AP22" i="6" s="1"/>
  <c r="O22" i="6"/>
  <c r="Q22" i="6" s="1"/>
  <c r="K22" i="6"/>
  <c r="FE19" i="6"/>
  <c r="FI19" i="6" s="1"/>
  <c r="FK19" i="6" s="1"/>
  <c r="EZ19" i="6"/>
  <c r="EF19" i="6"/>
  <c r="EJ19" i="6" s="1"/>
  <c r="EL19" i="6" s="1"/>
  <c r="EA19" i="6"/>
  <c r="DG19" i="6"/>
  <c r="DK19" i="6" s="1"/>
  <c r="DM19" i="6" s="1"/>
  <c r="DB19" i="6"/>
  <c r="CH19" i="6"/>
  <c r="CL19" i="6" s="1"/>
  <c r="CN19" i="6" s="1"/>
  <c r="CC19" i="6"/>
  <c r="BI19" i="6"/>
  <c r="BM19" i="6" s="1"/>
  <c r="BO19" i="6" s="1"/>
  <c r="BD19" i="6"/>
  <c r="AJ19" i="6"/>
  <c r="AN19" i="6" s="1"/>
  <c r="AP19" i="6" s="1"/>
  <c r="AE19" i="6"/>
  <c r="K19" i="6"/>
  <c r="O19" i="6" s="1"/>
  <c r="Q19" i="6" s="1"/>
  <c r="F19" i="6"/>
  <c r="FE16" i="6"/>
  <c r="FI16" i="6" s="1"/>
  <c r="FK16" i="6" s="1"/>
  <c r="EF16" i="6"/>
  <c r="EJ16" i="6" s="1"/>
  <c r="EL16" i="6" s="1"/>
  <c r="DK16" i="6"/>
  <c r="DM16" i="6" s="1"/>
  <c r="DG16" i="6"/>
  <c r="CH16" i="6"/>
  <c r="CL16" i="6" s="1"/>
  <c r="CN16" i="6" s="1"/>
  <c r="BI16" i="6"/>
  <c r="BM16" i="6" s="1"/>
  <c r="BO16" i="6" s="1"/>
  <c r="AJ16" i="6"/>
  <c r="AN16" i="6" s="1"/>
  <c r="AP16" i="6" s="1"/>
  <c r="O16" i="6"/>
  <c r="Q16" i="6" s="1"/>
  <c r="K16" i="6"/>
  <c r="EZ15" i="6"/>
  <c r="EA15" i="6"/>
  <c r="DB15" i="6"/>
  <c r="CC15" i="6"/>
  <c r="BD15" i="6"/>
  <c r="AE15" i="6"/>
  <c r="F15" i="6"/>
  <c r="FE13" i="6"/>
  <c r="FI13" i="6" s="1"/>
  <c r="FK13" i="6" s="1"/>
  <c r="EF13" i="6"/>
  <c r="EJ13" i="6" s="1"/>
  <c r="EL13" i="6" s="1"/>
  <c r="DG13" i="6"/>
  <c r="DK13" i="6" s="1"/>
  <c r="DM13" i="6" s="1"/>
  <c r="CH13" i="6"/>
  <c r="CL13" i="6" s="1"/>
  <c r="CN13" i="6" s="1"/>
  <c r="BI13" i="6"/>
  <c r="BM13" i="6" s="1"/>
  <c r="BO13" i="6" s="1"/>
  <c r="AJ13" i="6"/>
  <c r="AN13" i="6" s="1"/>
  <c r="AP13" i="6" s="1"/>
  <c r="K13" i="6"/>
  <c r="O13" i="6" s="1"/>
  <c r="Q13" i="6" s="1"/>
  <c r="EZ11" i="6"/>
  <c r="EA11" i="6"/>
  <c r="DB11" i="6"/>
  <c r="CZ35" i="6" s="1"/>
  <c r="CC11" i="6"/>
  <c r="CA35" i="6" s="1"/>
  <c r="BD11" i="6"/>
  <c r="BB35" i="6" s="1"/>
  <c r="AE11" i="6"/>
  <c r="AC35" i="6" s="1"/>
  <c r="F11" i="6"/>
  <c r="EX35" i="5"/>
  <c r="DY35" i="5"/>
  <c r="FI28" i="5"/>
  <c r="FK28" i="5" s="1"/>
  <c r="FE28" i="5"/>
  <c r="EF28" i="5"/>
  <c r="EJ28" i="5" s="1"/>
  <c r="EL28" i="5" s="1"/>
  <c r="DG28" i="5"/>
  <c r="DK28" i="5" s="1"/>
  <c r="DM28" i="5" s="1"/>
  <c r="CH28" i="5"/>
  <c r="CL28" i="5" s="1"/>
  <c r="CN28" i="5" s="1"/>
  <c r="BM28" i="5"/>
  <c r="BO28" i="5" s="1"/>
  <c r="BI28" i="5"/>
  <c r="AJ28" i="5"/>
  <c r="AN28" i="5" s="1"/>
  <c r="AP28" i="5" s="1"/>
  <c r="K28" i="5"/>
  <c r="O28" i="5" s="1"/>
  <c r="Q28" i="5" s="1"/>
  <c r="FE25" i="5"/>
  <c r="FI25" i="5" s="1"/>
  <c r="FK25" i="5" s="1"/>
  <c r="EJ25" i="5"/>
  <c r="EL25" i="5" s="1"/>
  <c r="EF25" i="5"/>
  <c r="DG25" i="5"/>
  <c r="DK25" i="5" s="1"/>
  <c r="DM25" i="5" s="1"/>
  <c r="CH25" i="5"/>
  <c r="CL25" i="5" s="1"/>
  <c r="CN25" i="5" s="1"/>
  <c r="BI25" i="5"/>
  <c r="BM25" i="5" s="1"/>
  <c r="BO25" i="5" s="1"/>
  <c r="AN25" i="5"/>
  <c r="AP25" i="5" s="1"/>
  <c r="AJ25" i="5"/>
  <c r="K25" i="5"/>
  <c r="O25" i="5" s="1"/>
  <c r="Q25" i="5" s="1"/>
  <c r="FE22" i="5"/>
  <c r="FI22" i="5" s="1"/>
  <c r="FK22" i="5" s="1"/>
  <c r="EF22" i="5"/>
  <c r="EJ22" i="5" s="1"/>
  <c r="EL22" i="5" s="1"/>
  <c r="DG22" i="5"/>
  <c r="DK22" i="5" s="1"/>
  <c r="DM22" i="5" s="1"/>
  <c r="CH22" i="5"/>
  <c r="CL22" i="5" s="1"/>
  <c r="CN22" i="5" s="1"/>
  <c r="BI22" i="5"/>
  <c r="BM22" i="5" s="1"/>
  <c r="BO22" i="5" s="1"/>
  <c r="AJ22" i="5"/>
  <c r="AN22" i="5" s="1"/>
  <c r="AP22" i="5" s="1"/>
  <c r="K22" i="5"/>
  <c r="O22" i="5" s="1"/>
  <c r="Q22" i="5" s="1"/>
  <c r="FE19" i="5"/>
  <c r="FI19" i="5" s="1"/>
  <c r="FK19" i="5" s="1"/>
  <c r="EZ19" i="5"/>
  <c r="EF19" i="5"/>
  <c r="EJ19" i="5" s="1"/>
  <c r="EL19" i="5" s="1"/>
  <c r="EA19" i="5"/>
  <c r="DG19" i="5"/>
  <c r="DK19" i="5" s="1"/>
  <c r="DM19" i="5" s="1"/>
  <c r="DB19" i="5"/>
  <c r="CH19" i="5"/>
  <c r="CL19" i="5" s="1"/>
  <c r="CN19" i="5" s="1"/>
  <c r="CC19" i="5"/>
  <c r="BI19" i="5"/>
  <c r="BM19" i="5" s="1"/>
  <c r="BO19" i="5" s="1"/>
  <c r="BD19" i="5"/>
  <c r="AJ19" i="5"/>
  <c r="AN19" i="5" s="1"/>
  <c r="AP19" i="5" s="1"/>
  <c r="AE19" i="5"/>
  <c r="K19" i="5"/>
  <c r="O19" i="5" s="1"/>
  <c r="Q19" i="5" s="1"/>
  <c r="F19" i="5"/>
  <c r="FE16" i="5"/>
  <c r="FI16" i="5" s="1"/>
  <c r="FK16" i="5" s="1"/>
  <c r="EF16" i="5"/>
  <c r="EJ16" i="5" s="1"/>
  <c r="EL16" i="5" s="1"/>
  <c r="DK16" i="5"/>
  <c r="DM16" i="5" s="1"/>
  <c r="DG16" i="5"/>
  <c r="CH16" i="5"/>
  <c r="CL16" i="5" s="1"/>
  <c r="CN16" i="5" s="1"/>
  <c r="BI16" i="5"/>
  <c r="BM16" i="5" s="1"/>
  <c r="BO16" i="5" s="1"/>
  <c r="AJ16" i="5"/>
  <c r="AN16" i="5" s="1"/>
  <c r="AP16" i="5" s="1"/>
  <c r="O16" i="5"/>
  <c r="Q16" i="5" s="1"/>
  <c r="K16" i="5"/>
  <c r="EZ15" i="5"/>
  <c r="EA15" i="5"/>
  <c r="DB15" i="5"/>
  <c r="CC15" i="5"/>
  <c r="BD15" i="5"/>
  <c r="AE15" i="5"/>
  <c r="F15" i="5"/>
  <c r="FE13" i="5"/>
  <c r="FI13" i="5" s="1"/>
  <c r="FK13" i="5" s="1"/>
  <c r="EF13" i="5"/>
  <c r="EJ13" i="5" s="1"/>
  <c r="EL13" i="5" s="1"/>
  <c r="DG13" i="5"/>
  <c r="DK13" i="5" s="1"/>
  <c r="DM13" i="5" s="1"/>
  <c r="CH13" i="5"/>
  <c r="CL13" i="5" s="1"/>
  <c r="CN13" i="5" s="1"/>
  <c r="CA39" i="5" s="1"/>
  <c r="BI13" i="5"/>
  <c r="BM13" i="5" s="1"/>
  <c r="BO13" i="5" s="1"/>
  <c r="BB39" i="5" s="1"/>
  <c r="AJ13" i="5"/>
  <c r="AN13" i="5" s="1"/>
  <c r="AP13" i="5" s="1"/>
  <c r="K13" i="5"/>
  <c r="O13" i="5" s="1"/>
  <c r="Q13" i="5" s="1"/>
  <c r="EZ11" i="5"/>
  <c r="EA11" i="5"/>
  <c r="DB11" i="5"/>
  <c r="CZ35" i="5" s="1"/>
  <c r="CC11" i="5"/>
  <c r="CA35" i="5" s="1"/>
  <c r="BD11" i="5"/>
  <c r="BB35" i="5" s="1"/>
  <c r="AE11" i="5"/>
  <c r="AC35" i="5" s="1"/>
  <c r="F11" i="5"/>
  <c r="D35" i="5" s="1"/>
  <c r="F72" i="4"/>
  <c r="EX35" i="4"/>
  <c r="DY35" i="4"/>
  <c r="FE28" i="4"/>
  <c r="FI28" i="4" s="1"/>
  <c r="FK28" i="4" s="1"/>
  <c r="EF28" i="4"/>
  <c r="EJ28" i="4" s="1"/>
  <c r="EL28" i="4" s="1"/>
  <c r="DG28" i="4"/>
  <c r="DK28" i="4" s="1"/>
  <c r="DM28" i="4" s="1"/>
  <c r="CH28" i="4"/>
  <c r="CL28" i="4" s="1"/>
  <c r="CN28" i="4" s="1"/>
  <c r="BI28" i="4"/>
  <c r="BM28" i="4" s="1"/>
  <c r="BO28" i="4" s="1"/>
  <c r="AJ28" i="4"/>
  <c r="AN28" i="4" s="1"/>
  <c r="AP28" i="4" s="1"/>
  <c r="K28" i="4"/>
  <c r="O28" i="4" s="1"/>
  <c r="Q28" i="4" s="1"/>
  <c r="FE25" i="4"/>
  <c r="FI25" i="4" s="1"/>
  <c r="FK25" i="4" s="1"/>
  <c r="EF25" i="4"/>
  <c r="EJ25" i="4" s="1"/>
  <c r="EL25" i="4" s="1"/>
  <c r="DG25" i="4"/>
  <c r="DK25" i="4" s="1"/>
  <c r="DM25" i="4" s="1"/>
  <c r="CH25" i="4"/>
  <c r="CL25" i="4" s="1"/>
  <c r="CN25" i="4" s="1"/>
  <c r="BI25" i="4"/>
  <c r="BM25" i="4" s="1"/>
  <c r="BO25" i="4" s="1"/>
  <c r="AJ25" i="4"/>
  <c r="AN25" i="4" s="1"/>
  <c r="AP25" i="4" s="1"/>
  <c r="K25" i="4"/>
  <c r="O25" i="4" s="1"/>
  <c r="Q25" i="4" s="1"/>
  <c r="FE22" i="4"/>
  <c r="FI22" i="4" s="1"/>
  <c r="FK22" i="4" s="1"/>
  <c r="EF22" i="4"/>
  <c r="EJ22" i="4" s="1"/>
  <c r="EL22" i="4" s="1"/>
  <c r="DG22" i="4"/>
  <c r="DK22" i="4" s="1"/>
  <c r="DM22" i="4" s="1"/>
  <c r="CH22" i="4"/>
  <c r="CL22" i="4" s="1"/>
  <c r="CN22" i="4" s="1"/>
  <c r="BI22" i="4"/>
  <c r="BM22" i="4" s="1"/>
  <c r="BO22" i="4" s="1"/>
  <c r="AJ22" i="4"/>
  <c r="AN22" i="4" s="1"/>
  <c r="AP22" i="4" s="1"/>
  <c r="K22" i="4"/>
  <c r="O22" i="4" s="1"/>
  <c r="Q22" i="4" s="1"/>
  <c r="FE19" i="4"/>
  <c r="FI19" i="4" s="1"/>
  <c r="FK19" i="4" s="1"/>
  <c r="EZ19" i="4"/>
  <c r="EF19" i="4"/>
  <c r="EJ19" i="4" s="1"/>
  <c r="EL19" i="4" s="1"/>
  <c r="EA19" i="4"/>
  <c r="DG19" i="4"/>
  <c r="DK19" i="4" s="1"/>
  <c r="DM19" i="4" s="1"/>
  <c r="DB19" i="4"/>
  <c r="CZ35" i="4" s="1"/>
  <c r="CH19" i="4"/>
  <c r="CL19" i="4" s="1"/>
  <c r="CN19" i="4" s="1"/>
  <c r="CC19" i="4"/>
  <c r="BI19" i="4"/>
  <c r="BM19" i="4" s="1"/>
  <c r="BO19" i="4" s="1"/>
  <c r="BD19" i="4"/>
  <c r="AJ19" i="4"/>
  <c r="AN19" i="4" s="1"/>
  <c r="AP19" i="4" s="1"/>
  <c r="AE19" i="4"/>
  <c r="K19" i="4"/>
  <c r="O19" i="4" s="1"/>
  <c r="Q19" i="4" s="1"/>
  <c r="F19" i="4"/>
  <c r="FE16" i="4"/>
  <c r="FI16" i="4" s="1"/>
  <c r="FK16" i="4" s="1"/>
  <c r="EF16" i="4"/>
  <c r="EJ16" i="4" s="1"/>
  <c r="EL16" i="4" s="1"/>
  <c r="DG16" i="4"/>
  <c r="DK16" i="4" s="1"/>
  <c r="DM16" i="4" s="1"/>
  <c r="CH16" i="4"/>
  <c r="CL16" i="4" s="1"/>
  <c r="CN16" i="4" s="1"/>
  <c r="BI16" i="4"/>
  <c r="BM16" i="4" s="1"/>
  <c r="BO16" i="4" s="1"/>
  <c r="AJ16" i="4"/>
  <c r="AN16" i="4" s="1"/>
  <c r="AP16" i="4" s="1"/>
  <c r="K16" i="4"/>
  <c r="O16" i="4" s="1"/>
  <c r="Q16" i="4" s="1"/>
  <c r="EZ15" i="4"/>
  <c r="EA15" i="4"/>
  <c r="DB15" i="4"/>
  <c r="CC15" i="4"/>
  <c r="BD15" i="4"/>
  <c r="AE15" i="4"/>
  <c r="F15" i="4"/>
  <c r="FE13" i="4"/>
  <c r="FI13" i="4" s="1"/>
  <c r="FK13" i="4" s="1"/>
  <c r="EJ13" i="4"/>
  <c r="EL13" i="4" s="1"/>
  <c r="EF13" i="4"/>
  <c r="DG13" i="4"/>
  <c r="DK13" i="4" s="1"/>
  <c r="DM13" i="4" s="1"/>
  <c r="CH13" i="4"/>
  <c r="CL13" i="4" s="1"/>
  <c r="CN13" i="4" s="1"/>
  <c r="BI13" i="4"/>
  <c r="BM13" i="4" s="1"/>
  <c r="BO13" i="4" s="1"/>
  <c r="AN13" i="4"/>
  <c r="AP13" i="4" s="1"/>
  <c r="AJ13" i="4"/>
  <c r="K13" i="4"/>
  <c r="O13" i="4" s="1"/>
  <c r="Q13" i="4" s="1"/>
  <c r="EZ11" i="4"/>
  <c r="EA11" i="4"/>
  <c r="DB11" i="4"/>
  <c r="CC11" i="4"/>
  <c r="CA35" i="4" s="1"/>
  <c r="BD11" i="4"/>
  <c r="BB35" i="4" s="1"/>
  <c r="AE11" i="4"/>
  <c r="AC35" i="4" s="1"/>
  <c r="F11" i="4"/>
  <c r="D35" i="4" s="1"/>
  <c r="FE28" i="3"/>
  <c r="FI28" i="3" s="1"/>
  <c r="FK28" i="3" s="1"/>
  <c r="FE25" i="3"/>
  <c r="FI25" i="3" s="1"/>
  <c r="FK25" i="3" s="1"/>
  <c r="FE22" i="3"/>
  <c r="FI22" i="3" s="1"/>
  <c r="FK22" i="3" s="1"/>
  <c r="FE19" i="3"/>
  <c r="FI19" i="3" s="1"/>
  <c r="FK19" i="3" s="1"/>
  <c r="EZ19" i="3"/>
  <c r="FE16" i="3"/>
  <c r="FI16" i="3" s="1"/>
  <c r="FK16" i="3" s="1"/>
  <c r="EZ15" i="3"/>
  <c r="FE13" i="3"/>
  <c r="FI13" i="3" s="1"/>
  <c r="FK13" i="3" s="1"/>
  <c r="EZ11" i="3"/>
  <c r="EX35" i="3" s="1"/>
  <c r="EF28" i="3"/>
  <c r="EJ28" i="3" s="1"/>
  <c r="EL28" i="3" s="1"/>
  <c r="EF25" i="3"/>
  <c r="EJ25" i="3" s="1"/>
  <c r="EL25" i="3" s="1"/>
  <c r="EF22" i="3"/>
  <c r="EJ22" i="3" s="1"/>
  <c r="EL22" i="3" s="1"/>
  <c r="EF19" i="3"/>
  <c r="EJ19" i="3" s="1"/>
  <c r="EL19" i="3" s="1"/>
  <c r="EA19" i="3"/>
  <c r="EF16" i="3"/>
  <c r="EJ16" i="3" s="1"/>
  <c r="EL16" i="3" s="1"/>
  <c r="EA15" i="3"/>
  <c r="DY35" i="3" s="1"/>
  <c r="EF13" i="3"/>
  <c r="EJ13" i="3" s="1"/>
  <c r="EL13" i="3" s="1"/>
  <c r="EA11" i="3"/>
  <c r="DG28" i="3"/>
  <c r="DK28" i="3" s="1"/>
  <c r="DM28" i="3" s="1"/>
  <c r="DG25" i="3"/>
  <c r="DK25" i="3" s="1"/>
  <c r="DM25" i="3" s="1"/>
  <c r="DG22" i="3"/>
  <c r="DK22" i="3" s="1"/>
  <c r="DM22" i="3" s="1"/>
  <c r="DG19" i="3"/>
  <c r="DK19" i="3" s="1"/>
  <c r="DM19" i="3" s="1"/>
  <c r="DB19" i="3"/>
  <c r="DG16" i="3"/>
  <c r="DK16" i="3" s="1"/>
  <c r="DM16" i="3" s="1"/>
  <c r="DB15" i="3"/>
  <c r="DG13" i="3"/>
  <c r="DK13" i="3" s="1"/>
  <c r="DM13" i="3" s="1"/>
  <c r="DB11" i="3"/>
  <c r="CH28" i="3"/>
  <c r="CL28" i="3" s="1"/>
  <c r="CN28" i="3" s="1"/>
  <c r="CH25" i="3"/>
  <c r="CL25" i="3" s="1"/>
  <c r="CN25" i="3" s="1"/>
  <c r="CH22" i="3"/>
  <c r="CL22" i="3" s="1"/>
  <c r="CN22" i="3" s="1"/>
  <c r="CH19" i="3"/>
  <c r="CL19" i="3" s="1"/>
  <c r="CN19" i="3" s="1"/>
  <c r="CC19" i="3"/>
  <c r="CH16" i="3"/>
  <c r="CL16" i="3" s="1"/>
  <c r="CN16" i="3" s="1"/>
  <c r="CC15" i="3"/>
  <c r="CH13" i="3"/>
  <c r="CL13" i="3" s="1"/>
  <c r="CN13" i="3" s="1"/>
  <c r="CC11" i="3"/>
  <c r="BI28" i="3"/>
  <c r="BM28" i="3" s="1"/>
  <c r="BO28" i="3" s="1"/>
  <c r="BI25" i="3"/>
  <c r="BM25" i="3" s="1"/>
  <c r="BO25" i="3" s="1"/>
  <c r="BI22" i="3"/>
  <c r="BM22" i="3" s="1"/>
  <c r="BO22" i="3" s="1"/>
  <c r="BI19" i="3"/>
  <c r="BM19" i="3" s="1"/>
  <c r="BO19" i="3" s="1"/>
  <c r="BD19" i="3"/>
  <c r="BI16" i="3"/>
  <c r="BM16" i="3" s="1"/>
  <c r="BO16" i="3" s="1"/>
  <c r="BD15" i="3"/>
  <c r="BI13" i="3"/>
  <c r="BM13" i="3" s="1"/>
  <c r="BO13" i="3" s="1"/>
  <c r="BD11" i="3"/>
  <c r="AJ25" i="3"/>
  <c r="AN25" i="3" s="1"/>
  <c r="AP25" i="3" s="1"/>
  <c r="AJ19" i="3"/>
  <c r="AN19" i="3" s="1"/>
  <c r="AP19" i="3" s="1"/>
  <c r="AE19" i="3"/>
  <c r="AJ16" i="3"/>
  <c r="AN16" i="3" s="1"/>
  <c r="AP16" i="3" s="1"/>
  <c r="AE15" i="3"/>
  <c r="AJ13" i="3"/>
  <c r="AN13" i="3" s="1"/>
  <c r="AP13" i="3" s="1"/>
  <c r="AE11" i="3"/>
  <c r="AC35" i="3" s="1"/>
  <c r="O22" i="3"/>
  <c r="K28" i="3"/>
  <c r="O28" i="3" s="1"/>
  <c r="Q28" i="3" s="1"/>
  <c r="K25" i="3"/>
  <c r="O25" i="3" s="1"/>
  <c r="Q25" i="3" s="1"/>
  <c r="K22" i="3"/>
  <c r="K19" i="3"/>
  <c r="O19" i="3" s="1"/>
  <c r="Q19" i="3" s="1"/>
  <c r="K16" i="3"/>
  <c r="O16" i="3" s="1"/>
  <c r="Q16" i="3" s="1"/>
  <c r="K13" i="3"/>
  <c r="O13" i="3" s="1"/>
  <c r="F19" i="3"/>
  <c r="F15" i="3"/>
  <c r="F11" i="3"/>
  <c r="E16" i="2"/>
  <c r="I10" i="2"/>
  <c r="CZ39" i="3" l="1"/>
  <c r="BB39" i="3"/>
  <c r="BD35" i="3" s="1"/>
  <c r="BD39" i="3" s="1"/>
  <c r="EX39" i="8"/>
  <c r="EZ35" i="8" s="1"/>
  <c r="EZ39" i="8" s="1"/>
  <c r="CZ39" i="8"/>
  <c r="BB39" i="8"/>
  <c r="EX39" i="5"/>
  <c r="DY39" i="5"/>
  <c r="CA39" i="4"/>
  <c r="CC35" i="4" s="1"/>
  <c r="CC39" i="4" s="1"/>
  <c r="BB39" i="4"/>
  <c r="BD35" i="4" s="1"/>
  <c r="BD39" i="4" s="1"/>
  <c r="AC39" i="4"/>
  <c r="DY39" i="3"/>
  <c r="EA35" i="3" s="1"/>
  <c r="EA39" i="3" s="1"/>
  <c r="CA39" i="3"/>
  <c r="AC39" i="3"/>
  <c r="DY39" i="8"/>
  <c r="EA35" i="8" s="1"/>
  <c r="EA39" i="8" s="1"/>
  <c r="AC39" i="8"/>
  <c r="AE35" i="8" s="1"/>
  <c r="AE39" i="8" s="1"/>
  <c r="CA39" i="8"/>
  <c r="BD35" i="8"/>
  <c r="BD39" i="8" s="1"/>
  <c r="CC35" i="8"/>
  <c r="CC39" i="8" s="1"/>
  <c r="CZ35" i="8"/>
  <c r="DB35" i="8" s="1"/>
  <c r="DB39" i="8" s="1"/>
  <c r="D39" i="8"/>
  <c r="BB39" i="6"/>
  <c r="BD35" i="6" s="1"/>
  <c r="BD39" i="6" s="1"/>
  <c r="D39" i="6"/>
  <c r="F35" i="6" s="1"/>
  <c r="AC39" i="6"/>
  <c r="AE35" i="6" s="1"/>
  <c r="AE39" i="6" s="1"/>
  <c r="CA39" i="6"/>
  <c r="CC35" i="6" s="1"/>
  <c r="CC39" i="6" s="1"/>
  <c r="CZ39" i="6"/>
  <c r="DB35" i="6" s="1"/>
  <c r="DB39" i="6" s="1"/>
  <c r="DY39" i="6"/>
  <c r="EA35" i="6" s="1"/>
  <c r="EA39" i="6" s="1"/>
  <c r="EX39" i="6"/>
  <c r="EZ35" i="6" s="1"/>
  <c r="EZ39" i="6" s="1"/>
  <c r="BD35" i="5"/>
  <c r="BD39" i="5" s="1"/>
  <c r="CC35" i="5"/>
  <c r="CC39" i="5" s="1"/>
  <c r="D39" i="5"/>
  <c r="AC39" i="5"/>
  <c r="AE35" i="5" s="1"/>
  <c r="AE39" i="5" s="1"/>
  <c r="EZ35" i="5"/>
  <c r="EZ39" i="5" s="1"/>
  <c r="EA35" i="5"/>
  <c r="EA39" i="5" s="1"/>
  <c r="CZ39" i="5"/>
  <c r="DB35" i="5" s="1"/>
  <c r="DB39" i="5" s="1"/>
  <c r="CZ39" i="4"/>
  <c r="DB35" i="4" s="1"/>
  <c r="DB39" i="4" s="1"/>
  <c r="DY39" i="4"/>
  <c r="EA35" i="4" s="1"/>
  <c r="EA39" i="4" s="1"/>
  <c r="EX39" i="4"/>
  <c r="EZ35" i="4" s="1"/>
  <c r="EZ39" i="4" s="1"/>
  <c r="AE35" i="4"/>
  <c r="AE39" i="4" s="1"/>
  <c r="D39" i="4"/>
  <c r="CZ35" i="3"/>
  <c r="CA35" i="3"/>
  <c r="BB35" i="3"/>
  <c r="EX39" i="3"/>
  <c r="EZ35" i="3" s="1"/>
  <c r="EZ39" i="3" s="1"/>
  <c r="D35" i="3"/>
  <c r="DB35" i="3" l="1"/>
  <c r="DB39" i="3" s="1"/>
  <c r="CC35" i="3"/>
  <c r="CC39" i="3" s="1"/>
  <c r="F56" i="3"/>
  <c r="AE35" i="3"/>
  <c r="AE39" i="3" s="1"/>
  <c r="F35" i="3"/>
  <c r="F56" i="8"/>
  <c r="F35" i="8"/>
  <c r="F56" i="6"/>
  <c r="F52" i="6"/>
  <c r="F39" i="6"/>
  <c r="F56" i="5"/>
  <c r="F35" i="5"/>
  <c r="F56" i="4"/>
  <c r="F35" i="4"/>
  <c r="F60" i="6" l="1"/>
  <c r="F64" i="6" s="1"/>
  <c r="F39" i="3"/>
  <c r="F52" i="3"/>
  <c r="F60" i="3" s="1"/>
  <c r="F64" i="3" s="1"/>
  <c r="F52" i="8"/>
  <c r="F39" i="8"/>
  <c r="F52" i="5"/>
  <c r="F39" i="5"/>
  <c r="F52" i="4"/>
  <c r="F60" i="4" s="1"/>
  <c r="F39" i="4"/>
  <c r="F68" i="6" l="1"/>
  <c r="B12" i="10" s="1"/>
  <c r="T11" i="10"/>
  <c r="F60" i="5"/>
  <c r="F64" i="5" s="1"/>
  <c r="F60" i="8"/>
  <c r="F64" i="8" s="1"/>
  <c r="T8" i="10"/>
  <c r="F68" i="3"/>
  <c r="B9" i="10" s="1"/>
  <c r="F64" i="4"/>
  <c r="F68" i="5" l="1"/>
  <c r="B11" i="10" s="1"/>
  <c r="T10" i="10"/>
  <c r="F68" i="4"/>
  <c r="B10" i="10" s="1"/>
  <c r="T9" i="10"/>
  <c r="F68" i="8"/>
  <c r="B13" i="10" s="1"/>
  <c r="T12" i="10"/>
  <c r="A6" i="10"/>
  <c r="A6" i="10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<sst xmlns="http://schemas.openxmlformats.org/spreadsheetml/2006/main" count="1221" uniqueCount="101">
  <si>
    <r>
      <rPr>
        <b/>
        <u/>
        <sz val="36"/>
        <color theme="1"/>
        <rFont val="Aptos Narrow"/>
        <family val="2"/>
        <scheme val="minor"/>
      </rPr>
      <t xml:space="preserve"> Adams BMI Checker</t>
    </r>
    <r>
      <rPr>
        <b/>
        <sz val="36"/>
        <color theme="1"/>
        <rFont val="Aptos Narrow"/>
        <family val="2"/>
        <scheme val="minor"/>
      </rPr>
      <t xml:space="preserve"> </t>
    </r>
  </si>
  <si>
    <t>Breakfast</t>
  </si>
  <si>
    <t>Calories counted</t>
  </si>
  <si>
    <t>Exercises</t>
  </si>
  <si>
    <t>Met value</t>
  </si>
  <si>
    <t>Exercises Times</t>
  </si>
  <si>
    <t>Oatmeal with Berries &amp; Nuts</t>
  </si>
  <si>
    <t>Greek Yogurt with Honey &amp; Fruit</t>
  </si>
  <si>
    <t>Boxing</t>
  </si>
  <si>
    <t>Avocado Toast with Egg</t>
  </si>
  <si>
    <t>Jogging (5 mph)</t>
  </si>
  <si>
    <t>Protein Fruit Smoothie</t>
  </si>
  <si>
    <t>Cycling (leisurely, 10 mph)</t>
  </si>
  <si>
    <t>Egg &amp; Veggie Scramble</t>
  </si>
  <si>
    <t>Running (6 mph)</t>
  </si>
  <si>
    <t>Lunch</t>
  </si>
  <si>
    <r>
      <t xml:space="preserve">        </t>
    </r>
    <r>
      <rPr>
        <b/>
        <sz val="22"/>
        <color theme="1"/>
        <rFont val="Aptos Narrow"/>
        <family val="2"/>
        <scheme val="minor"/>
      </rPr>
      <t>Calories counted</t>
    </r>
  </si>
  <si>
    <t>Swimming (moderate)</t>
  </si>
  <si>
    <t>Grilled Chicken Breast with Greens</t>
  </si>
  <si>
    <t>Yoga (hatha)</t>
  </si>
  <si>
    <t>Quinoa &amp; Roasted Vegetables Bowl</t>
  </si>
  <si>
    <t>Jump Rope</t>
  </si>
  <si>
    <t>Whole Wheat Turkey &amp; Avocado Wrap</t>
  </si>
  <si>
    <t>Dancing (ballroom)</t>
  </si>
  <si>
    <t>Lentil Soup with Whole Grain Bread</t>
  </si>
  <si>
    <t>Strength Training (general)</t>
  </si>
  <si>
    <t>Sushi Rolls (Salmon &amp; Veggie)</t>
  </si>
  <si>
    <t>Dinner</t>
  </si>
  <si>
    <t>Grilled Salmon with Steamed Vegetables</t>
  </si>
  <si>
    <t>Stir-fried Tofu with Brown Rice</t>
  </si>
  <si>
    <t>Baked Chicken Breast with Quinoa &amp; Asparagus</t>
  </si>
  <si>
    <t>Stuffed Bell Peppers with Lean Turkey</t>
  </si>
  <si>
    <t>Vegetable &amp; Chickpea Curry with Whole Grain Rice</t>
  </si>
  <si>
    <t>Adams BMI Checker</t>
  </si>
  <si>
    <t>if you do not know your weight in KG, use the converter to find how much you weigh</t>
  </si>
  <si>
    <t xml:space="preserve">Enter weight in lbl </t>
  </si>
  <si>
    <t>your weight in kg is:</t>
  </si>
  <si>
    <t>Starting heights (meters)</t>
  </si>
  <si>
    <t>Starting weights (KG)</t>
  </si>
  <si>
    <t xml:space="preserve">Your BMI is: </t>
  </si>
  <si>
    <t>Starting Weight</t>
  </si>
  <si>
    <t xml:space="preserve">Day 1 - Select your meal for the first day </t>
  </si>
  <si>
    <t>Day 1 - Select an activity</t>
  </si>
  <si>
    <t xml:space="preserve">Day 2 - Select your meal for the first day </t>
  </si>
  <si>
    <t>Day 2 - Select an activity</t>
  </si>
  <si>
    <t xml:space="preserve">Day 3 - Select your meal for the first day </t>
  </si>
  <si>
    <t>Day 3- Select an activity</t>
  </si>
  <si>
    <t xml:space="preserve">Day 4 - Select your meal for the first day </t>
  </si>
  <si>
    <t>Day 4- Select an activity</t>
  </si>
  <si>
    <t xml:space="preserve">Day 5- Select your meal for the first day </t>
  </si>
  <si>
    <t>Day 5 - Select an activity</t>
  </si>
  <si>
    <t xml:space="preserve">Day 6 - Select your meal for the first day </t>
  </si>
  <si>
    <t>Day 6- Select an activity</t>
  </si>
  <si>
    <t xml:space="preserve">Day 7 - Select your meal for the first day </t>
  </si>
  <si>
    <t>Day 7- Select an activity</t>
  </si>
  <si>
    <t xml:space="preserve">Calorie intake/Breakfast </t>
  </si>
  <si>
    <t>Activity</t>
  </si>
  <si>
    <t>Time spent on activity</t>
  </si>
  <si>
    <t>Calories per hour</t>
  </si>
  <si>
    <t>Calories per session</t>
  </si>
  <si>
    <t xml:space="preserve">Dancing </t>
  </si>
  <si>
    <t>Day 1- Results</t>
  </si>
  <si>
    <t>Day 2- Results</t>
  </si>
  <si>
    <t>Day 3- Results</t>
  </si>
  <si>
    <t>Day 4- Results</t>
  </si>
  <si>
    <t>Day 5- Results</t>
  </si>
  <si>
    <t>Day 6- Results</t>
  </si>
  <si>
    <t>Day 7- Results</t>
  </si>
  <si>
    <t>Total calories intake</t>
  </si>
  <si>
    <t>Calories diffrence-</t>
  </si>
  <si>
    <t>Total calories burned</t>
  </si>
  <si>
    <t>Result</t>
  </si>
  <si>
    <t>Weekly progess</t>
  </si>
  <si>
    <t>Total calories diffrence</t>
  </si>
  <si>
    <t>Weight lost (KG)</t>
  </si>
  <si>
    <t>Weight week 1</t>
  </si>
  <si>
    <t>BMI Week 1</t>
  </si>
  <si>
    <t>#</t>
  </si>
  <si>
    <t>Weight week 2</t>
  </si>
  <si>
    <t>BMI Week 2</t>
  </si>
  <si>
    <t>Weight week 3</t>
  </si>
  <si>
    <t>BMI Week 3</t>
  </si>
  <si>
    <t>Weight week 4</t>
  </si>
  <si>
    <t>BMI Week 4</t>
  </si>
  <si>
    <t>Weight week 5</t>
  </si>
  <si>
    <t>BMI Week 5</t>
  </si>
  <si>
    <t>Progress chart</t>
  </si>
  <si>
    <t>Change in weight across 5 weeks</t>
  </si>
  <si>
    <t>BMI across 5 weeks</t>
  </si>
  <si>
    <t>KG lost across 5 weeks</t>
  </si>
  <si>
    <t>Week 0</t>
  </si>
  <si>
    <t>Week1</t>
  </si>
  <si>
    <t>Week 1</t>
  </si>
  <si>
    <t>Week2</t>
  </si>
  <si>
    <t>Week 2</t>
  </si>
  <si>
    <t>Week3</t>
  </si>
  <si>
    <t>Week 3</t>
  </si>
  <si>
    <t>Week4</t>
  </si>
  <si>
    <t>Week 4</t>
  </si>
  <si>
    <t>Week5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</si>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</sst>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3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17" xfId="0" applyFill="1" applyBorder="1"/>
    <xf numFmtId="2" fontId="0" fillId="2" borderId="17" xfId="0" applyNumberFormat="1" applyFill="1" applyBorder="1"/>
    <xf numFmtId="0" fontId="0" fillId="2" borderId="22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13" fillId="4" borderId="0" xfId="0" applyFont="1" applyFill="1"/>
    <xf numFmtId="0" fontId="6" fillId="2" borderId="11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</cellXfs>
  <cellStyles count="1">
    <cellStyle name="Normal" xfId="0" builtinId="0"/>
  </cellStyles>
  <dxfs count="7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DC-4D4F-99F1-8864A34181D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DC-4D4F-99F1-8864A34181D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DC-4D4F-99F1-8864A34181DA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DC-4D4F-99F1-8864A34181D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DC-4D4F-99F1-8864A34181DA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DC-4D4F-99F1-8864A34181DA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DC-4D4F-99F1-8864A34181DA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DC-4D4F-99F1-8864A34181DA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DC-4D4F-99F1-8864A34181DA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0DC-4D4F-99F1-8864A34181DA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0DC-4D4F-99F1-8864A34181DA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0DC-4D4F-99F1-8864A34181DA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0DC-4D4F-99F1-8864A34181DA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0DC-4D4F-99F1-8864A34181DA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0DC-4D4F-99F1-8864A34181DA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0DC-4D4F-99F1-8864A34181DA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0DC-4D4F-99F1-8864A34181DA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0DC-4D4F-99F1-8864A34181DA}"/>
              </c:ext>
            </c:extLst>
          </c:dPt>
          <c:cat>
            <c:strRef>
              <c:f>Week1!$E$52:$E$75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1</c:v>
                </c:pt>
                <c:pt idx="20">
                  <c:v>BMI Week 1</c:v>
                </c:pt>
              </c:strCache>
            </c:strRef>
          </c:ca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F95-B8BA-B9B2ED1677E9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0DC-4D4F-99F1-8864A34181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0DC-4D4F-99F1-8864A34181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0DC-4D4F-99F1-8864A34181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0DC-4D4F-99F1-8864A34181D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0DC-4D4F-99F1-8864A34181D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0DC-4D4F-99F1-8864A34181D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0DC-4D4F-99F1-8864A34181D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0DC-4D4F-99F1-8864A34181D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0DC-4D4F-99F1-8864A34181D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0DC-4D4F-99F1-8864A34181D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0DC-4D4F-99F1-8864A34181D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0DC-4D4F-99F1-8864A34181D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0DC-4D4F-99F1-8864A34181D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0DC-4D4F-99F1-8864A34181D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0DC-4D4F-99F1-8864A34181D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0DC-4D4F-99F1-8864A34181D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0DC-4D4F-99F1-8864A34181D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0DC-4D4F-99F1-8864A34181DA}"/>
              </c:ext>
            </c:extLst>
          </c:dPt>
          <c:cat>
            <c:strRef>
              <c:f>Week1!$E$52:$E$75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1</c:v>
                </c:pt>
                <c:pt idx="20">
                  <c:v>BMI Week 1</c:v>
                </c:pt>
              </c:strCache>
            </c:strRef>
          </c:ca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AD46-4F95-B8BA-B9B2ED1677E9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0DC-4D4F-99F1-8864A34181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0DC-4D4F-99F1-8864A34181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0DC-4D4F-99F1-8864A34181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0DC-4D4F-99F1-8864A34181D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0DC-4D4F-99F1-8864A34181D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0DC-4D4F-99F1-8864A34181D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0DC-4D4F-99F1-8864A34181D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0DC-4D4F-99F1-8864A34181D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0DC-4D4F-99F1-8864A34181D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0DC-4D4F-99F1-8864A34181D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0DC-4D4F-99F1-8864A34181D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0DC-4D4F-99F1-8864A34181DA}"/>
              </c:ext>
            </c:extLst>
          </c:dPt>
          <c:cat>
            <c:strRef>
              <c:f>Week1!$E$52:$E$75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1</c:v>
                </c:pt>
                <c:pt idx="20">
                  <c:v>BMI Week 1</c:v>
                </c:pt>
              </c:strCache>
            </c:strRef>
          </c:cat>
          <c:val>
            <c:numRef>
              <c:f>Week1!$F$11:$F$22</c:f>
              <c:numCache>
                <c:formatCode>General</c:formatCode>
                <c:ptCount val="12"/>
                <c:pt idx="0">
                  <c:v>265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6-4F95-B8BA-B9B2ED16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12-4C82-8B3F-99B40C98092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12-4C82-8B3F-99B40C98092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12-4C82-8B3F-99B40C980927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12-4C82-8B3F-99B40C98092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12-4C82-8B3F-99B40C980927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12-4C82-8B3F-99B40C980927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12-4C82-8B3F-99B40C980927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12-4C82-8B3F-99B40C980927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12-4C82-8B3F-99B40C980927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12-4C82-8B3F-99B40C980927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12-4C82-8B3F-99B40C980927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12-4C82-8B3F-99B40C980927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12-4C82-8B3F-99B40C980927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12-4C82-8B3F-99B40C980927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12-4C82-8B3F-99B40C980927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12-4C82-8B3F-99B40C980927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12-4C82-8B3F-99B40C980927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12-4C82-8B3F-99B40C980927}"/>
              </c:ext>
            </c:extLst>
          </c:dPt>
          <c:cat>
            <c:strRef>
              <c:f>Week2!$E$52:$E$75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2</c:v>
                </c:pt>
                <c:pt idx="20">
                  <c:v>BMI Week 2</c:v>
                </c:pt>
              </c:strCache>
            </c:strRef>
          </c:ca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212-4C82-8B3F-99B40C980927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212-4C82-8B3F-99B40C9809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212-4C82-8B3F-99B40C9809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212-4C82-8B3F-99B40C9809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212-4C82-8B3F-99B40C98092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212-4C82-8B3F-99B40C98092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B212-4C82-8B3F-99B40C98092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B212-4C82-8B3F-99B40C98092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B212-4C82-8B3F-99B40C98092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B212-4C82-8B3F-99B40C98092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B212-4C82-8B3F-99B40C98092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B212-4C82-8B3F-99B40C98092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B212-4C82-8B3F-99B40C98092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B212-4C82-8B3F-99B40C98092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B212-4C82-8B3F-99B40C98092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B212-4C82-8B3F-99B40C98092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B212-4C82-8B3F-99B40C98092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B212-4C82-8B3F-99B40C980927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B212-4C82-8B3F-99B40C980927}"/>
              </c:ext>
            </c:extLst>
          </c:dPt>
          <c:cat>
            <c:strRef>
              <c:f>Week2!$E$52:$E$75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2</c:v>
                </c:pt>
                <c:pt idx="20">
                  <c:v>BMI Week 2</c:v>
                </c:pt>
              </c:strCache>
            </c:strRef>
          </c:ca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B212-4C82-8B3F-99B40C980927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12-4C82-8B3F-99B40C9809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12-4C82-8B3F-99B40C9809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12-4C82-8B3F-99B40C9809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12-4C82-8B3F-99B40C98092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12-4C82-8B3F-99B40C98092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212-4C82-8B3F-99B40C98092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212-4C82-8B3F-99B40C98092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212-4C82-8B3F-99B40C98092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212-4C82-8B3F-99B40C98092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212-4C82-8B3F-99B40C98092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212-4C82-8B3F-99B40C98092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212-4C82-8B3F-99B40C980927}"/>
              </c:ext>
            </c:extLst>
          </c:dPt>
          <c:cat>
            <c:strRef>
              <c:f>Week2!$E$52:$E$75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2</c:v>
                </c:pt>
                <c:pt idx="20">
                  <c:v>BMI Week 2</c:v>
                </c:pt>
              </c:strCache>
            </c:strRef>
          </c:cat>
          <c:val>
            <c:numRef>
              <c:f>Week1!$F$11:$F$22</c:f>
              <c:numCache>
                <c:formatCode>General</c:formatCode>
                <c:ptCount val="12"/>
                <c:pt idx="0">
                  <c:v>265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B212-4C82-8B3F-99B40C980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B0-454D-8013-108639A9DCE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B0-454D-8013-108639A9DCE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B0-454D-8013-108639A9DCE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B0-454D-8013-108639A9DCE4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B0-454D-8013-108639A9DCE4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4B0-454D-8013-108639A9DCE4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4B0-454D-8013-108639A9DCE4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4B0-454D-8013-108639A9DCE4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4B0-454D-8013-108639A9DCE4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4B0-454D-8013-108639A9DCE4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4B0-454D-8013-108639A9DCE4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4B0-454D-8013-108639A9DCE4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4B0-454D-8013-108639A9DCE4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4B0-454D-8013-108639A9DCE4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4B0-454D-8013-108639A9DCE4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4B0-454D-8013-108639A9DCE4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4B0-454D-8013-108639A9DCE4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4B0-454D-8013-108639A9DCE4}"/>
              </c:ext>
            </c:extLst>
          </c:dPt>
          <c:cat>
            <c:strRef>
              <c:f>Week3!$E$52:$E$75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3</c:v>
                </c:pt>
                <c:pt idx="20">
                  <c:v>BMI Week 3</c:v>
                </c:pt>
              </c:strCache>
            </c:strRef>
          </c:ca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4B0-454D-8013-108639A9DCE4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E4B0-454D-8013-108639A9DC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E4B0-454D-8013-108639A9DC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E4B0-454D-8013-108639A9DC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E4B0-454D-8013-108639A9DC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E4B0-454D-8013-108639A9DC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E4B0-454D-8013-108639A9DC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E4B0-454D-8013-108639A9DCE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4B0-454D-8013-108639A9DCE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4B0-454D-8013-108639A9DCE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E4B0-454D-8013-108639A9DCE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E4B0-454D-8013-108639A9DCE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E4B0-454D-8013-108639A9DCE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E4B0-454D-8013-108639A9DCE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E4B0-454D-8013-108639A9DCE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E4B0-454D-8013-108639A9DCE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E4B0-454D-8013-108639A9DCE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E4B0-454D-8013-108639A9DCE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E4B0-454D-8013-108639A9DCE4}"/>
              </c:ext>
            </c:extLst>
          </c:dPt>
          <c:cat>
            <c:strRef>
              <c:f>Week3!$E$52:$E$75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3</c:v>
                </c:pt>
                <c:pt idx="20">
                  <c:v>BMI Week 3</c:v>
                </c:pt>
              </c:strCache>
            </c:strRef>
          </c:ca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E4B0-454D-8013-108639A9DCE4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E4B0-454D-8013-108639A9DC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4B0-454D-8013-108639A9DC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4B0-454D-8013-108639A9DC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E4B0-454D-8013-108639A9DC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E4B0-454D-8013-108639A9DC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E4B0-454D-8013-108639A9DC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E4B0-454D-8013-108639A9DCE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E4B0-454D-8013-108639A9DCE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E4B0-454D-8013-108639A9DCE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E4B0-454D-8013-108639A9DCE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E4B0-454D-8013-108639A9DCE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E4B0-454D-8013-108639A9DCE4}"/>
              </c:ext>
            </c:extLst>
          </c:dPt>
          <c:cat>
            <c:strRef>
              <c:f>Week3!$E$52:$E$75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3</c:v>
                </c:pt>
                <c:pt idx="20">
                  <c:v>BMI Week 3</c:v>
                </c:pt>
              </c:strCache>
            </c:strRef>
          </c:cat>
          <c:val>
            <c:numRef>
              <c:f>Week1!$F$11:$F$22</c:f>
              <c:numCache>
                <c:formatCode>General</c:formatCode>
                <c:ptCount val="12"/>
                <c:pt idx="0">
                  <c:v>265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E4B0-454D-8013-108639A9D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F3-423F-9111-BFD36D7C45E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F3-423F-9111-BFD36D7C45E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F3-423F-9111-BFD36D7C45E8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F3-423F-9111-BFD36D7C45E8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F3-423F-9111-BFD36D7C45E8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F3-423F-9111-BFD36D7C45E8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4F3-423F-9111-BFD36D7C45E8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4F3-423F-9111-BFD36D7C45E8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4F3-423F-9111-BFD36D7C45E8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4F3-423F-9111-BFD36D7C45E8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4F3-423F-9111-BFD36D7C45E8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4F3-423F-9111-BFD36D7C45E8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4F3-423F-9111-BFD36D7C45E8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4F3-423F-9111-BFD36D7C45E8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4F3-423F-9111-BFD36D7C45E8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4F3-423F-9111-BFD36D7C45E8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4F3-423F-9111-BFD36D7C45E8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4F3-423F-9111-BFD36D7C45E8}"/>
              </c:ext>
            </c:extLst>
          </c:dPt>
          <c:cat>
            <c:strRef>
              <c:f>Week4!$E$52:$E$75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4</c:v>
                </c:pt>
                <c:pt idx="20">
                  <c:v>BMI Week 4</c:v>
                </c:pt>
              </c:strCache>
            </c:strRef>
          </c:ca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4F3-423F-9111-BFD36D7C45E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4F3-423F-9111-BFD36D7C4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4F3-423F-9111-BFD36D7C45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4F3-423F-9111-BFD36D7C45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4F3-423F-9111-BFD36D7C45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54F3-423F-9111-BFD36D7C45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54F3-423F-9111-BFD36D7C45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54F3-423F-9111-BFD36D7C45E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54F3-423F-9111-BFD36D7C45E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54F3-423F-9111-BFD36D7C45E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54F3-423F-9111-BFD36D7C45E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54F3-423F-9111-BFD36D7C45E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54F3-423F-9111-BFD36D7C45E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54F3-423F-9111-BFD36D7C45E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54F3-423F-9111-BFD36D7C45E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54F3-423F-9111-BFD36D7C45E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54F3-423F-9111-BFD36D7C45E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54F3-423F-9111-BFD36D7C45E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54F3-423F-9111-BFD36D7C45E8}"/>
              </c:ext>
            </c:extLst>
          </c:dPt>
          <c:cat>
            <c:strRef>
              <c:f>Week4!$E$52:$E$75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4</c:v>
                </c:pt>
                <c:pt idx="20">
                  <c:v>BMI Week 4</c:v>
                </c:pt>
              </c:strCache>
            </c:strRef>
          </c:ca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54F3-423F-9111-BFD36D7C45E8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4F3-423F-9111-BFD36D7C4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4F3-423F-9111-BFD36D7C45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4F3-423F-9111-BFD36D7C45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4F3-423F-9111-BFD36D7C45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4F3-423F-9111-BFD36D7C45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4F3-423F-9111-BFD36D7C45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4F3-423F-9111-BFD36D7C45E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4F3-423F-9111-BFD36D7C45E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4F3-423F-9111-BFD36D7C45E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4F3-423F-9111-BFD36D7C45E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4F3-423F-9111-BFD36D7C45E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54F3-423F-9111-BFD36D7C45E8}"/>
              </c:ext>
            </c:extLst>
          </c:dPt>
          <c:cat>
            <c:strRef>
              <c:f>Week4!$E$52:$E$75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4</c:v>
                </c:pt>
                <c:pt idx="20">
                  <c:v>BMI Week 4</c:v>
                </c:pt>
              </c:strCache>
            </c:strRef>
          </c:cat>
          <c:val>
            <c:numRef>
              <c:f>Week1!$F$11:$F$22</c:f>
              <c:numCache>
                <c:formatCode>General</c:formatCode>
                <c:ptCount val="12"/>
                <c:pt idx="0">
                  <c:v>265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54F3-423F-9111-BFD36D7C4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explosion val="10"/>
          <c:dPt>
            <c:idx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B5-4A7C-9736-28719F5BE4B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B5-4A7C-9736-28719F5BE4B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B5-4A7C-9736-28719F5BE4B0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B5-4A7C-9736-28719F5BE4B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B5-4A7C-9736-28719F5BE4B0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FB5-4A7C-9736-28719F5BE4B0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FB5-4A7C-9736-28719F5BE4B0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FB5-4A7C-9736-28719F5BE4B0}"/>
              </c:ext>
            </c:extLst>
          </c:dPt>
          <c:dPt>
            <c:idx val="8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FB5-4A7C-9736-28719F5BE4B0}"/>
              </c:ext>
            </c:extLst>
          </c:dPt>
          <c:dPt>
            <c:idx val="9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FB5-4A7C-9736-28719F5BE4B0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FB5-4A7C-9736-28719F5BE4B0}"/>
              </c:ext>
            </c:extLst>
          </c:dPt>
          <c:dPt>
            <c:idx val="11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FB5-4A7C-9736-28719F5BE4B0}"/>
              </c:ext>
            </c:extLst>
          </c:dPt>
          <c:dPt>
            <c:idx val="12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FB5-4A7C-9736-28719F5BE4B0}"/>
              </c:ext>
            </c:extLst>
          </c:dPt>
          <c:dPt>
            <c:idx val="13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FB5-4A7C-9736-28719F5BE4B0}"/>
              </c:ext>
            </c:extLst>
          </c:dPt>
          <c:dPt>
            <c:idx val="14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FB5-4A7C-9736-28719F5BE4B0}"/>
              </c:ext>
            </c:extLst>
          </c:dPt>
          <c:dPt>
            <c:idx val="15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FB5-4A7C-9736-28719F5BE4B0}"/>
              </c:ext>
            </c:extLst>
          </c:dPt>
          <c:dPt>
            <c:idx val="16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FB5-4A7C-9736-28719F5BE4B0}"/>
              </c:ext>
            </c:extLst>
          </c:dPt>
          <c:dPt>
            <c:idx val="17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FB5-4A7C-9736-28719F5BE4B0}"/>
              </c:ext>
            </c:extLst>
          </c:dPt>
          <c:cat>
            <c:strRef>
              <c:f>'Week 5'!$E$52:$E$75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5</c:v>
                </c:pt>
                <c:pt idx="20">
                  <c:v>BMI Week 5</c:v>
                </c:pt>
              </c:strCache>
            </c:strRef>
          </c:cat>
          <c:val>
            <c:numRef>
              <c:f>Week1!$Q$13:$Q$30</c:f>
              <c:numCache>
                <c:formatCode>General</c:formatCode>
                <c:ptCount val="18"/>
                <c:pt idx="0">
                  <c:v>2200</c:v>
                </c:pt>
                <c:pt idx="3">
                  <c:v>1600</c:v>
                </c:pt>
                <c:pt idx="6">
                  <c:v>800</c:v>
                </c:pt>
                <c:pt idx="9">
                  <c:v>1960.0000000000002</c:v>
                </c:pt>
                <c:pt idx="12">
                  <c:v>4000</c:v>
                </c:pt>
                <c:pt idx="15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FB5-4A7C-9736-28719F5BE4B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FB5-4A7C-9736-28719F5BE4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FB5-4A7C-9736-28719F5BE4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FB5-4A7C-9736-28719F5BE4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FB5-4A7C-9736-28719F5BE4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FB5-4A7C-9736-28719F5BE4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FB5-4A7C-9736-28719F5BE4B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6FB5-4A7C-9736-28719F5BE4B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6FB5-4A7C-9736-28719F5BE4B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6FB5-4A7C-9736-28719F5BE4B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6FB5-4A7C-9736-28719F5BE4B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6FB5-4A7C-9736-28719F5BE4B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6FB5-4A7C-9736-28719F5BE4B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6FB5-4A7C-9736-28719F5BE4B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6FB5-4A7C-9736-28719F5BE4B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6FB5-4A7C-9736-28719F5BE4B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6FB5-4A7C-9736-28719F5BE4B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6FB5-4A7C-9736-28719F5BE4B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6FB5-4A7C-9736-28719F5BE4B0}"/>
              </c:ext>
            </c:extLst>
          </c:dPt>
          <c:cat>
            <c:strRef>
              <c:f>'Week 5'!$E$52:$E$75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5</c:v>
                </c:pt>
                <c:pt idx="20">
                  <c:v>BMI Week 5</c:v>
                </c:pt>
              </c:strCache>
            </c:strRef>
          </c:cat>
          <c:val>
            <c:numRef>
              <c:f>Week1!$R$13:$R$30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49-6FB5-4A7C-9736-28719F5BE4B0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FB5-4A7C-9736-28719F5BE4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FB5-4A7C-9736-28719F5BE4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FB5-4A7C-9736-28719F5BE4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FB5-4A7C-9736-28719F5BE4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FB5-4A7C-9736-28719F5BE4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FB5-4A7C-9736-28719F5BE4B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FB5-4A7C-9736-28719F5BE4B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FB5-4A7C-9736-28719F5BE4B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FB5-4A7C-9736-28719F5BE4B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FB5-4A7C-9736-28719F5BE4B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FB5-4A7C-9736-28719F5BE4B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FB5-4A7C-9736-28719F5BE4B0}"/>
              </c:ext>
            </c:extLst>
          </c:dPt>
          <c:cat>
            <c:strRef>
              <c:f>'Week 5'!$E$52:$E$75</c:f>
              <c:strCache>
                <c:ptCount val="21"/>
                <c:pt idx="0">
                  <c:v>Total calories intake</c:v>
                </c:pt>
                <c:pt idx="4">
                  <c:v>Total calories burned</c:v>
                </c:pt>
                <c:pt idx="8">
                  <c:v>Total calories diffrence</c:v>
                </c:pt>
                <c:pt idx="12">
                  <c:v>Weight lost (KG)</c:v>
                </c:pt>
                <c:pt idx="16">
                  <c:v>Weight week 5</c:v>
                </c:pt>
                <c:pt idx="20">
                  <c:v>BMI Week 5</c:v>
                </c:pt>
              </c:strCache>
            </c:strRef>
          </c:cat>
          <c:val>
            <c:numRef>
              <c:f>Week1!$F$11:$F$22</c:f>
              <c:numCache>
                <c:formatCode>General</c:formatCode>
                <c:ptCount val="12"/>
                <c:pt idx="0">
                  <c:v>265</c:v>
                </c:pt>
                <c:pt idx="4">
                  <c:v>350</c:v>
                </c:pt>
                <c:pt idx="8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6FB5-4A7C-9736-28719F5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Weekly weight lost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'Progress Week'!$A$8:$A$13</c:f>
              <c:strCache>
                <c:ptCount val="6"/>
                <c:pt idx="0">
                  <c:v>Week 0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'Progress Week'!$B$8:$B$13</c:f>
              <c:numCache>
                <c:formatCode>General</c:formatCode>
                <c:ptCount val="6"/>
                <c:pt idx="0">
                  <c:v>200</c:v>
                </c:pt>
                <c:pt idx="1">
                  <c:v>-181.65324675324675</c:v>
                </c:pt>
                <c:pt idx="2">
                  <c:v>161.3791948051948</c:v>
                </c:pt>
                <c:pt idx="3">
                  <c:v>144.54864935064936</c:v>
                </c:pt>
                <c:pt idx="4">
                  <c:v>98.486103896103899</c:v>
                </c:pt>
                <c:pt idx="5">
                  <c:v>87.856285714285718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A-4248-8E9C-C51FB53A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988416"/>
        <c:axId val="1656727024"/>
      </c:lineChart>
      <c:catAx>
        <c:axId val="16759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27024"/>
        <c:crosses val="autoZero"/>
        <c:auto val="1"/>
        <c:lblAlgn val="ctr"/>
        <c:lblOffset val="100"/>
        <c:noMultiLvlLbl val="0"/>
      </c:catAx>
      <c:valAx>
        <c:axId val="16567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8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BMI across 5 weeks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'Progress Week'!$K$8:$K$13</c:f>
              <c:strCache>
                <c:ptCount val="6"/>
                <c:pt idx="0">
                  <c:v>Week 0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</c:strCache>
            </c:strRef>
          </c:cat>
          <c:val>
            <c:numRef>
              <c:f>'Progress Week'!$L$8:$L$13</c:f>
              <c:numCache>
                <c:formatCode>General</c:formatCode>
                <c:ptCount val="6"/>
                <c:pt idx="0">
                  <c:v>50</c:v>
                </c:pt>
                <c:pt idx="1">
                  <c:v>58.183593749999986</c:v>
                </c:pt>
                <c:pt idx="2">
                  <c:v>58.183593749999986</c:v>
                </c:pt>
                <c:pt idx="3">
                  <c:v>58.183593749999986</c:v>
                </c:pt>
                <c:pt idx="4">
                  <c:v>58.183593749999986</c:v>
                </c:pt>
                <c:pt idx="5">
                  <c:v>58.183593749999986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8-4C0E-985E-3EEE948F9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429840"/>
        <c:axId val="1669430800"/>
      </c:lineChart>
      <c:catAx>
        <c:axId val="166942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30800"/>
        <c:crosses val="autoZero"/>
        <c:auto val="1"/>
        <c:lblAlgn val="ctr"/>
        <c:lblOffset val="100"/>
        <c:noMultiLvlLbl val="0"/>
      </c:catAx>
      <c:valAx>
        <c:axId val="16694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KG lost</a:t>
            </a:r>
            <a:r>
              <a:rPr lang="en-GB" baseline="0"/>
              <a:t> across 5 weeks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'Progress Week'!$S$8:$S$12</c:f>
              <c:strCache>
                <c:ptCount val="5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</c:strCache>
            </c:strRef>
          </c:cat>
          <c:val>
            <c:numRef>
              <c:f>'Progress Week'!$T$8:$T$12</c:f>
              <c:numCache>
                <c:formatCode>General</c:formatCode>
                <c:ptCount val="5"/>
                <c:pt idx="0">
                  <c:v>18.346753246753245</c:v>
                </c:pt>
                <c:pt idx="1">
                  <c:v>19.620805194805197</c:v>
                </c:pt>
                <c:pt idx="2">
                  <c:v>17.451350649350648</c:v>
                </c:pt>
                <c:pt idx="3">
                  <c:v>11.513896103896103</c:v>
                </c:pt>
                <c:pt idx="4">
                  <c:v>10.143714285714287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0-49DC-BAFE-C32F6EC4D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19923775"/>
        <c:axId val="1419922815"/>
      </c:barChart>
      <c:catAx>
        <c:axId val="141992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22815"/>
        <c:crosses val="autoZero"/>
        <c:auto val="1"/>
        <c:lblAlgn val="ctr"/>
        <c:lblOffset val="100"/>
        <c:noMultiLvlLbl val="0"/>
      </c:catAx>
      <c:valAx>
        <c:axId val="14199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2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4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chart" Target="../charts/chart5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8.xml"/><Relationship Id="rId7" Type="http://schemas.openxmlformats.org/officeDocument/2006/relationships/image" Target="../media/image5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10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11</xdr:row>
      <xdr:rowOff>73808</xdr:rowOff>
    </xdr:from>
    <xdr:to>
      <xdr:col>12</xdr:col>
      <xdr:colOff>71167</xdr:colOff>
      <xdr:row>25</xdr:row>
      <xdr:rowOff>123826</xdr:rowOff>
    </xdr:to>
    <xdr:pic>
      <xdr:nvPicPr>
        <xdr:cNvPr id="2" name="Picture 1" descr="Body Mass Index Infographic Chart. Colorful BMI Chart Vector ...">
          <a:extLst>
            <a:ext uri="{FF2B5EF4-FFF2-40B4-BE49-F238E27FC236}">
              <a16:creationId xmlns:a16="http://schemas.microsoft.com/office/drawing/2014/main" id="{685A31B6-E66A-6A28-DCB2-84F238797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2197883"/>
          <a:ext cx="4309792" cy="2755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304800</xdr:colOff>
      <xdr:row>22</xdr:row>
      <xdr:rowOff>114300</xdr:rowOff>
    </xdr:to>
    <xdr:sp macro="" textlink="">
      <xdr:nvSpPr>
        <xdr:cNvPr id="1025" name="AutoShape 1" descr="BMI classification chart measurement woman set. Female Body Mass Index ...">
          <a:extLst>
            <a:ext uri="{FF2B5EF4-FFF2-40B4-BE49-F238E27FC236}">
              <a16:creationId xmlns:a16="http://schemas.microsoft.com/office/drawing/2014/main" id="{BB99CEB0-4293-9E22-6B4E-A2080643AB9E}"/>
            </a:ext>
          </a:extLst>
        </xdr:cNvPr>
        <xdr:cNvSpPr>
          <a:spLocks noChangeAspect="1" noChangeArrowheads="1"/>
        </xdr:cNvSpPr>
      </xdr:nvSpPr>
      <xdr:spPr bwMode="auto">
        <a:xfrm>
          <a:off x="10782300" y="40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304800</xdr:colOff>
      <xdr:row>15</xdr:row>
      <xdr:rowOff>104774</xdr:rowOff>
    </xdr:to>
    <xdr:sp macro="" textlink="">
      <xdr:nvSpPr>
        <xdr:cNvPr id="1026" name="AutoShape 2" descr="BMI classification chart measurement woman set. Female Body Mass Index ...">
          <a:extLst>
            <a:ext uri="{FF2B5EF4-FFF2-40B4-BE49-F238E27FC236}">
              <a16:creationId xmlns:a16="http://schemas.microsoft.com/office/drawing/2014/main" id="{0481F38F-4E05-BBC2-B440-15511CA4C641}"/>
            </a:ext>
          </a:extLst>
        </xdr:cNvPr>
        <xdr:cNvSpPr>
          <a:spLocks noChangeAspect="1" noChangeArrowheads="1"/>
        </xdr:cNvSpPr>
      </xdr:nvSpPr>
      <xdr:spPr bwMode="auto">
        <a:xfrm>
          <a:off x="107823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533400</xdr:colOff>
      <xdr:row>11</xdr:row>
      <xdr:rowOff>92771</xdr:rowOff>
    </xdr:from>
    <xdr:to>
      <xdr:col>20</xdr:col>
      <xdr:colOff>466724</xdr:colOff>
      <xdr:row>24</xdr:row>
      <xdr:rowOff>142873</xdr:rowOff>
    </xdr:to>
    <xdr:pic>
      <xdr:nvPicPr>
        <xdr:cNvPr id="3" name="Picture 2" descr="BMI classification chart measurement woman set. Female Body Mass Index ...">
          <a:extLst>
            <a:ext uri="{FF2B5EF4-FFF2-40B4-BE49-F238E27FC236}">
              <a16:creationId xmlns:a16="http://schemas.microsoft.com/office/drawing/2014/main" id="{AD3560A6-43A7-A646-AACD-DEC894B7C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2216846"/>
          <a:ext cx="4810124" cy="2564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253999</xdr:colOff>
      <xdr:row>35</xdr:row>
      <xdr:rowOff>169334</xdr:rowOff>
    </xdr:from>
    <xdr:to>
      <xdr:col>9</xdr:col>
      <xdr:colOff>146049</xdr:colOff>
      <xdr:row>39</xdr:row>
      <xdr:rowOff>78317</xdr:rowOff>
    </xdr:to>
    <xdr:pic macro="[0]!startmenu">
      <xdr:nvPicPr>
        <xdr:cNvPr id="4" name="Picture 3">
          <a:extLst>
            <a:ext uri="{FF2B5EF4-FFF2-40B4-BE49-F238E27FC236}">
              <a16:creationId xmlns:a16="http://schemas.microsoft.com/office/drawing/2014/main" id="{4D5BB10C-23B3-4C36-83F4-B343C60E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444500</xdr:colOff>
      <xdr:row>36</xdr:row>
      <xdr:rowOff>0</xdr:rowOff>
    </xdr:from>
    <xdr:to>
      <xdr:col>13</xdr:col>
      <xdr:colOff>307975</xdr:colOff>
      <xdr:row>39</xdr:row>
      <xdr:rowOff>88900</xdr:rowOff>
    </xdr:to>
    <xdr:pic macro="[0]!week1">
      <xdr:nvPicPr>
        <xdr:cNvPr id="5" name="Picture 4">
          <a:extLst>
            <a:ext uri="{FF2B5EF4-FFF2-40B4-BE49-F238E27FC236}">
              <a16:creationId xmlns:a16="http://schemas.microsoft.com/office/drawing/2014/main" id="{78E1E822-2CE8-4B86-A879-54840FD3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14</xdr:col>
      <xdr:colOff>63500</xdr:colOff>
      <xdr:row>36</xdr:row>
      <xdr:rowOff>10582</xdr:rowOff>
    </xdr:from>
    <xdr:to>
      <xdr:col>16</xdr:col>
      <xdr:colOff>578909</xdr:colOff>
      <xdr:row>39</xdr:row>
      <xdr:rowOff>99482</xdr:rowOff>
    </xdr:to>
    <xdr:pic macro="[0]!week2">
      <xdr:nvPicPr>
        <xdr:cNvPr id="6" name="Picture 5">
          <a:extLst>
            <a:ext uri="{FF2B5EF4-FFF2-40B4-BE49-F238E27FC236}">
              <a16:creationId xmlns:a16="http://schemas.microsoft.com/office/drawing/2014/main" id="{EC7E8226-AEC9-4D9B-9D8E-FC1B6F0E0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20</xdr:col>
      <xdr:colOff>465666</xdr:colOff>
      <xdr:row>36</xdr:row>
      <xdr:rowOff>42333</xdr:rowOff>
    </xdr:from>
    <xdr:to>
      <xdr:col>23</xdr:col>
      <xdr:colOff>367241</xdr:colOff>
      <xdr:row>39</xdr:row>
      <xdr:rowOff>131233</xdr:rowOff>
    </xdr:to>
    <xdr:pic macro="[0]!week4">
      <xdr:nvPicPr>
        <xdr:cNvPr id="7" name="Picture 6">
          <a:extLst>
            <a:ext uri="{FF2B5EF4-FFF2-40B4-BE49-F238E27FC236}">
              <a16:creationId xmlns:a16="http://schemas.microsoft.com/office/drawing/2014/main" id="{B9C8370F-6E3A-4567-BF00-80B4785F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17</xdr:col>
      <xdr:colOff>306917</xdr:colOff>
      <xdr:row>36</xdr:row>
      <xdr:rowOff>42333</xdr:rowOff>
    </xdr:from>
    <xdr:to>
      <xdr:col>20</xdr:col>
      <xdr:colOff>198967</xdr:colOff>
      <xdr:row>39</xdr:row>
      <xdr:rowOff>131233</xdr:rowOff>
    </xdr:to>
    <xdr:pic macro="[0]!week3">
      <xdr:nvPicPr>
        <xdr:cNvPr id="8" name="Picture 7">
          <a:extLst>
            <a:ext uri="{FF2B5EF4-FFF2-40B4-BE49-F238E27FC236}">
              <a16:creationId xmlns:a16="http://schemas.microsoft.com/office/drawing/2014/main" id="{44A9346C-F3D2-4F65-9ED0-6E517D6F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95251</xdr:colOff>
      <xdr:row>36</xdr:row>
      <xdr:rowOff>74083</xdr:rowOff>
    </xdr:from>
    <xdr:to>
      <xdr:col>26</xdr:col>
      <xdr:colOff>601134</xdr:colOff>
      <xdr:row>39</xdr:row>
      <xdr:rowOff>162983</xdr:rowOff>
    </xdr:to>
    <xdr:pic macro="[0]!week5">
      <xdr:nvPicPr>
        <xdr:cNvPr id="9" name="Picture 8">
          <a:extLst>
            <a:ext uri="{FF2B5EF4-FFF2-40B4-BE49-F238E27FC236}">
              <a16:creationId xmlns:a16="http://schemas.microsoft.com/office/drawing/2014/main" id="{4A644291-BCE8-493C-9F0A-0C3F7493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39</xdr:row>
      <xdr:rowOff>95250</xdr:rowOff>
    </xdr:from>
    <xdr:to>
      <xdr:col>33</xdr:col>
      <xdr:colOff>550718</xdr:colOff>
      <xdr:row>42</xdr:row>
      <xdr:rowOff>149225</xdr:rowOff>
    </xdr:to>
    <xdr:pic macro="[0]!Progressweek">
      <xdr:nvPicPr>
        <xdr:cNvPr id="10" name="Picture 9">
          <a:extLst>
            <a:ext uri="{FF2B5EF4-FFF2-40B4-BE49-F238E27FC236}">
              <a16:creationId xmlns:a16="http://schemas.microsoft.com/office/drawing/2014/main" id="{84FC3826-21AD-405C-BB0C-3D895443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36</xdr:row>
      <xdr:rowOff>173566</xdr:rowOff>
    </xdr:from>
    <xdr:to>
      <xdr:col>18</xdr:col>
      <xdr:colOff>232833</xdr:colOff>
      <xdr:row>58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2D1E2-0F98-03E2-D9CB-31763E0D2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253999</xdr:colOff>
      <xdr:row>63</xdr:row>
      <xdr:rowOff>169334</xdr:rowOff>
    </xdr:from>
    <xdr:to>
      <xdr:col>25</xdr:col>
      <xdr:colOff>565149</xdr:colOff>
      <xdr:row>67</xdr:row>
      <xdr:rowOff>97367</xdr:rowOff>
    </xdr:to>
    <xdr:pic macro="[0]!startmenu">
      <xdr:nvPicPr>
        <xdr:cNvPr id="3" name="Picture 2">
          <a:extLst>
            <a:ext uri="{FF2B5EF4-FFF2-40B4-BE49-F238E27FC236}">
              <a16:creationId xmlns:a16="http://schemas.microsoft.com/office/drawing/2014/main" id="{0DEF7A54-F664-4007-B291-811CE4A8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26</xdr:col>
      <xdr:colOff>444500</xdr:colOff>
      <xdr:row>64</xdr:row>
      <xdr:rowOff>0</xdr:rowOff>
    </xdr:from>
    <xdr:to>
      <xdr:col>27</xdr:col>
      <xdr:colOff>1527175</xdr:colOff>
      <xdr:row>67</xdr:row>
      <xdr:rowOff>98425</xdr:rowOff>
    </xdr:to>
    <xdr:pic macro="[0]!week1">
      <xdr:nvPicPr>
        <xdr:cNvPr id="4" name="Picture 3">
          <a:extLst>
            <a:ext uri="{FF2B5EF4-FFF2-40B4-BE49-F238E27FC236}">
              <a16:creationId xmlns:a16="http://schemas.microsoft.com/office/drawing/2014/main" id="{4335C4AB-14E7-472A-9233-95C04167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30</xdr:col>
      <xdr:colOff>63500</xdr:colOff>
      <xdr:row>64</xdr:row>
      <xdr:rowOff>10582</xdr:rowOff>
    </xdr:from>
    <xdr:to>
      <xdr:col>32</xdr:col>
      <xdr:colOff>264584</xdr:colOff>
      <xdr:row>67</xdr:row>
      <xdr:rowOff>109007</xdr:rowOff>
    </xdr:to>
    <xdr:pic macro="[0]!week2">
      <xdr:nvPicPr>
        <xdr:cNvPr id="5" name="Picture 4">
          <a:extLst>
            <a:ext uri="{FF2B5EF4-FFF2-40B4-BE49-F238E27FC236}">
              <a16:creationId xmlns:a16="http://schemas.microsoft.com/office/drawing/2014/main" id="{F9CD9D3A-4B41-45DC-A974-78AAF5BB5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36</xdr:col>
      <xdr:colOff>465666</xdr:colOff>
      <xdr:row>64</xdr:row>
      <xdr:rowOff>42333</xdr:rowOff>
    </xdr:from>
    <xdr:to>
      <xdr:col>38</xdr:col>
      <xdr:colOff>414866</xdr:colOff>
      <xdr:row>67</xdr:row>
      <xdr:rowOff>140758</xdr:rowOff>
    </xdr:to>
    <xdr:pic macro="[0]!week4">
      <xdr:nvPicPr>
        <xdr:cNvPr id="6" name="Picture 5">
          <a:extLst>
            <a:ext uri="{FF2B5EF4-FFF2-40B4-BE49-F238E27FC236}">
              <a16:creationId xmlns:a16="http://schemas.microsoft.com/office/drawing/2014/main" id="{FC08D5AD-B85E-4862-838A-552A60EFF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33</xdr:col>
      <xdr:colOff>306917</xdr:colOff>
      <xdr:row>64</xdr:row>
      <xdr:rowOff>42333</xdr:rowOff>
    </xdr:from>
    <xdr:to>
      <xdr:col>34</xdr:col>
      <xdr:colOff>1418167</xdr:colOff>
      <xdr:row>67</xdr:row>
      <xdr:rowOff>140758</xdr:rowOff>
    </xdr:to>
    <xdr:pic macro="[0]!week3">
      <xdr:nvPicPr>
        <xdr:cNvPr id="7" name="Picture 6">
          <a:extLst>
            <a:ext uri="{FF2B5EF4-FFF2-40B4-BE49-F238E27FC236}">
              <a16:creationId xmlns:a16="http://schemas.microsoft.com/office/drawing/2014/main" id="{E7962890-37A7-43DE-948B-B8A0DA5E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40</xdr:col>
      <xdr:colOff>95251</xdr:colOff>
      <xdr:row>64</xdr:row>
      <xdr:rowOff>74083</xdr:rowOff>
    </xdr:from>
    <xdr:to>
      <xdr:col>42</xdr:col>
      <xdr:colOff>86784</xdr:colOff>
      <xdr:row>67</xdr:row>
      <xdr:rowOff>172508</xdr:rowOff>
    </xdr:to>
    <xdr:pic macro="[0]!week5">
      <xdr:nvPicPr>
        <xdr:cNvPr id="8" name="Picture 7">
          <a:extLst>
            <a:ext uri="{FF2B5EF4-FFF2-40B4-BE49-F238E27FC236}">
              <a16:creationId xmlns:a16="http://schemas.microsoft.com/office/drawing/2014/main" id="{EAA34D95-0AC2-4645-9B5A-3A94371EE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58</xdr:row>
      <xdr:rowOff>95250</xdr:rowOff>
    </xdr:from>
    <xdr:to>
      <xdr:col>28</xdr:col>
      <xdr:colOff>464993</xdr:colOff>
      <xdr:row>61</xdr:row>
      <xdr:rowOff>158750</xdr:rowOff>
    </xdr:to>
    <xdr:pic macro="[0]!Progressweek">
      <xdr:nvPicPr>
        <xdr:cNvPr id="9" name="Picture 8">
          <a:extLst>
            <a:ext uri="{FF2B5EF4-FFF2-40B4-BE49-F238E27FC236}">
              <a16:creationId xmlns:a16="http://schemas.microsoft.com/office/drawing/2014/main" id="{98D4E8F6-0BC1-4310-9A51-B8AEC4D8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37</xdr:row>
      <xdr:rowOff>148167</xdr:rowOff>
    </xdr:from>
    <xdr:to>
      <xdr:col>18</xdr:col>
      <xdr:colOff>84666</xdr:colOff>
      <xdr:row>59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7B564-5C99-4C62-AF5F-702300F0D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253999</xdr:colOff>
      <xdr:row>60</xdr:row>
      <xdr:rowOff>169334</xdr:rowOff>
    </xdr:from>
    <xdr:to>
      <xdr:col>23</xdr:col>
      <xdr:colOff>565149</xdr:colOff>
      <xdr:row>64</xdr:row>
      <xdr:rowOff>106892</xdr:rowOff>
    </xdr:to>
    <xdr:pic macro="[0]!startmenu">
      <xdr:nvPicPr>
        <xdr:cNvPr id="3" name="Picture 2">
          <a:extLst>
            <a:ext uri="{FF2B5EF4-FFF2-40B4-BE49-F238E27FC236}">
              <a16:creationId xmlns:a16="http://schemas.microsoft.com/office/drawing/2014/main" id="{1A1315CE-1CE5-4C54-9368-56CA24AE1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24</xdr:col>
      <xdr:colOff>444500</xdr:colOff>
      <xdr:row>61</xdr:row>
      <xdr:rowOff>0</xdr:rowOff>
    </xdr:from>
    <xdr:to>
      <xdr:col>27</xdr:col>
      <xdr:colOff>307975</xdr:colOff>
      <xdr:row>64</xdr:row>
      <xdr:rowOff>107950</xdr:rowOff>
    </xdr:to>
    <xdr:pic macro="[0]!week1">
      <xdr:nvPicPr>
        <xdr:cNvPr id="4" name="Picture 3">
          <a:extLst>
            <a:ext uri="{FF2B5EF4-FFF2-40B4-BE49-F238E27FC236}">
              <a16:creationId xmlns:a16="http://schemas.microsoft.com/office/drawing/2014/main" id="{A511C99A-0914-4A89-9754-44C1AE84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28</xdr:col>
      <xdr:colOff>63500</xdr:colOff>
      <xdr:row>61</xdr:row>
      <xdr:rowOff>10582</xdr:rowOff>
    </xdr:from>
    <xdr:to>
      <xdr:col>30</xdr:col>
      <xdr:colOff>578909</xdr:colOff>
      <xdr:row>64</xdr:row>
      <xdr:rowOff>118532</xdr:rowOff>
    </xdr:to>
    <xdr:pic macro="[0]!week2">
      <xdr:nvPicPr>
        <xdr:cNvPr id="5" name="Picture 4">
          <a:extLst>
            <a:ext uri="{FF2B5EF4-FFF2-40B4-BE49-F238E27FC236}">
              <a16:creationId xmlns:a16="http://schemas.microsoft.com/office/drawing/2014/main" id="{173B52C0-1DAE-4ECE-A437-04132286D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34</xdr:col>
      <xdr:colOff>465666</xdr:colOff>
      <xdr:row>61</xdr:row>
      <xdr:rowOff>42333</xdr:rowOff>
    </xdr:from>
    <xdr:to>
      <xdr:col>37</xdr:col>
      <xdr:colOff>367241</xdr:colOff>
      <xdr:row>64</xdr:row>
      <xdr:rowOff>150283</xdr:rowOff>
    </xdr:to>
    <xdr:pic macro="[0]!week4">
      <xdr:nvPicPr>
        <xdr:cNvPr id="6" name="Picture 5">
          <a:extLst>
            <a:ext uri="{FF2B5EF4-FFF2-40B4-BE49-F238E27FC236}">
              <a16:creationId xmlns:a16="http://schemas.microsoft.com/office/drawing/2014/main" id="{13AB9940-9477-46A1-A044-9DD29B2C5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31</xdr:col>
      <xdr:colOff>306917</xdr:colOff>
      <xdr:row>61</xdr:row>
      <xdr:rowOff>42333</xdr:rowOff>
    </xdr:from>
    <xdr:to>
      <xdr:col>34</xdr:col>
      <xdr:colOff>198967</xdr:colOff>
      <xdr:row>64</xdr:row>
      <xdr:rowOff>150283</xdr:rowOff>
    </xdr:to>
    <xdr:pic macro="[0]!week3">
      <xdr:nvPicPr>
        <xdr:cNvPr id="7" name="Picture 6">
          <a:extLst>
            <a:ext uri="{FF2B5EF4-FFF2-40B4-BE49-F238E27FC236}">
              <a16:creationId xmlns:a16="http://schemas.microsoft.com/office/drawing/2014/main" id="{D1176854-BFF2-42AC-9175-963DC5ED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38</xdr:col>
      <xdr:colOff>95251</xdr:colOff>
      <xdr:row>61</xdr:row>
      <xdr:rowOff>74083</xdr:rowOff>
    </xdr:from>
    <xdr:to>
      <xdr:col>40</xdr:col>
      <xdr:colOff>601134</xdr:colOff>
      <xdr:row>65</xdr:row>
      <xdr:rowOff>1058</xdr:rowOff>
    </xdr:to>
    <xdr:pic macro="[0]!week5">
      <xdr:nvPicPr>
        <xdr:cNvPr id="8" name="Picture 7">
          <a:extLst>
            <a:ext uri="{FF2B5EF4-FFF2-40B4-BE49-F238E27FC236}">
              <a16:creationId xmlns:a16="http://schemas.microsoft.com/office/drawing/2014/main" id="{3C3EB2B9-23B4-4737-BA4F-EBC0A11C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43</xdr:col>
      <xdr:colOff>304800</xdr:colOff>
      <xdr:row>62</xdr:row>
      <xdr:rowOff>95250</xdr:rowOff>
    </xdr:from>
    <xdr:to>
      <xdr:col>47</xdr:col>
      <xdr:colOff>550718</xdr:colOff>
      <xdr:row>65</xdr:row>
      <xdr:rowOff>168275</xdr:rowOff>
    </xdr:to>
    <xdr:pic macro="[0]!Progressweek">
      <xdr:nvPicPr>
        <xdr:cNvPr id="9" name="Picture 8">
          <a:extLst>
            <a:ext uri="{FF2B5EF4-FFF2-40B4-BE49-F238E27FC236}">
              <a16:creationId xmlns:a16="http://schemas.microsoft.com/office/drawing/2014/main" id="{F73A96D3-4D4D-4B52-BB1B-41D73A94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1037167</xdr:colOff>
      <xdr:row>35</xdr:row>
      <xdr:rowOff>148166</xdr:rowOff>
    </xdr:from>
    <xdr:to>
      <xdr:col>19</xdr:col>
      <xdr:colOff>444499</xdr:colOff>
      <xdr:row>57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5E09E-EE72-4FB5-BC0D-9ED01538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253999</xdr:colOff>
      <xdr:row>63</xdr:row>
      <xdr:rowOff>169334</xdr:rowOff>
    </xdr:from>
    <xdr:to>
      <xdr:col>27</xdr:col>
      <xdr:colOff>565149</xdr:colOff>
      <xdr:row>67</xdr:row>
      <xdr:rowOff>106892</xdr:rowOff>
    </xdr:to>
    <xdr:pic macro="[0]!startmenu">
      <xdr:nvPicPr>
        <xdr:cNvPr id="3" name="Picture 2">
          <a:extLst>
            <a:ext uri="{FF2B5EF4-FFF2-40B4-BE49-F238E27FC236}">
              <a16:creationId xmlns:a16="http://schemas.microsoft.com/office/drawing/2014/main" id="{09973DBE-D117-4A8C-851F-E3D5522E8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28</xdr:col>
      <xdr:colOff>444500</xdr:colOff>
      <xdr:row>64</xdr:row>
      <xdr:rowOff>0</xdr:rowOff>
    </xdr:from>
    <xdr:to>
      <xdr:col>31</xdr:col>
      <xdr:colOff>307975</xdr:colOff>
      <xdr:row>67</xdr:row>
      <xdr:rowOff>107950</xdr:rowOff>
    </xdr:to>
    <xdr:pic macro="[0]!week1">
      <xdr:nvPicPr>
        <xdr:cNvPr id="4" name="Picture 3">
          <a:extLst>
            <a:ext uri="{FF2B5EF4-FFF2-40B4-BE49-F238E27FC236}">
              <a16:creationId xmlns:a16="http://schemas.microsoft.com/office/drawing/2014/main" id="{EE5688FE-A1D2-431E-8773-9F3943D9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32</xdr:col>
      <xdr:colOff>63500</xdr:colOff>
      <xdr:row>64</xdr:row>
      <xdr:rowOff>10582</xdr:rowOff>
    </xdr:from>
    <xdr:to>
      <xdr:col>34</xdr:col>
      <xdr:colOff>578909</xdr:colOff>
      <xdr:row>67</xdr:row>
      <xdr:rowOff>118532</xdr:rowOff>
    </xdr:to>
    <xdr:pic macro="[0]!week2">
      <xdr:nvPicPr>
        <xdr:cNvPr id="5" name="Picture 4">
          <a:extLst>
            <a:ext uri="{FF2B5EF4-FFF2-40B4-BE49-F238E27FC236}">
              <a16:creationId xmlns:a16="http://schemas.microsoft.com/office/drawing/2014/main" id="{90DA6ABF-73A3-462C-B6FB-4B09C55BF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38</xdr:col>
      <xdr:colOff>465666</xdr:colOff>
      <xdr:row>64</xdr:row>
      <xdr:rowOff>42333</xdr:rowOff>
    </xdr:from>
    <xdr:to>
      <xdr:col>41</xdr:col>
      <xdr:colOff>367241</xdr:colOff>
      <xdr:row>67</xdr:row>
      <xdr:rowOff>150283</xdr:rowOff>
    </xdr:to>
    <xdr:pic macro="[0]!week4">
      <xdr:nvPicPr>
        <xdr:cNvPr id="6" name="Picture 5">
          <a:extLst>
            <a:ext uri="{FF2B5EF4-FFF2-40B4-BE49-F238E27FC236}">
              <a16:creationId xmlns:a16="http://schemas.microsoft.com/office/drawing/2014/main" id="{50180BBF-CCE8-47D8-9320-24B9E5F0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35</xdr:col>
      <xdr:colOff>306917</xdr:colOff>
      <xdr:row>64</xdr:row>
      <xdr:rowOff>42333</xdr:rowOff>
    </xdr:from>
    <xdr:to>
      <xdr:col>38</xdr:col>
      <xdr:colOff>198967</xdr:colOff>
      <xdr:row>67</xdr:row>
      <xdr:rowOff>150283</xdr:rowOff>
    </xdr:to>
    <xdr:pic macro="[0]!week3">
      <xdr:nvPicPr>
        <xdr:cNvPr id="7" name="Picture 6">
          <a:extLst>
            <a:ext uri="{FF2B5EF4-FFF2-40B4-BE49-F238E27FC236}">
              <a16:creationId xmlns:a16="http://schemas.microsoft.com/office/drawing/2014/main" id="{4F1D3EAE-5883-4999-8758-766537B8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42</xdr:col>
      <xdr:colOff>95251</xdr:colOff>
      <xdr:row>64</xdr:row>
      <xdr:rowOff>74083</xdr:rowOff>
    </xdr:from>
    <xdr:to>
      <xdr:col>44</xdr:col>
      <xdr:colOff>601134</xdr:colOff>
      <xdr:row>68</xdr:row>
      <xdr:rowOff>1058</xdr:rowOff>
    </xdr:to>
    <xdr:pic macro="[0]!week5">
      <xdr:nvPicPr>
        <xdr:cNvPr id="8" name="Picture 7">
          <a:extLst>
            <a:ext uri="{FF2B5EF4-FFF2-40B4-BE49-F238E27FC236}">
              <a16:creationId xmlns:a16="http://schemas.microsoft.com/office/drawing/2014/main" id="{E18951F2-3F1E-4587-8C6D-0C1CE52CA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65</xdr:row>
      <xdr:rowOff>95250</xdr:rowOff>
    </xdr:from>
    <xdr:to>
      <xdr:col>50</xdr:col>
      <xdr:colOff>550718</xdr:colOff>
      <xdr:row>68</xdr:row>
      <xdr:rowOff>168275</xdr:rowOff>
    </xdr:to>
    <xdr:pic macro="[0]!Progressweek">
      <xdr:nvPicPr>
        <xdr:cNvPr id="9" name="Picture 8">
          <a:extLst>
            <a:ext uri="{FF2B5EF4-FFF2-40B4-BE49-F238E27FC236}">
              <a16:creationId xmlns:a16="http://schemas.microsoft.com/office/drawing/2014/main" id="{1E3DF13C-2C67-437B-AA3B-D80CBFC7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169334</xdr:colOff>
      <xdr:row>37</xdr:row>
      <xdr:rowOff>63500</xdr:rowOff>
    </xdr:from>
    <xdr:to>
      <xdr:col>21</xdr:col>
      <xdr:colOff>423333</xdr:colOff>
      <xdr:row>58</xdr:row>
      <xdr:rowOff>143933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E5280-9287-4F0F-BE4D-3A14E76AA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253999</xdr:colOff>
      <xdr:row>63</xdr:row>
      <xdr:rowOff>169334</xdr:rowOff>
    </xdr:from>
    <xdr:to>
      <xdr:col>28</xdr:col>
      <xdr:colOff>565149</xdr:colOff>
      <xdr:row>67</xdr:row>
      <xdr:rowOff>106892</xdr:rowOff>
    </xdr:to>
    <xdr:pic macro="[0]!startmenu">
      <xdr:nvPicPr>
        <xdr:cNvPr id="3" name="Picture 2">
          <a:extLst>
            <a:ext uri="{FF2B5EF4-FFF2-40B4-BE49-F238E27FC236}">
              <a16:creationId xmlns:a16="http://schemas.microsoft.com/office/drawing/2014/main" id="{464C85F4-400E-42E6-9A45-72218134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29</xdr:col>
      <xdr:colOff>444500</xdr:colOff>
      <xdr:row>64</xdr:row>
      <xdr:rowOff>0</xdr:rowOff>
    </xdr:from>
    <xdr:to>
      <xdr:col>32</xdr:col>
      <xdr:colOff>307975</xdr:colOff>
      <xdr:row>67</xdr:row>
      <xdr:rowOff>107950</xdr:rowOff>
    </xdr:to>
    <xdr:pic macro="[0]!week1">
      <xdr:nvPicPr>
        <xdr:cNvPr id="4" name="Picture 3">
          <a:extLst>
            <a:ext uri="{FF2B5EF4-FFF2-40B4-BE49-F238E27FC236}">
              <a16:creationId xmlns:a16="http://schemas.microsoft.com/office/drawing/2014/main" id="{99354C03-3F20-42F9-961E-D6DC4F274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33</xdr:col>
      <xdr:colOff>63500</xdr:colOff>
      <xdr:row>64</xdr:row>
      <xdr:rowOff>10582</xdr:rowOff>
    </xdr:from>
    <xdr:to>
      <xdr:col>35</xdr:col>
      <xdr:colOff>578909</xdr:colOff>
      <xdr:row>67</xdr:row>
      <xdr:rowOff>118532</xdr:rowOff>
    </xdr:to>
    <xdr:pic macro="[0]!week2">
      <xdr:nvPicPr>
        <xdr:cNvPr id="5" name="Picture 4">
          <a:extLst>
            <a:ext uri="{FF2B5EF4-FFF2-40B4-BE49-F238E27FC236}">
              <a16:creationId xmlns:a16="http://schemas.microsoft.com/office/drawing/2014/main" id="{EB41CBF3-56DC-4D65-AD57-31F64328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39</xdr:col>
      <xdr:colOff>465666</xdr:colOff>
      <xdr:row>64</xdr:row>
      <xdr:rowOff>42333</xdr:rowOff>
    </xdr:from>
    <xdr:to>
      <xdr:col>42</xdr:col>
      <xdr:colOff>367241</xdr:colOff>
      <xdr:row>67</xdr:row>
      <xdr:rowOff>150283</xdr:rowOff>
    </xdr:to>
    <xdr:pic macro="[0]!week4">
      <xdr:nvPicPr>
        <xdr:cNvPr id="6" name="Picture 5">
          <a:extLst>
            <a:ext uri="{FF2B5EF4-FFF2-40B4-BE49-F238E27FC236}">
              <a16:creationId xmlns:a16="http://schemas.microsoft.com/office/drawing/2014/main" id="{DB73FBB5-61A4-483F-B54A-482E55DA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36</xdr:col>
      <xdr:colOff>306917</xdr:colOff>
      <xdr:row>64</xdr:row>
      <xdr:rowOff>42333</xdr:rowOff>
    </xdr:from>
    <xdr:to>
      <xdr:col>39</xdr:col>
      <xdr:colOff>198967</xdr:colOff>
      <xdr:row>67</xdr:row>
      <xdr:rowOff>150283</xdr:rowOff>
    </xdr:to>
    <xdr:pic macro="[0]!week3">
      <xdr:nvPicPr>
        <xdr:cNvPr id="7" name="Picture 6">
          <a:extLst>
            <a:ext uri="{FF2B5EF4-FFF2-40B4-BE49-F238E27FC236}">
              <a16:creationId xmlns:a16="http://schemas.microsoft.com/office/drawing/2014/main" id="{21C11CC9-73C1-49F5-8BBE-FDEEEC10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43</xdr:col>
      <xdr:colOff>95251</xdr:colOff>
      <xdr:row>64</xdr:row>
      <xdr:rowOff>74083</xdr:rowOff>
    </xdr:from>
    <xdr:to>
      <xdr:col>45</xdr:col>
      <xdr:colOff>601134</xdr:colOff>
      <xdr:row>68</xdr:row>
      <xdr:rowOff>1058</xdr:rowOff>
    </xdr:to>
    <xdr:pic macro="[0]!week5">
      <xdr:nvPicPr>
        <xdr:cNvPr id="8" name="Picture 7">
          <a:extLst>
            <a:ext uri="{FF2B5EF4-FFF2-40B4-BE49-F238E27FC236}">
              <a16:creationId xmlns:a16="http://schemas.microsoft.com/office/drawing/2014/main" id="{C9869E7A-E5B8-479B-A47E-5AA35FF6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48</xdr:col>
      <xdr:colOff>304800</xdr:colOff>
      <xdr:row>65</xdr:row>
      <xdr:rowOff>95250</xdr:rowOff>
    </xdr:from>
    <xdr:to>
      <xdr:col>52</xdr:col>
      <xdr:colOff>550718</xdr:colOff>
      <xdr:row>68</xdr:row>
      <xdr:rowOff>168275</xdr:rowOff>
    </xdr:to>
    <xdr:pic macro="[0]!Progressweek">
      <xdr:nvPicPr>
        <xdr:cNvPr id="9" name="Picture 8">
          <a:extLst>
            <a:ext uri="{FF2B5EF4-FFF2-40B4-BE49-F238E27FC236}">
              <a16:creationId xmlns:a16="http://schemas.microsoft.com/office/drawing/2014/main" id="{A2FFA649-FE9C-4690-99E9-D9762765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84666</xdr:colOff>
      <xdr:row>45</xdr:row>
      <xdr:rowOff>21167</xdr:rowOff>
    </xdr:from>
    <xdr:to>
      <xdr:col>24</xdr:col>
      <xdr:colOff>359832</xdr:colOff>
      <xdr:row>64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94F00-70DC-4705-890D-FC9B2A4B3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253999</xdr:colOff>
      <xdr:row>68</xdr:row>
      <xdr:rowOff>169334</xdr:rowOff>
    </xdr:from>
    <xdr:to>
      <xdr:col>31</xdr:col>
      <xdr:colOff>565149</xdr:colOff>
      <xdr:row>72</xdr:row>
      <xdr:rowOff>30692</xdr:rowOff>
    </xdr:to>
    <xdr:pic macro="[0]!startmenu">
      <xdr:nvPicPr>
        <xdr:cNvPr id="3" name="Picture 2">
          <a:extLst>
            <a:ext uri="{FF2B5EF4-FFF2-40B4-BE49-F238E27FC236}">
              <a16:creationId xmlns:a16="http://schemas.microsoft.com/office/drawing/2014/main" id="{933E5599-1180-40FD-8036-4DB2A06CF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550834"/>
          <a:ext cx="2139950" cy="670983"/>
        </a:xfrm>
        <a:prstGeom prst="rect">
          <a:avLst/>
        </a:prstGeom>
      </xdr:spPr>
    </xdr:pic>
    <xdr:clientData/>
  </xdr:twoCellAnchor>
  <xdr:twoCellAnchor editAs="oneCell">
    <xdr:from>
      <xdr:col>32</xdr:col>
      <xdr:colOff>444500</xdr:colOff>
      <xdr:row>69</xdr:row>
      <xdr:rowOff>0</xdr:rowOff>
    </xdr:from>
    <xdr:to>
      <xdr:col>35</xdr:col>
      <xdr:colOff>307975</xdr:colOff>
      <xdr:row>72</xdr:row>
      <xdr:rowOff>50800</xdr:rowOff>
    </xdr:to>
    <xdr:pic macro="[0]!week1">
      <xdr:nvPicPr>
        <xdr:cNvPr id="4" name="Picture 3">
          <a:extLst>
            <a:ext uri="{FF2B5EF4-FFF2-40B4-BE49-F238E27FC236}">
              <a16:creationId xmlns:a16="http://schemas.microsoft.com/office/drawing/2014/main" id="{5863C880-D6E8-42FC-B172-1F5782A32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0" y="4572000"/>
          <a:ext cx="1692275" cy="660400"/>
        </a:xfrm>
        <a:prstGeom prst="rect">
          <a:avLst/>
        </a:prstGeom>
      </xdr:spPr>
    </xdr:pic>
    <xdr:clientData/>
  </xdr:twoCellAnchor>
  <xdr:twoCellAnchor editAs="oneCell">
    <xdr:from>
      <xdr:col>36</xdr:col>
      <xdr:colOff>63500</xdr:colOff>
      <xdr:row>69</xdr:row>
      <xdr:rowOff>10582</xdr:rowOff>
    </xdr:from>
    <xdr:to>
      <xdr:col>38</xdr:col>
      <xdr:colOff>578909</xdr:colOff>
      <xdr:row>72</xdr:row>
      <xdr:rowOff>61382</xdr:rowOff>
    </xdr:to>
    <xdr:pic macro="[0]!week2">
      <xdr:nvPicPr>
        <xdr:cNvPr id="5" name="Picture 4">
          <a:extLst>
            <a:ext uri="{FF2B5EF4-FFF2-40B4-BE49-F238E27FC236}">
              <a16:creationId xmlns:a16="http://schemas.microsoft.com/office/drawing/2014/main" id="{B40033DE-8D6A-4D29-85A0-371DFB6A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300" y="4582582"/>
          <a:ext cx="1734609" cy="660400"/>
        </a:xfrm>
        <a:prstGeom prst="rect">
          <a:avLst/>
        </a:prstGeom>
      </xdr:spPr>
    </xdr:pic>
    <xdr:clientData/>
  </xdr:twoCellAnchor>
  <xdr:twoCellAnchor editAs="oneCell">
    <xdr:from>
      <xdr:col>42</xdr:col>
      <xdr:colOff>465666</xdr:colOff>
      <xdr:row>69</xdr:row>
      <xdr:rowOff>42333</xdr:rowOff>
    </xdr:from>
    <xdr:to>
      <xdr:col>45</xdr:col>
      <xdr:colOff>367241</xdr:colOff>
      <xdr:row>72</xdr:row>
      <xdr:rowOff>93133</xdr:rowOff>
    </xdr:to>
    <xdr:pic macro="[0]!week4">
      <xdr:nvPicPr>
        <xdr:cNvPr id="6" name="Picture 5">
          <a:extLst>
            <a:ext uri="{FF2B5EF4-FFF2-40B4-BE49-F238E27FC236}">
              <a16:creationId xmlns:a16="http://schemas.microsoft.com/office/drawing/2014/main" id="{CBB05C08-5B6B-4A75-BB5A-984C9318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0066" y="4614333"/>
          <a:ext cx="1730375" cy="660400"/>
        </a:xfrm>
        <a:prstGeom prst="rect">
          <a:avLst/>
        </a:prstGeom>
      </xdr:spPr>
    </xdr:pic>
    <xdr:clientData/>
  </xdr:twoCellAnchor>
  <xdr:twoCellAnchor editAs="oneCell">
    <xdr:from>
      <xdr:col>39</xdr:col>
      <xdr:colOff>306917</xdr:colOff>
      <xdr:row>69</xdr:row>
      <xdr:rowOff>42333</xdr:rowOff>
    </xdr:from>
    <xdr:to>
      <xdr:col>42</xdr:col>
      <xdr:colOff>198967</xdr:colOff>
      <xdr:row>72</xdr:row>
      <xdr:rowOff>93133</xdr:rowOff>
    </xdr:to>
    <xdr:pic macro="[0]!week3">
      <xdr:nvPicPr>
        <xdr:cNvPr id="7" name="Picture 6">
          <a:extLst>
            <a:ext uri="{FF2B5EF4-FFF2-40B4-BE49-F238E27FC236}">
              <a16:creationId xmlns:a16="http://schemas.microsoft.com/office/drawing/2014/main" id="{1D7CDD95-0759-4016-A8C0-4D0E52B2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2517" y="4614333"/>
          <a:ext cx="1720850" cy="660400"/>
        </a:xfrm>
        <a:prstGeom prst="rect">
          <a:avLst/>
        </a:prstGeom>
      </xdr:spPr>
    </xdr:pic>
    <xdr:clientData/>
  </xdr:twoCellAnchor>
  <xdr:twoCellAnchor editAs="oneCell">
    <xdr:from>
      <xdr:col>46</xdr:col>
      <xdr:colOff>95251</xdr:colOff>
      <xdr:row>69</xdr:row>
      <xdr:rowOff>74083</xdr:rowOff>
    </xdr:from>
    <xdr:to>
      <xdr:col>48</xdr:col>
      <xdr:colOff>601134</xdr:colOff>
      <xdr:row>72</xdr:row>
      <xdr:rowOff>124883</xdr:rowOff>
    </xdr:to>
    <xdr:pic macro="[0]!week5">
      <xdr:nvPicPr>
        <xdr:cNvPr id="8" name="Picture 7">
          <a:extLst>
            <a:ext uri="{FF2B5EF4-FFF2-40B4-BE49-F238E27FC236}">
              <a16:creationId xmlns:a16="http://schemas.microsoft.com/office/drawing/2014/main" id="{4D11BEB9-6AB8-4E5C-A1A8-2DF97AB5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4646083"/>
          <a:ext cx="1725083" cy="660400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69</xdr:row>
      <xdr:rowOff>95250</xdr:rowOff>
    </xdr:from>
    <xdr:to>
      <xdr:col>53</xdr:col>
      <xdr:colOff>550718</xdr:colOff>
      <xdr:row>72</xdr:row>
      <xdr:rowOff>139700</xdr:rowOff>
    </xdr:to>
    <xdr:pic macro="[0]!Progressweek">
      <xdr:nvPicPr>
        <xdr:cNvPr id="9" name="Picture 8">
          <a:extLst>
            <a:ext uri="{FF2B5EF4-FFF2-40B4-BE49-F238E27FC236}">
              <a16:creationId xmlns:a16="http://schemas.microsoft.com/office/drawing/2014/main" id="{727F78DB-F27A-4C55-8853-6A612DB2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0" y="14306550"/>
          <a:ext cx="2684318" cy="63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157691</xdr:rowOff>
    </xdr:from>
    <xdr:to>
      <xdr:col>7</xdr:col>
      <xdr:colOff>275167</xdr:colOff>
      <xdr:row>22</xdr:row>
      <xdr:rowOff>22224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7CCB2-C531-B730-7A7B-5901B3A94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15875</xdr:colOff>
      <xdr:row>6</xdr:row>
      <xdr:rowOff>157694</xdr:rowOff>
    </xdr:from>
    <xdr:to>
      <xdr:col>15</xdr:col>
      <xdr:colOff>291042</xdr:colOff>
      <xdr:row>22</xdr:row>
      <xdr:rowOff>22227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BCBE2-BBC3-1873-CDA8-5226E4D33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185209</xdr:colOff>
      <xdr:row>6</xdr:row>
      <xdr:rowOff>136524</xdr:rowOff>
    </xdr:from>
    <xdr:to>
      <xdr:col>24</xdr:col>
      <xdr:colOff>460376</xdr:colOff>
      <xdr:row>22</xdr:row>
      <xdr:rowOff>1057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47E60-796E-571C-5732-15350F39B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444501</xdr:colOff>
      <xdr:row>5</xdr:row>
      <xdr:rowOff>63499</xdr:rowOff>
    </xdr:from>
    <xdr:to>
      <xdr:col>29</xdr:col>
      <xdr:colOff>94192</xdr:colOff>
      <xdr:row>8</xdr:row>
      <xdr:rowOff>152399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7F22CC-596B-16E1-BBCB-0FD1B22E7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0334" y="963082"/>
          <a:ext cx="2105025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253999</xdr:colOff>
      <xdr:row>23</xdr:row>
      <xdr:rowOff>169334</xdr:rowOff>
    </xdr:from>
    <xdr:to>
      <xdr:col>3</xdr:col>
      <xdr:colOff>565149</xdr:colOff>
      <xdr:row>27</xdr:row>
      <xdr:rowOff>78317</xdr:rowOff>
    </xdr:to>
    <xdr:pic macro="[0]!startmenu">
      <xdr:nvPicPr>
        <xdr:cNvPr id="10" name="Picture 9">
          <a:extLst>
            <a:ext uri="{FF2B5EF4-FFF2-40B4-BE49-F238E27FC236}">
              <a16:creationId xmlns:a16="http://schemas.microsoft.com/office/drawing/2014/main" id="{D42D9D2C-2E91-B095-CAAF-D123E3E4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4307417"/>
          <a:ext cx="2152650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24</xdr:row>
      <xdr:rowOff>0</xdr:rowOff>
    </xdr:from>
    <xdr:to>
      <xdr:col>7</xdr:col>
      <xdr:colOff>307975</xdr:colOff>
      <xdr:row>27</xdr:row>
      <xdr:rowOff>88900</xdr:rowOff>
    </xdr:to>
    <xdr:pic macro="[0]!week1">
      <xdr:nvPicPr>
        <xdr:cNvPr id="13" name="Picture 12">
          <a:extLst>
            <a:ext uri="{FF2B5EF4-FFF2-40B4-BE49-F238E27FC236}">
              <a16:creationId xmlns:a16="http://schemas.microsoft.com/office/drawing/2014/main" id="{496998C2-0862-902C-6FE7-1CC92F57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833" y="4318000"/>
          <a:ext cx="1704975" cy="62865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24</xdr:row>
      <xdr:rowOff>10582</xdr:rowOff>
    </xdr:from>
    <xdr:to>
      <xdr:col>10</xdr:col>
      <xdr:colOff>578909</xdr:colOff>
      <xdr:row>27</xdr:row>
      <xdr:rowOff>99482</xdr:rowOff>
    </xdr:to>
    <xdr:pic macro="[0]!week2">
      <xdr:nvPicPr>
        <xdr:cNvPr id="17" name="Picture 16">
          <a:extLst>
            <a:ext uri="{FF2B5EF4-FFF2-40B4-BE49-F238E27FC236}">
              <a16:creationId xmlns:a16="http://schemas.microsoft.com/office/drawing/2014/main" id="{E20CAF00-F2A5-2AD1-26AC-F0F1AD0C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4167" y="4328582"/>
          <a:ext cx="1743075" cy="628650"/>
        </a:xfrm>
        <a:prstGeom prst="rect">
          <a:avLst/>
        </a:prstGeom>
      </xdr:spPr>
    </xdr:pic>
    <xdr:clientData/>
  </xdr:twoCellAnchor>
  <xdr:twoCellAnchor editAs="oneCell">
    <xdr:from>
      <xdr:col>14</xdr:col>
      <xdr:colOff>465666</xdr:colOff>
      <xdr:row>24</xdr:row>
      <xdr:rowOff>42333</xdr:rowOff>
    </xdr:from>
    <xdr:to>
      <xdr:col>17</xdr:col>
      <xdr:colOff>367241</xdr:colOff>
      <xdr:row>27</xdr:row>
      <xdr:rowOff>131233</xdr:rowOff>
    </xdr:to>
    <xdr:pic macro="[0]!week4">
      <xdr:nvPicPr>
        <xdr:cNvPr id="19" name="Picture 18">
          <a:extLst>
            <a:ext uri="{FF2B5EF4-FFF2-40B4-BE49-F238E27FC236}">
              <a16:creationId xmlns:a16="http://schemas.microsoft.com/office/drawing/2014/main" id="{9B8C9E3A-9DC7-E5F2-823E-545E1BD7B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9333" y="4360333"/>
          <a:ext cx="1743075" cy="628650"/>
        </a:xfrm>
        <a:prstGeom prst="rect">
          <a:avLst/>
        </a:prstGeom>
      </xdr:spPr>
    </xdr:pic>
    <xdr:clientData/>
  </xdr:twoCellAnchor>
  <xdr:twoCellAnchor editAs="oneCell">
    <xdr:from>
      <xdr:col>11</xdr:col>
      <xdr:colOff>306917</xdr:colOff>
      <xdr:row>24</xdr:row>
      <xdr:rowOff>42333</xdr:rowOff>
    </xdr:from>
    <xdr:to>
      <xdr:col>14</xdr:col>
      <xdr:colOff>198967</xdr:colOff>
      <xdr:row>27</xdr:row>
      <xdr:rowOff>131233</xdr:rowOff>
    </xdr:to>
    <xdr:pic macro="[0]!week3">
      <xdr:nvPicPr>
        <xdr:cNvPr id="21" name="Picture 20">
          <a:extLst>
            <a:ext uri="{FF2B5EF4-FFF2-40B4-BE49-F238E27FC236}">
              <a16:creationId xmlns:a16="http://schemas.microsoft.com/office/drawing/2014/main" id="{62F5F4EE-F93E-345C-0E29-E6ED61AA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084" y="4360333"/>
          <a:ext cx="1733550" cy="628650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95251</xdr:colOff>
      <xdr:row>24</xdr:row>
      <xdr:rowOff>74083</xdr:rowOff>
    </xdr:from>
    <xdr:to>
      <xdr:col>20</xdr:col>
      <xdr:colOff>601134</xdr:colOff>
      <xdr:row>27</xdr:row>
      <xdr:rowOff>162983</xdr:rowOff>
    </xdr:to>
    <xdr:pic macro="[0]!week5">
      <xdr:nvPicPr>
        <xdr:cNvPr id="27" name="Picture 26">
          <a:extLst>
            <a:ext uri="{FF2B5EF4-FFF2-40B4-BE49-F238E27FC236}">
              <a16:creationId xmlns:a16="http://schemas.microsoft.com/office/drawing/2014/main" id="{A3F66DFF-3D93-169B-7BE4-93F7E0B5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1" y="4392083"/>
          <a:ext cx="1733550" cy="628650"/>
        </a:xfrm>
        <a:prstGeom prst="rect">
          <a:avLst/>
        </a:prstGeom>
      </xdr:spPr>
    </xdr:pic>
    <xdr:clientData/>
  </xdr:twoCellAnchor>
  <xdr:twoCellAnchor editAs="oneCell">
    <xdr:from>
      <xdr:col>23</xdr:col>
      <xdr:colOff>304800</xdr:colOff>
      <xdr:row>27</xdr:row>
      <xdr:rowOff>95250</xdr:rowOff>
    </xdr:from>
    <xdr:to>
      <xdr:col>27</xdr:col>
      <xdr:colOff>550718</xdr:colOff>
      <xdr:row>30</xdr:row>
      <xdr:rowOff>149225</xdr:rowOff>
    </xdr:to>
    <xdr:pic macro="[0]!Progressweek">
      <xdr:nvPicPr>
        <xdr:cNvPr id="16" name="Picture 15">
          <a:extLst>
            <a:ext uri="{FF2B5EF4-FFF2-40B4-BE49-F238E27FC236}">
              <a16:creationId xmlns:a16="http://schemas.microsoft.com/office/drawing/2014/main" id="{96FCB952-06C9-4DF9-BC97-0ADDEE1CC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7225" y="13992225"/>
          <a:ext cx="2684318" cy="62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79A1-0293-4610-A87A-54D4D32183F9}">
  <dimension ref="A1:AA38"/>
  <sheetViews>
    <sheetView zoomScale="50" zoomScaleNormal="50" workbookViewId="0">
      <selection activeCell="B24" sqref="B24"/>
    </sheetView>
  </sheetViews>
  <sheetFormatPr defaultRowHeight="15"/>
  <cols>
    <col min="1" max="1" width="37.5703125" bestFit="1" customWidth="1"/>
    <col min="2" max="2" width="35.7109375" customWidth="1"/>
    <col min="3" max="3" width="21.7109375" customWidth="1"/>
    <col min="4" max="4" width="6.85546875" customWidth="1"/>
    <col min="5" max="5" width="30.5703125" customWidth="1"/>
    <col min="6" max="6" width="40.42578125" customWidth="1"/>
    <col min="9" max="9" width="29.85546875" customWidth="1"/>
  </cols>
  <sheetData>
    <row r="1" spans="1:27" ht="1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spans="1:27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thickBot="1">
      <c r="A9" s="84" t="s">
        <v>1</v>
      </c>
      <c r="B9" s="87" t="s">
        <v>2</v>
      </c>
      <c r="C9" s="9"/>
      <c r="D9" s="10"/>
      <c r="E9" s="10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>
      <c r="A10" s="85"/>
      <c r="B10" s="88"/>
      <c r="C10" s="9"/>
      <c r="D10" s="10"/>
      <c r="E10" s="84" t="s">
        <v>3</v>
      </c>
      <c r="F10" s="87" t="s">
        <v>4</v>
      </c>
      <c r="G10" s="10"/>
      <c r="H10" s="2"/>
      <c r="I10" s="84" t="s">
        <v>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>
      <c r="A11" s="86"/>
      <c r="B11" s="89"/>
      <c r="C11" s="9"/>
      <c r="D11" s="10"/>
      <c r="E11" s="85"/>
      <c r="F11" s="88"/>
      <c r="G11" s="10"/>
      <c r="H11" s="2"/>
      <c r="I11" s="8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customHeight="1" thickBot="1">
      <c r="A12" s="3" t="s">
        <v>6</v>
      </c>
      <c r="B12" s="4">
        <v>310</v>
      </c>
      <c r="C12" s="2"/>
      <c r="D12" s="2"/>
      <c r="E12" s="86"/>
      <c r="F12" s="89"/>
      <c r="G12" s="2"/>
      <c r="H12" s="2"/>
      <c r="I12" s="9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6">
      <c r="A13" s="3" t="s">
        <v>7</v>
      </c>
      <c r="B13" s="4">
        <v>265</v>
      </c>
      <c r="C13" s="2"/>
      <c r="D13" s="2"/>
      <c r="E13" s="3" t="s">
        <v>8</v>
      </c>
      <c r="F13" s="8">
        <v>5.5</v>
      </c>
      <c r="G13" s="2"/>
      <c r="H13" s="2"/>
      <c r="I13" s="5">
        <v>30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">
      <c r="A14" s="3" t="s">
        <v>9</v>
      </c>
      <c r="B14" s="4">
        <v>340</v>
      </c>
      <c r="C14" s="2"/>
      <c r="D14" s="2"/>
      <c r="E14" s="3" t="s">
        <v>10</v>
      </c>
      <c r="F14" s="8">
        <v>8</v>
      </c>
      <c r="G14" s="2"/>
      <c r="H14" s="2"/>
      <c r="I14" s="8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6">
      <c r="A15" s="3" t="s">
        <v>11</v>
      </c>
      <c r="B15" s="4">
        <v>300</v>
      </c>
      <c r="C15" s="2"/>
      <c r="D15" s="2"/>
      <c r="E15" s="3" t="s">
        <v>12</v>
      </c>
      <c r="F15" s="8">
        <v>4</v>
      </c>
      <c r="G15" s="2"/>
      <c r="H15" s="2"/>
      <c r="I15" s="8">
        <v>20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">
      <c r="A16" s="3" t="s">
        <v>13</v>
      </c>
      <c r="B16" s="4">
        <v>250</v>
      </c>
      <c r="C16" s="2"/>
      <c r="D16" s="2"/>
      <c r="E16" s="3" t="s">
        <v>14</v>
      </c>
      <c r="F16" s="8">
        <v>9.8000000000000007</v>
      </c>
      <c r="G16" s="2"/>
      <c r="H16" s="2"/>
      <c r="I16" s="8">
        <v>30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36">
      <c r="A17" s="6" t="s">
        <v>15</v>
      </c>
      <c r="B17" s="7" t="s">
        <v>16</v>
      </c>
      <c r="C17" s="2"/>
      <c r="D17" s="2"/>
      <c r="E17" s="3" t="s">
        <v>17</v>
      </c>
      <c r="F17" s="8">
        <v>6</v>
      </c>
      <c r="G17" s="2"/>
      <c r="H17" s="2"/>
      <c r="I17" s="8">
        <v>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6">
      <c r="A18" s="3" t="s">
        <v>18</v>
      </c>
      <c r="B18" s="8">
        <v>350</v>
      </c>
      <c r="C18" s="2"/>
      <c r="D18" s="2"/>
      <c r="E18" s="3" t="s">
        <v>19</v>
      </c>
      <c r="F18" s="8">
        <v>2.5</v>
      </c>
      <c r="G18" s="2"/>
      <c r="H18" s="2"/>
      <c r="I18" s="8">
        <v>15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6">
      <c r="A19" s="3" t="s">
        <v>20</v>
      </c>
      <c r="B19" s="8">
        <v>400</v>
      </c>
      <c r="C19" s="2"/>
      <c r="D19" s="2"/>
      <c r="E19" s="3" t="s">
        <v>21</v>
      </c>
      <c r="F19" s="8">
        <v>10</v>
      </c>
      <c r="G19" s="2"/>
      <c r="H19" s="2"/>
      <c r="I19" s="8">
        <v>30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36">
      <c r="A20" s="3" t="s">
        <v>22</v>
      </c>
      <c r="B20" s="8">
        <v>450</v>
      </c>
      <c r="C20" s="2"/>
      <c r="D20" s="2"/>
      <c r="E20" s="3" t="s">
        <v>23</v>
      </c>
      <c r="F20" s="8">
        <v>4.8</v>
      </c>
      <c r="G20" s="2"/>
      <c r="H20" s="2"/>
      <c r="I20" s="8">
        <v>45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6">
      <c r="A21" s="3" t="s">
        <v>24</v>
      </c>
      <c r="B21" s="8">
        <v>400</v>
      </c>
      <c r="C21" s="2"/>
      <c r="D21" s="2"/>
      <c r="E21" s="3" t="s">
        <v>25</v>
      </c>
      <c r="F21" s="8">
        <v>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6">
      <c r="A22" s="3" t="s">
        <v>26</v>
      </c>
      <c r="B22" s="8">
        <v>350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>
      <c r="A23" s="6" t="s">
        <v>27</v>
      </c>
      <c r="B23" s="7" t="s">
        <v>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6">
      <c r="A24" s="3" t="s">
        <v>28</v>
      </c>
      <c r="B24" s="18">
        <v>450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6">
      <c r="A25" s="3" t="s">
        <v>29</v>
      </c>
      <c r="B25" s="18">
        <v>500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6">
      <c r="A26" s="3" t="s">
        <v>30</v>
      </c>
      <c r="B26" s="18">
        <v>480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6">
      <c r="A27" s="3" t="s">
        <v>31</v>
      </c>
      <c r="B27" s="18">
        <v>470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54">
      <c r="A28" s="3" t="s">
        <v>32</v>
      </c>
      <c r="B28" s="18">
        <v>520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</sheetData>
  <mergeCells count="6">
    <mergeCell ref="A1:AA4"/>
    <mergeCell ref="A9:A11"/>
    <mergeCell ref="B9:B11"/>
    <mergeCell ref="E10:E12"/>
    <mergeCell ref="F10:F12"/>
    <mergeCell ref="I10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8BC2-01B4-4CBE-B747-72B76E0D83C5}">
  <dimension ref="A1:AI45"/>
  <sheetViews>
    <sheetView zoomScale="60" zoomScaleNormal="60" workbookViewId="0">
      <selection activeCell="E16" sqref="E16"/>
    </sheetView>
  </sheetViews>
  <sheetFormatPr defaultRowHeight="15"/>
  <cols>
    <col min="8" max="8" width="15.42578125" customWidth="1"/>
  </cols>
  <sheetData>
    <row r="1" spans="1:32" ht="15" customHeight="1">
      <c r="A1" s="91" t="s">
        <v>33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 spans="1:32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</row>
    <row r="5" spans="1:3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" customHeight="1">
      <c r="A8" s="67" t="s">
        <v>34</v>
      </c>
      <c r="B8" s="80"/>
      <c r="C8" s="80"/>
      <c r="D8" s="80"/>
      <c r="E8" s="80"/>
      <c r="F8" s="80"/>
      <c r="G8" s="80"/>
      <c r="H8" s="80"/>
      <c r="I8" s="80"/>
      <c r="J8" s="6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69"/>
      <c r="B9" s="81"/>
      <c r="C9" s="81"/>
      <c r="D9" s="81"/>
      <c r="E9" s="81"/>
      <c r="F9" s="81"/>
      <c r="G9" s="81"/>
      <c r="H9" s="81"/>
      <c r="I9" s="81"/>
      <c r="J9" s="7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.75" thickBot="1">
      <c r="A10" s="96" t="s">
        <v>35</v>
      </c>
      <c r="B10" s="97"/>
      <c r="C10" s="97"/>
      <c r="D10" s="97"/>
      <c r="E10" s="12">
        <v>151</v>
      </c>
      <c r="F10" s="11"/>
      <c r="G10" s="98" t="s">
        <v>36</v>
      </c>
      <c r="H10" s="97"/>
      <c r="I10" s="99">
        <f>CONVERT(E10,"lbm","kg")</f>
        <v>68.492447870000007</v>
      </c>
      <c r="J10" s="10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.75" thickBot="1">
      <c r="A13" s="2"/>
      <c r="B13" s="2"/>
      <c r="C13" s="2"/>
      <c r="D13" s="2"/>
      <c r="E13" s="2"/>
      <c r="F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thickBot="1">
      <c r="A14" s="93" t="s">
        <v>37</v>
      </c>
      <c r="B14" s="94"/>
      <c r="C14" s="94"/>
      <c r="D14" s="94"/>
      <c r="E14" s="14">
        <v>2</v>
      </c>
      <c r="F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.75" thickBot="1">
      <c r="A15" s="93" t="s">
        <v>38</v>
      </c>
      <c r="B15" s="94"/>
      <c r="C15" s="94"/>
      <c r="D15" s="95"/>
      <c r="E15" s="13">
        <v>200</v>
      </c>
      <c r="F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thickBot="1">
      <c r="A16" s="93" t="s">
        <v>39</v>
      </c>
      <c r="B16" s="94"/>
      <c r="C16" s="94"/>
      <c r="D16" s="95"/>
      <c r="E16" s="13">
        <f>weightKG0/(HeightMeters*HeightMeters)</f>
        <v>50</v>
      </c>
      <c r="F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6"/>
    </row>
    <row r="39" spans="1: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6"/>
    </row>
    <row r="40" spans="1: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6"/>
    </row>
    <row r="41" spans="1: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36"/>
    </row>
    <row r="42" spans="1: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6"/>
    </row>
    <row r="43" spans="1:35">
      <c r="AD43" s="2"/>
      <c r="AE43" s="2"/>
      <c r="AF43" s="2"/>
      <c r="AG43" s="2"/>
      <c r="AH43" s="2"/>
      <c r="AI43" s="36"/>
    </row>
    <row r="44" spans="1:35">
      <c r="AD44" s="2"/>
      <c r="AE44" s="2"/>
      <c r="AF44" s="2"/>
      <c r="AG44" s="2"/>
      <c r="AH44" s="2"/>
      <c r="AI44" s="36"/>
    </row>
    <row r="45" spans="1:35">
      <c r="AD45" s="2"/>
      <c r="AE45" s="2"/>
      <c r="AF45" s="2"/>
      <c r="AG45" s="2"/>
      <c r="AH45" s="2"/>
      <c r="AI45" s="36"/>
    </row>
  </sheetData>
  <mergeCells count="10">
    <mergeCell ref="AI38:AI41"/>
    <mergeCell ref="AI42:AI45"/>
    <mergeCell ref="A1:AF4"/>
    <mergeCell ref="A14:D14"/>
    <mergeCell ref="A15:D15"/>
    <mergeCell ref="A16:D16"/>
    <mergeCell ref="A10:D10"/>
    <mergeCell ref="A8:J9"/>
    <mergeCell ref="G10:H10"/>
    <mergeCell ref="I10:J10"/>
  </mergeCells>
  <dataValidations count="3">
    <dataValidation type="decimal" allowBlank="1" showInputMessage="1" showErrorMessage="1" errorTitle="Error" error="please ensure the correct values from 0 to 1400" prompt="Please enter your weight between 0 and 150" sqref="E10" xr:uid="{12D3E71B-5817-4257-BDE9-42AFCFD03F62}">
      <formula1>0</formula1>
      <formula2>1400</formula2>
    </dataValidation>
    <dataValidation type="decimal" allowBlank="1" showInputMessage="1" showErrorMessage="1" errorTitle="Error" error="please ensure the right heights between 1.6-4.5" sqref="E14" xr:uid="{D506C16F-BDE8-430C-B8E1-B206BB044476}">
      <formula1>1.6</formula1>
      <formula2>4.5</formula2>
    </dataValidation>
    <dataValidation type="whole" allowBlank="1" showInputMessage="1" showErrorMessage="1" errorTitle="error" error="Please ensure the right weight between 50 and 250" sqref="E15" xr:uid="{9E358D09-5832-4E33-966E-E330FEC2BD76}">
      <formula1>50</formula1>
      <formula2>250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61F6-ABDF-4D0C-8993-34E3699B80A8}">
  <dimension ref="A1:FS78"/>
  <sheetViews>
    <sheetView tabSelected="1" topLeftCell="A2" zoomScale="60" zoomScaleNormal="60" workbookViewId="0">
      <selection activeCell="FC28" sqref="FC28"/>
    </sheetView>
  </sheetViews>
  <sheetFormatPr defaultRowHeight="15"/>
  <cols>
    <col min="3" max="3" width="38" customWidth="1"/>
    <col min="4" max="4" width="22" customWidth="1"/>
    <col min="5" max="5" width="31.42578125" customWidth="1"/>
    <col min="6" max="6" width="24.7109375" customWidth="1"/>
    <col min="8" max="8" width="7.85546875" customWidth="1"/>
    <col min="9" max="9" width="21.5703125" customWidth="1"/>
    <col min="10" max="10" width="6.140625" customWidth="1"/>
    <col min="11" max="11" width="11.140625" customWidth="1"/>
    <col min="12" max="12" width="16.42578125" customWidth="1"/>
    <col min="14" max="14" width="23.42578125" customWidth="1"/>
    <col min="16" max="17" width="14.5703125" customWidth="1"/>
    <col min="18" max="18" width="13.7109375" customWidth="1"/>
    <col min="28" max="28" width="37.85546875" customWidth="1"/>
    <col min="29" max="29" width="25.7109375" customWidth="1"/>
    <col min="30" max="30" width="27.42578125" customWidth="1"/>
    <col min="31" max="31" width="13.85546875" customWidth="1"/>
    <col min="35" max="35" width="25.140625" customWidth="1"/>
    <col min="37" max="37" width="17.5703125" customWidth="1"/>
    <col min="41" max="41" width="16.85546875" customWidth="1"/>
    <col min="43" max="43" width="32.140625" customWidth="1"/>
    <col min="53" max="53" width="40.5703125" customWidth="1"/>
    <col min="54" max="54" width="28.140625" customWidth="1"/>
    <col min="55" max="55" width="23.85546875" customWidth="1"/>
    <col min="56" max="56" width="21.42578125" customWidth="1"/>
    <col min="60" max="60" width="20.5703125" customWidth="1"/>
    <col min="64" max="64" width="12.42578125" customWidth="1"/>
    <col min="67" max="67" width="15.140625" customWidth="1"/>
    <col min="78" max="78" width="37.85546875" customWidth="1"/>
    <col min="79" max="79" width="20.28515625" customWidth="1"/>
    <col min="80" max="80" width="31.7109375" customWidth="1"/>
    <col min="81" max="81" width="17.5703125" customWidth="1"/>
    <col min="103" max="103" width="42.42578125" customWidth="1"/>
    <col min="105" max="105" width="27.140625" customWidth="1"/>
    <col min="106" max="106" width="16.85546875" customWidth="1"/>
    <col min="110" max="110" width="16.28515625" customWidth="1"/>
    <col min="112" max="112" width="18.42578125" customWidth="1"/>
    <col min="114" max="114" width="16.28515625" customWidth="1"/>
    <col min="118" max="118" width="16.28515625" customWidth="1"/>
    <col min="127" max="127" width="7.5703125" customWidth="1"/>
    <col min="128" max="128" width="33.5703125" customWidth="1"/>
    <col min="129" max="129" width="24.7109375" customWidth="1"/>
    <col min="130" max="130" width="28.140625" customWidth="1"/>
    <col min="131" max="131" width="16" customWidth="1"/>
    <col min="135" max="135" width="16.5703125" customWidth="1"/>
    <col min="152" max="152" width="15.7109375" customWidth="1"/>
    <col min="153" max="153" width="31.140625" customWidth="1"/>
    <col min="155" max="155" width="23.85546875" customWidth="1"/>
    <col min="156" max="156" width="19" customWidth="1"/>
    <col min="157" max="157" width="17.8554687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>
      <c r="A3" s="2"/>
      <c r="B3" s="42" t="s">
        <v>40</v>
      </c>
      <c r="C3" s="43"/>
      <c r="D3" s="46">
        <v>200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2" t="s">
        <v>40</v>
      </c>
      <c r="AB3" s="43"/>
      <c r="AC3" s="46">
        <v>200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42" t="s">
        <v>40</v>
      </c>
      <c r="BA3" s="43"/>
      <c r="BB3" s="46">
        <v>200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2" t="s">
        <v>40</v>
      </c>
      <c r="BZ3" s="43"/>
      <c r="CA3" s="46">
        <v>200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2" t="s">
        <v>40</v>
      </c>
      <c r="CY3" s="43"/>
      <c r="CZ3" s="46">
        <v>200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42" t="s">
        <v>40</v>
      </c>
      <c r="DX3" s="43"/>
      <c r="DY3" s="46">
        <v>200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42" t="s">
        <v>40</v>
      </c>
      <c r="EW3" s="43"/>
      <c r="EX3" s="46">
        <v>200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.75" thickBot="1">
      <c r="A4" s="2"/>
      <c r="B4" s="44"/>
      <c r="C4" s="45"/>
      <c r="D4" s="4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4"/>
      <c r="AB4" s="45"/>
      <c r="AC4" s="47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4"/>
      <c r="BA4" s="45"/>
      <c r="BB4" s="4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4"/>
      <c r="BZ4" s="45"/>
      <c r="CA4" s="47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4"/>
      <c r="CY4" s="45"/>
      <c r="CZ4" s="47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44"/>
      <c r="DX4" s="45"/>
      <c r="DY4" s="47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4"/>
      <c r="EW4" s="45"/>
      <c r="EX4" s="47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 ht="14.45" customHeight="1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.7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5" customHeight="1">
      <c r="A9" s="48" t="s">
        <v>41</v>
      </c>
      <c r="B9" s="49"/>
      <c r="C9" s="49"/>
      <c r="D9" s="49"/>
      <c r="E9" s="49"/>
      <c r="F9" s="50"/>
      <c r="G9" s="15"/>
      <c r="H9" s="15"/>
      <c r="I9" s="42" t="s">
        <v>42</v>
      </c>
      <c r="J9" s="62"/>
      <c r="K9" s="62"/>
      <c r="L9" s="62"/>
      <c r="M9" s="62"/>
      <c r="N9" s="62"/>
      <c r="O9" s="62"/>
      <c r="P9" s="62"/>
      <c r="Q9" s="62"/>
      <c r="R9" s="63"/>
      <c r="S9" s="2"/>
      <c r="T9" s="2"/>
      <c r="U9" s="2"/>
      <c r="V9" s="2"/>
      <c r="W9" s="2"/>
      <c r="X9" s="2"/>
      <c r="Y9" s="2"/>
      <c r="Z9" s="48" t="s">
        <v>43</v>
      </c>
      <c r="AA9" s="49"/>
      <c r="AB9" s="49"/>
      <c r="AC9" s="49"/>
      <c r="AD9" s="49"/>
      <c r="AE9" s="50"/>
      <c r="AF9" s="15"/>
      <c r="AG9" s="15"/>
      <c r="AH9" s="42" t="s">
        <v>44</v>
      </c>
      <c r="AI9" s="62"/>
      <c r="AJ9" s="62"/>
      <c r="AK9" s="62"/>
      <c r="AL9" s="62"/>
      <c r="AM9" s="62"/>
      <c r="AN9" s="62"/>
      <c r="AO9" s="62"/>
      <c r="AP9" s="62"/>
      <c r="AQ9" s="63"/>
      <c r="AR9" s="2"/>
      <c r="AS9" s="2"/>
      <c r="AT9" s="2"/>
      <c r="AU9" s="2"/>
      <c r="AV9" s="2"/>
      <c r="AW9" s="2"/>
      <c r="AX9" s="2"/>
      <c r="AY9" s="48" t="s">
        <v>45</v>
      </c>
      <c r="AZ9" s="49"/>
      <c r="BA9" s="49"/>
      <c r="BB9" s="49"/>
      <c r="BC9" s="49"/>
      <c r="BD9" s="50"/>
      <c r="BE9" s="15"/>
      <c r="BF9" s="15"/>
      <c r="BG9" s="42" t="s">
        <v>46</v>
      </c>
      <c r="BH9" s="62"/>
      <c r="BI9" s="62"/>
      <c r="BJ9" s="62"/>
      <c r="BK9" s="62"/>
      <c r="BL9" s="62"/>
      <c r="BM9" s="62"/>
      <c r="BN9" s="62"/>
      <c r="BO9" s="62"/>
      <c r="BP9" s="63"/>
      <c r="BQ9" s="2"/>
      <c r="BR9" s="2"/>
      <c r="BS9" s="2"/>
      <c r="BT9" s="2"/>
      <c r="BU9" s="2"/>
      <c r="BV9" s="2"/>
      <c r="BW9" s="2"/>
      <c r="BX9" s="48" t="s">
        <v>47</v>
      </c>
      <c r="BY9" s="49"/>
      <c r="BZ9" s="49"/>
      <c r="CA9" s="49"/>
      <c r="CB9" s="49"/>
      <c r="CC9" s="50"/>
      <c r="CD9" s="15"/>
      <c r="CE9" s="15"/>
      <c r="CF9" s="42" t="s">
        <v>48</v>
      </c>
      <c r="CG9" s="62"/>
      <c r="CH9" s="62"/>
      <c r="CI9" s="62"/>
      <c r="CJ9" s="62"/>
      <c r="CK9" s="62"/>
      <c r="CL9" s="62"/>
      <c r="CM9" s="62"/>
      <c r="CN9" s="62"/>
      <c r="CO9" s="63"/>
      <c r="CP9" s="2"/>
      <c r="CQ9" s="2"/>
      <c r="CR9" s="2"/>
      <c r="CS9" s="2"/>
      <c r="CT9" s="2"/>
      <c r="CU9" s="2"/>
      <c r="CV9" s="2"/>
      <c r="CW9" s="48" t="s">
        <v>49</v>
      </c>
      <c r="CX9" s="49"/>
      <c r="CY9" s="49"/>
      <c r="CZ9" s="49"/>
      <c r="DA9" s="49"/>
      <c r="DB9" s="50"/>
      <c r="DC9" s="15"/>
      <c r="DD9" s="15"/>
      <c r="DE9" s="42" t="s">
        <v>50</v>
      </c>
      <c r="DF9" s="62"/>
      <c r="DG9" s="62"/>
      <c r="DH9" s="62"/>
      <c r="DI9" s="62"/>
      <c r="DJ9" s="62"/>
      <c r="DK9" s="62"/>
      <c r="DL9" s="62"/>
      <c r="DM9" s="62"/>
      <c r="DN9" s="63"/>
      <c r="DO9" s="2"/>
      <c r="DP9" s="2"/>
      <c r="DQ9" s="2"/>
      <c r="DR9" s="2"/>
      <c r="DS9" s="2"/>
      <c r="DT9" s="2"/>
      <c r="DU9" s="2"/>
      <c r="DV9" s="48" t="s">
        <v>51</v>
      </c>
      <c r="DW9" s="49"/>
      <c r="DX9" s="49"/>
      <c r="DY9" s="49"/>
      <c r="DZ9" s="49"/>
      <c r="EA9" s="50"/>
      <c r="EB9" s="15"/>
      <c r="EC9" s="15"/>
      <c r="ED9" s="42" t="s">
        <v>52</v>
      </c>
      <c r="EE9" s="62"/>
      <c r="EF9" s="62"/>
      <c r="EG9" s="62"/>
      <c r="EH9" s="62"/>
      <c r="EI9" s="62"/>
      <c r="EJ9" s="62"/>
      <c r="EK9" s="62"/>
      <c r="EL9" s="62"/>
      <c r="EM9" s="63"/>
      <c r="EN9" s="2"/>
      <c r="EO9" s="2"/>
      <c r="EP9" s="2"/>
      <c r="EQ9" s="2"/>
      <c r="ER9" s="2"/>
      <c r="ES9" s="2"/>
      <c r="ET9" s="2"/>
      <c r="EU9" s="48" t="s">
        <v>53</v>
      </c>
      <c r="EV9" s="49"/>
      <c r="EW9" s="49"/>
      <c r="EX9" s="49"/>
      <c r="EY9" s="49"/>
      <c r="EZ9" s="50"/>
      <c r="FA9" s="15"/>
      <c r="FB9" s="15"/>
      <c r="FC9" s="42" t="s">
        <v>54</v>
      </c>
      <c r="FD9" s="62"/>
      <c r="FE9" s="62"/>
      <c r="FF9" s="62"/>
      <c r="FG9" s="62"/>
      <c r="FH9" s="62"/>
      <c r="FI9" s="62"/>
      <c r="FJ9" s="62"/>
      <c r="FK9" s="62"/>
      <c r="FL9" s="63"/>
      <c r="FM9" s="2"/>
      <c r="FN9" s="2"/>
      <c r="FO9" s="2"/>
      <c r="FP9" s="2"/>
      <c r="FQ9" s="2"/>
      <c r="FR9" s="2"/>
      <c r="FS9" s="2"/>
    </row>
    <row r="10" spans="1:175" ht="15.75" customHeight="1" thickBot="1">
      <c r="A10" s="51"/>
      <c r="B10" s="52"/>
      <c r="C10" s="52"/>
      <c r="D10" s="52"/>
      <c r="E10" s="52"/>
      <c r="F10" s="53"/>
      <c r="G10" s="15"/>
      <c r="H10" s="15"/>
      <c r="I10" s="64"/>
      <c r="J10" s="65"/>
      <c r="K10" s="65"/>
      <c r="L10" s="65"/>
      <c r="M10" s="65"/>
      <c r="N10" s="65"/>
      <c r="O10" s="65"/>
      <c r="P10" s="65"/>
      <c r="Q10" s="65"/>
      <c r="R10" s="66"/>
      <c r="S10" s="2"/>
      <c r="T10" s="2"/>
      <c r="U10" s="2"/>
      <c r="V10" s="2"/>
      <c r="W10" s="2"/>
      <c r="X10" s="2"/>
      <c r="Y10" s="2"/>
      <c r="Z10" s="51"/>
      <c r="AA10" s="52"/>
      <c r="AB10" s="52"/>
      <c r="AC10" s="52"/>
      <c r="AD10" s="52"/>
      <c r="AE10" s="53"/>
      <c r="AF10" s="15"/>
      <c r="AG10" s="15"/>
      <c r="AH10" s="64"/>
      <c r="AI10" s="65"/>
      <c r="AJ10" s="65"/>
      <c r="AK10" s="65"/>
      <c r="AL10" s="65"/>
      <c r="AM10" s="65"/>
      <c r="AN10" s="65"/>
      <c r="AO10" s="65"/>
      <c r="AP10" s="65"/>
      <c r="AQ10" s="66"/>
      <c r="AR10" s="2"/>
      <c r="AS10" s="2"/>
      <c r="AT10" s="2"/>
      <c r="AU10" s="2"/>
      <c r="AV10" s="2"/>
      <c r="AW10" s="2"/>
      <c r="AX10" s="2"/>
      <c r="AY10" s="51"/>
      <c r="AZ10" s="52"/>
      <c r="BA10" s="52"/>
      <c r="BB10" s="52"/>
      <c r="BC10" s="52"/>
      <c r="BD10" s="53"/>
      <c r="BE10" s="15"/>
      <c r="BF10" s="15"/>
      <c r="BG10" s="64"/>
      <c r="BH10" s="65"/>
      <c r="BI10" s="65"/>
      <c r="BJ10" s="65"/>
      <c r="BK10" s="65"/>
      <c r="BL10" s="65"/>
      <c r="BM10" s="65"/>
      <c r="BN10" s="65"/>
      <c r="BO10" s="65"/>
      <c r="BP10" s="66"/>
      <c r="BQ10" s="2"/>
      <c r="BR10" s="2"/>
      <c r="BS10" s="2"/>
      <c r="BT10" s="2"/>
      <c r="BU10" s="2"/>
      <c r="BV10" s="2"/>
      <c r="BW10" s="2"/>
      <c r="BX10" s="51"/>
      <c r="BY10" s="52"/>
      <c r="BZ10" s="52"/>
      <c r="CA10" s="52"/>
      <c r="CB10" s="52"/>
      <c r="CC10" s="53"/>
      <c r="CD10" s="15"/>
      <c r="CE10" s="15"/>
      <c r="CF10" s="64"/>
      <c r="CG10" s="65"/>
      <c r="CH10" s="65"/>
      <c r="CI10" s="65"/>
      <c r="CJ10" s="65"/>
      <c r="CK10" s="65"/>
      <c r="CL10" s="65"/>
      <c r="CM10" s="65"/>
      <c r="CN10" s="65"/>
      <c r="CO10" s="66"/>
      <c r="CP10" s="2"/>
      <c r="CQ10" s="2"/>
      <c r="CR10" s="2"/>
      <c r="CS10" s="2"/>
      <c r="CT10" s="2"/>
      <c r="CU10" s="2"/>
      <c r="CV10" s="2"/>
      <c r="CW10" s="51"/>
      <c r="CX10" s="52"/>
      <c r="CY10" s="52"/>
      <c r="CZ10" s="52"/>
      <c r="DA10" s="52"/>
      <c r="DB10" s="53"/>
      <c r="DC10" s="15"/>
      <c r="DD10" s="15"/>
      <c r="DE10" s="64"/>
      <c r="DF10" s="65"/>
      <c r="DG10" s="65"/>
      <c r="DH10" s="65"/>
      <c r="DI10" s="65"/>
      <c r="DJ10" s="65"/>
      <c r="DK10" s="65"/>
      <c r="DL10" s="65"/>
      <c r="DM10" s="65"/>
      <c r="DN10" s="66"/>
      <c r="DO10" s="2"/>
      <c r="DP10" s="2"/>
      <c r="DQ10" s="2"/>
      <c r="DR10" s="2"/>
      <c r="DS10" s="2"/>
      <c r="DT10" s="2"/>
      <c r="DU10" s="2"/>
      <c r="DV10" s="51"/>
      <c r="DW10" s="52"/>
      <c r="DX10" s="52"/>
      <c r="DY10" s="52"/>
      <c r="DZ10" s="52"/>
      <c r="EA10" s="53"/>
      <c r="EB10" s="15"/>
      <c r="EC10" s="15"/>
      <c r="ED10" s="64"/>
      <c r="EE10" s="65"/>
      <c r="EF10" s="65"/>
      <c r="EG10" s="65"/>
      <c r="EH10" s="65"/>
      <c r="EI10" s="65"/>
      <c r="EJ10" s="65"/>
      <c r="EK10" s="65"/>
      <c r="EL10" s="65"/>
      <c r="EM10" s="66"/>
      <c r="EN10" s="2"/>
      <c r="EO10" s="2"/>
      <c r="EP10" s="2"/>
      <c r="EQ10" s="2"/>
      <c r="ER10" s="2"/>
      <c r="ES10" s="2"/>
      <c r="ET10" s="2"/>
      <c r="EU10" s="51"/>
      <c r="EV10" s="52"/>
      <c r="EW10" s="52"/>
      <c r="EX10" s="52"/>
      <c r="EY10" s="52"/>
      <c r="EZ10" s="53"/>
      <c r="FA10" s="15"/>
      <c r="FB10" s="15"/>
      <c r="FC10" s="64"/>
      <c r="FD10" s="65"/>
      <c r="FE10" s="65"/>
      <c r="FF10" s="65"/>
      <c r="FG10" s="65"/>
      <c r="FH10" s="65"/>
      <c r="FI10" s="65"/>
      <c r="FJ10" s="65"/>
      <c r="FK10" s="65"/>
      <c r="FL10" s="66"/>
      <c r="FM10" s="2"/>
      <c r="FN10" s="2"/>
      <c r="FO10" s="2"/>
      <c r="FP10" s="2"/>
      <c r="FQ10" s="2"/>
      <c r="FR10" s="2"/>
      <c r="FS10" s="2"/>
    </row>
    <row r="11" spans="1:175" ht="15" customHeight="1">
      <c r="A11" s="67" t="s">
        <v>1</v>
      </c>
      <c r="B11" s="68"/>
      <c r="C11" s="73" t="s">
        <v>7</v>
      </c>
      <c r="D11" s="67" t="s">
        <v>55</v>
      </c>
      <c r="E11" s="68"/>
      <c r="F11" s="76">
        <f>VLOOKUP(C11,BREAKFASTTABLE,2,FALSE)</f>
        <v>265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67" t="s">
        <v>1</v>
      </c>
      <c r="AA11" s="68"/>
      <c r="AB11" s="73" t="s">
        <v>7</v>
      </c>
      <c r="AC11" s="67" t="s">
        <v>55</v>
      </c>
      <c r="AD11" s="68"/>
      <c r="AE11" s="76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67" t="s">
        <v>1</v>
      </c>
      <c r="AZ11" s="68"/>
      <c r="BA11" s="73" t="s">
        <v>9</v>
      </c>
      <c r="BB11" s="67" t="s">
        <v>55</v>
      </c>
      <c r="BC11" s="68"/>
      <c r="BD11" s="76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67" t="s">
        <v>1</v>
      </c>
      <c r="BY11" s="68"/>
      <c r="BZ11" s="73" t="s">
        <v>11</v>
      </c>
      <c r="CA11" s="67" t="s">
        <v>55</v>
      </c>
      <c r="CB11" s="68"/>
      <c r="CC11" s="76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67" t="s">
        <v>1</v>
      </c>
      <c r="CX11" s="68"/>
      <c r="CY11" s="73" t="s">
        <v>13</v>
      </c>
      <c r="CZ11" s="67" t="s">
        <v>55</v>
      </c>
      <c r="DA11" s="68"/>
      <c r="DB11" s="76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67" t="s">
        <v>1</v>
      </c>
      <c r="DW11" s="68"/>
      <c r="DX11" s="73" t="s">
        <v>6</v>
      </c>
      <c r="DY11" s="67" t="s">
        <v>55</v>
      </c>
      <c r="DZ11" s="68"/>
      <c r="EA11" s="76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67" t="s">
        <v>1</v>
      </c>
      <c r="EV11" s="68"/>
      <c r="EW11" s="73" t="s">
        <v>6</v>
      </c>
      <c r="EX11" s="67" t="s">
        <v>55</v>
      </c>
      <c r="EY11" s="68"/>
      <c r="EZ11" s="76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5" customHeight="1" thickBot="1">
      <c r="A12" s="69"/>
      <c r="B12" s="70"/>
      <c r="C12" s="74"/>
      <c r="D12" s="69"/>
      <c r="E12" s="70"/>
      <c r="F12" s="77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69"/>
      <c r="AA12" s="70"/>
      <c r="AB12" s="74"/>
      <c r="AC12" s="69"/>
      <c r="AD12" s="70"/>
      <c r="AE12" s="77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69"/>
      <c r="AZ12" s="70"/>
      <c r="BA12" s="74"/>
      <c r="BB12" s="69"/>
      <c r="BC12" s="70"/>
      <c r="BD12" s="77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69"/>
      <c r="BY12" s="70"/>
      <c r="BZ12" s="74"/>
      <c r="CA12" s="69"/>
      <c r="CB12" s="70"/>
      <c r="CC12" s="77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69"/>
      <c r="CX12" s="70"/>
      <c r="CY12" s="74"/>
      <c r="CZ12" s="69"/>
      <c r="DA12" s="70"/>
      <c r="DB12" s="77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69"/>
      <c r="DW12" s="70"/>
      <c r="DX12" s="74"/>
      <c r="DY12" s="69"/>
      <c r="DZ12" s="70"/>
      <c r="EA12" s="77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69"/>
      <c r="EV12" s="70"/>
      <c r="EW12" s="74"/>
      <c r="EX12" s="69"/>
      <c r="EY12" s="70"/>
      <c r="EZ12" s="77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60.75" customHeight="1">
      <c r="A13" s="69"/>
      <c r="B13" s="70"/>
      <c r="C13" s="74"/>
      <c r="D13" s="69"/>
      <c r="E13" s="70"/>
      <c r="F13" s="77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1100</v>
      </c>
      <c r="P13" s="21"/>
      <c r="Q13" s="20">
        <f>M13*O13</f>
        <v>2200</v>
      </c>
      <c r="R13" s="21"/>
      <c r="S13" s="2"/>
      <c r="T13" s="2"/>
      <c r="U13" s="2"/>
      <c r="V13" s="2"/>
      <c r="W13" s="2"/>
      <c r="X13" s="2"/>
      <c r="Y13" s="2"/>
      <c r="Z13" s="69"/>
      <c r="AA13" s="70"/>
      <c r="AB13" s="74"/>
      <c r="AC13" s="69"/>
      <c r="AD13" s="70"/>
      <c r="AE13" s="77"/>
      <c r="AF13" s="2"/>
      <c r="AG13" s="2"/>
      <c r="AH13" s="26" t="s">
        <v>10</v>
      </c>
      <c r="AI13" s="27"/>
      <c r="AJ13" s="20">
        <f>VLOOKUP(AH13,METVALUE,2,FALSE)</f>
        <v>8</v>
      </c>
      <c r="AK13" s="21"/>
      <c r="AL13" s="20">
        <v>2</v>
      </c>
      <c r="AM13" s="21"/>
      <c r="AN13" s="20">
        <f>AJ13*AC3</f>
        <v>1600</v>
      </c>
      <c r="AO13" s="21"/>
      <c r="AP13" s="20">
        <f>AL13*AN13</f>
        <v>3200</v>
      </c>
      <c r="AQ13" s="21"/>
      <c r="AR13" s="2"/>
      <c r="AS13" s="2"/>
      <c r="AT13" s="2"/>
      <c r="AU13" s="2"/>
      <c r="AV13" s="2"/>
      <c r="AW13" s="2"/>
      <c r="AX13" s="2"/>
      <c r="AY13" s="69"/>
      <c r="AZ13" s="70"/>
      <c r="BA13" s="74"/>
      <c r="BB13" s="69"/>
      <c r="BC13" s="70"/>
      <c r="BD13" s="77"/>
      <c r="BE13" s="2"/>
      <c r="BF13" s="2"/>
      <c r="BG13" s="26" t="s">
        <v>21</v>
      </c>
      <c r="BH13" s="27"/>
      <c r="BI13" s="20">
        <f>VLOOKUP(BG13,METVALUE,2,FALSE)</f>
        <v>10</v>
      </c>
      <c r="BJ13" s="21"/>
      <c r="BK13" s="20">
        <v>2</v>
      </c>
      <c r="BL13" s="21"/>
      <c r="BM13" s="20">
        <f>BI13*BB3</f>
        <v>2000</v>
      </c>
      <c r="BN13" s="21"/>
      <c r="BO13" s="20">
        <f>BK13*BM13</f>
        <v>4000</v>
      </c>
      <c r="BP13" s="21"/>
      <c r="BQ13" s="2"/>
      <c r="BR13" s="2"/>
      <c r="BS13" s="2"/>
      <c r="BT13" s="2"/>
      <c r="BU13" s="2"/>
      <c r="BV13" s="2"/>
      <c r="BW13" s="2"/>
      <c r="BX13" s="69"/>
      <c r="BY13" s="70"/>
      <c r="BZ13" s="74"/>
      <c r="CA13" s="69"/>
      <c r="CB13" s="70"/>
      <c r="CC13" s="77"/>
      <c r="CD13" s="2"/>
      <c r="CE13" s="2"/>
      <c r="CF13" s="26" t="s">
        <v>12</v>
      </c>
      <c r="CG13" s="27"/>
      <c r="CH13" s="20">
        <f>VLOOKUP(CF13,METVALUE,2,FALSE)</f>
        <v>4</v>
      </c>
      <c r="CI13" s="21"/>
      <c r="CJ13" s="20">
        <v>2</v>
      </c>
      <c r="CK13" s="21"/>
      <c r="CL13" s="20">
        <f>CH13*CA3</f>
        <v>800</v>
      </c>
      <c r="CM13" s="21"/>
      <c r="CN13" s="20">
        <f>CJ13*CL13</f>
        <v>1600</v>
      </c>
      <c r="CO13" s="21"/>
      <c r="CP13" s="2"/>
      <c r="CQ13" s="2"/>
      <c r="CR13" s="2"/>
      <c r="CS13" s="2"/>
      <c r="CT13" s="2"/>
      <c r="CU13" s="2"/>
      <c r="CV13" s="2"/>
      <c r="CW13" s="69"/>
      <c r="CX13" s="70"/>
      <c r="CY13" s="74"/>
      <c r="CZ13" s="69"/>
      <c r="DA13" s="70"/>
      <c r="DB13" s="77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1100</v>
      </c>
      <c r="DL13" s="21"/>
      <c r="DM13" s="20">
        <f>DI13*DK13</f>
        <v>2200</v>
      </c>
      <c r="DN13" s="21"/>
      <c r="DO13" s="2"/>
      <c r="DP13" s="2"/>
      <c r="DQ13" s="2"/>
      <c r="DR13" s="2"/>
      <c r="DS13" s="2"/>
      <c r="DT13" s="2"/>
      <c r="DU13" s="2"/>
      <c r="DV13" s="69"/>
      <c r="DW13" s="70"/>
      <c r="DX13" s="74"/>
      <c r="DY13" s="69"/>
      <c r="DZ13" s="70"/>
      <c r="EA13" s="77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1100</v>
      </c>
      <c r="EK13" s="21"/>
      <c r="EL13" s="20">
        <f>EH13*EJ13</f>
        <v>2200</v>
      </c>
      <c r="EM13" s="21"/>
      <c r="EN13" s="2"/>
      <c r="EO13" s="2"/>
      <c r="EP13" s="2"/>
      <c r="EQ13" s="2"/>
      <c r="ER13" s="2"/>
      <c r="ES13" s="2"/>
      <c r="ET13" s="2"/>
      <c r="EU13" s="69"/>
      <c r="EV13" s="70"/>
      <c r="EW13" s="74"/>
      <c r="EX13" s="69"/>
      <c r="EY13" s="70"/>
      <c r="EZ13" s="77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1100</v>
      </c>
      <c r="FJ13" s="21"/>
      <c r="FK13" s="20">
        <f>FG13*FI13</f>
        <v>2200</v>
      </c>
      <c r="FL13" s="21"/>
      <c r="FM13" s="2"/>
      <c r="FN13" s="2"/>
      <c r="FO13" s="2"/>
      <c r="FP13" s="2"/>
      <c r="FQ13" s="2"/>
      <c r="FR13" s="2"/>
      <c r="FS13" s="2"/>
    </row>
    <row r="14" spans="1:175" ht="15.75" customHeight="1" thickBot="1">
      <c r="A14" s="71"/>
      <c r="B14" s="72"/>
      <c r="C14" s="75"/>
      <c r="D14" s="71"/>
      <c r="E14" s="72"/>
      <c r="F14" s="78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71"/>
      <c r="AA14" s="72"/>
      <c r="AB14" s="75"/>
      <c r="AC14" s="71"/>
      <c r="AD14" s="72"/>
      <c r="AE14" s="78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71"/>
      <c r="AZ14" s="72"/>
      <c r="BA14" s="75"/>
      <c r="BB14" s="71"/>
      <c r="BC14" s="72"/>
      <c r="BD14" s="78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71"/>
      <c r="BY14" s="72"/>
      <c r="BZ14" s="75"/>
      <c r="CA14" s="71"/>
      <c r="CB14" s="72"/>
      <c r="CC14" s="78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71"/>
      <c r="CX14" s="72"/>
      <c r="CY14" s="75"/>
      <c r="CZ14" s="71"/>
      <c r="DA14" s="72"/>
      <c r="DB14" s="78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71"/>
      <c r="DW14" s="72"/>
      <c r="DX14" s="75"/>
      <c r="DY14" s="71"/>
      <c r="DZ14" s="72"/>
      <c r="EA14" s="78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71"/>
      <c r="EV14" s="72"/>
      <c r="EW14" s="75"/>
      <c r="EX14" s="71"/>
      <c r="EY14" s="72"/>
      <c r="EZ14" s="78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5.75" customHeight="1" thickBot="1">
      <c r="A15" s="67" t="s">
        <v>15</v>
      </c>
      <c r="B15" s="68"/>
      <c r="C15" s="73" t="s">
        <v>18</v>
      </c>
      <c r="D15" s="67" t="s">
        <v>55</v>
      </c>
      <c r="E15" s="68"/>
      <c r="F15" s="76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67" t="s">
        <v>15</v>
      </c>
      <c r="AA15" s="68"/>
      <c r="AB15" s="73" t="s">
        <v>20</v>
      </c>
      <c r="AC15" s="67" t="s">
        <v>55</v>
      </c>
      <c r="AD15" s="68"/>
      <c r="AE15" s="76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67" t="s">
        <v>15</v>
      </c>
      <c r="AZ15" s="68"/>
      <c r="BA15" s="73" t="s">
        <v>22</v>
      </c>
      <c r="BB15" s="67" t="s">
        <v>55</v>
      </c>
      <c r="BC15" s="68"/>
      <c r="BD15" s="76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67" t="s">
        <v>15</v>
      </c>
      <c r="BY15" s="68"/>
      <c r="BZ15" s="73" t="s">
        <v>24</v>
      </c>
      <c r="CA15" s="67" t="s">
        <v>55</v>
      </c>
      <c r="CB15" s="68"/>
      <c r="CC15" s="76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67" t="s">
        <v>15</v>
      </c>
      <c r="CX15" s="68"/>
      <c r="CY15" s="73" t="s">
        <v>26</v>
      </c>
      <c r="CZ15" s="67" t="s">
        <v>55</v>
      </c>
      <c r="DA15" s="68"/>
      <c r="DB15" s="76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67" t="s">
        <v>15</v>
      </c>
      <c r="DW15" s="68"/>
      <c r="DX15" s="73" t="s">
        <v>18</v>
      </c>
      <c r="DY15" s="67" t="s">
        <v>55</v>
      </c>
      <c r="DZ15" s="68"/>
      <c r="EA15" s="76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67" t="s">
        <v>15</v>
      </c>
      <c r="EV15" s="68"/>
      <c r="EW15" s="73" t="s">
        <v>18</v>
      </c>
      <c r="EX15" s="67" t="s">
        <v>55</v>
      </c>
      <c r="EY15" s="68"/>
      <c r="EZ15" s="76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43.5" customHeight="1">
      <c r="A16" s="69"/>
      <c r="B16" s="70"/>
      <c r="C16" s="74"/>
      <c r="D16" s="69"/>
      <c r="E16" s="70"/>
      <c r="F16" s="77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1600</v>
      </c>
      <c r="P16" s="21"/>
      <c r="Q16" s="20">
        <f>M16*O16</f>
        <v>1600</v>
      </c>
      <c r="R16" s="21"/>
      <c r="S16" s="2"/>
      <c r="T16" s="2"/>
      <c r="U16" s="2"/>
      <c r="V16" s="2"/>
      <c r="W16" s="2"/>
      <c r="X16" s="2"/>
      <c r="Y16" s="2"/>
      <c r="Z16" s="69"/>
      <c r="AA16" s="70"/>
      <c r="AB16" s="74"/>
      <c r="AC16" s="69"/>
      <c r="AD16" s="70"/>
      <c r="AE16" s="77"/>
      <c r="AF16" s="2"/>
      <c r="AG16" s="2"/>
      <c r="AH16" s="26" t="s">
        <v>8</v>
      </c>
      <c r="AI16" s="27"/>
      <c r="AJ16" s="20">
        <f>VLOOKUP(AH16,METVALUE,2,FALSE)</f>
        <v>5.5</v>
      </c>
      <c r="AK16" s="21"/>
      <c r="AL16" s="20">
        <v>1</v>
      </c>
      <c r="AM16" s="21"/>
      <c r="AN16" s="20">
        <f>AC3*AJ16</f>
        <v>1100</v>
      </c>
      <c r="AO16" s="21"/>
      <c r="AP16" s="20">
        <f>AL16*AN16</f>
        <v>1100</v>
      </c>
      <c r="AQ16" s="21"/>
      <c r="AR16" s="2"/>
      <c r="AS16" s="2"/>
      <c r="AT16" s="2"/>
      <c r="AU16" s="2"/>
      <c r="AV16" s="2"/>
      <c r="AW16" s="2"/>
      <c r="AX16" s="2"/>
      <c r="AY16" s="69"/>
      <c r="AZ16" s="70"/>
      <c r="BA16" s="74"/>
      <c r="BB16" s="69"/>
      <c r="BC16" s="70"/>
      <c r="BD16" s="77"/>
      <c r="BE16" s="2"/>
      <c r="BF16" s="2"/>
      <c r="BG16" s="26" t="s">
        <v>12</v>
      </c>
      <c r="BH16" s="27"/>
      <c r="BI16" s="20">
        <f>VLOOKUP(BG16,METVALUE,2,FALSE)</f>
        <v>4</v>
      </c>
      <c r="BJ16" s="21"/>
      <c r="BK16" s="20">
        <v>1</v>
      </c>
      <c r="BL16" s="21"/>
      <c r="BM16" s="20">
        <f>BB3*BI16</f>
        <v>800</v>
      </c>
      <c r="BN16" s="21"/>
      <c r="BO16" s="20">
        <f>BK16*BM16</f>
        <v>800</v>
      </c>
      <c r="BP16" s="21"/>
      <c r="BQ16" s="2"/>
      <c r="BR16" s="2"/>
      <c r="BS16" s="2"/>
      <c r="BT16" s="2"/>
      <c r="BU16" s="2"/>
      <c r="BV16" s="2"/>
      <c r="BW16" s="2"/>
      <c r="BX16" s="69"/>
      <c r="BY16" s="70"/>
      <c r="BZ16" s="74"/>
      <c r="CA16" s="69"/>
      <c r="CB16" s="70"/>
      <c r="CC16" s="77"/>
      <c r="CD16" s="2"/>
      <c r="CE16" s="2"/>
      <c r="CF16" s="26" t="s">
        <v>14</v>
      </c>
      <c r="CG16" s="27"/>
      <c r="CH16" s="20">
        <f>VLOOKUP(CF16,METVALUE,2,FALSE)</f>
        <v>9.8000000000000007</v>
      </c>
      <c r="CI16" s="21"/>
      <c r="CJ16" s="20">
        <v>1</v>
      </c>
      <c r="CK16" s="21"/>
      <c r="CL16" s="20">
        <f>CA3*CH16</f>
        <v>1960.0000000000002</v>
      </c>
      <c r="CM16" s="21"/>
      <c r="CN16" s="20">
        <f>CJ16*CL16</f>
        <v>1960.0000000000002</v>
      </c>
      <c r="CO16" s="21"/>
      <c r="CP16" s="2"/>
      <c r="CQ16" s="2"/>
      <c r="CR16" s="2"/>
      <c r="CS16" s="2"/>
      <c r="CT16" s="2"/>
      <c r="CU16" s="2"/>
      <c r="CV16" s="2"/>
      <c r="CW16" s="69"/>
      <c r="CX16" s="70"/>
      <c r="CY16" s="74"/>
      <c r="CZ16" s="69"/>
      <c r="DA16" s="70"/>
      <c r="DB16" s="77"/>
      <c r="DC16" s="2"/>
      <c r="DD16" s="2"/>
      <c r="DE16" s="26" t="s">
        <v>8</v>
      </c>
      <c r="DF16" s="27"/>
      <c r="DG16" s="20">
        <f>VLOOKUP(DE16,METVALUE,2,FALSE)</f>
        <v>5.5</v>
      </c>
      <c r="DH16" s="21"/>
      <c r="DI16" s="20">
        <v>1</v>
      </c>
      <c r="DJ16" s="21"/>
      <c r="DK16" s="20">
        <f>CZ3*DG16</f>
        <v>1100</v>
      </c>
      <c r="DL16" s="21"/>
      <c r="DM16" s="20">
        <f>DI16*DK16</f>
        <v>1100</v>
      </c>
      <c r="DN16" s="21"/>
      <c r="DO16" s="2"/>
      <c r="DP16" s="2"/>
      <c r="DQ16" s="2"/>
      <c r="DR16" s="2"/>
      <c r="DS16" s="2"/>
      <c r="DT16" s="2"/>
      <c r="DU16" s="2"/>
      <c r="DV16" s="69"/>
      <c r="DW16" s="70"/>
      <c r="DX16" s="74"/>
      <c r="DY16" s="69"/>
      <c r="DZ16" s="70"/>
      <c r="EA16" s="77"/>
      <c r="EB16" s="2"/>
      <c r="EC16" s="2"/>
      <c r="ED16" s="26" t="s">
        <v>8</v>
      </c>
      <c r="EE16" s="27"/>
      <c r="EF16" s="20">
        <f>VLOOKUP(ED16,METVALUE,2,FALSE)</f>
        <v>5.5</v>
      </c>
      <c r="EG16" s="21"/>
      <c r="EH16" s="20">
        <v>1</v>
      </c>
      <c r="EI16" s="21"/>
      <c r="EJ16" s="20">
        <f>DY3*EF16</f>
        <v>1100</v>
      </c>
      <c r="EK16" s="21"/>
      <c r="EL16" s="20">
        <f>EH16*EJ16</f>
        <v>1100</v>
      </c>
      <c r="EM16" s="21"/>
      <c r="EN16" s="2"/>
      <c r="EO16" s="2"/>
      <c r="EP16" s="2"/>
      <c r="EQ16" s="2"/>
      <c r="ER16" s="2"/>
      <c r="ES16" s="2"/>
      <c r="ET16" s="2"/>
      <c r="EU16" s="69"/>
      <c r="EV16" s="70"/>
      <c r="EW16" s="74"/>
      <c r="EX16" s="69"/>
      <c r="EY16" s="70"/>
      <c r="EZ16" s="77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1600</v>
      </c>
      <c r="FJ16" s="21"/>
      <c r="FK16" s="20">
        <f>FG16*FI16</f>
        <v>1600</v>
      </c>
      <c r="FL16" s="21"/>
      <c r="FM16" s="2"/>
      <c r="FN16" s="2"/>
      <c r="FO16" s="2"/>
      <c r="FP16" s="2"/>
      <c r="FQ16" s="2"/>
      <c r="FR16" s="2"/>
      <c r="FS16" s="2"/>
    </row>
    <row r="17" spans="1:175" ht="15" customHeight="1">
      <c r="A17" s="69"/>
      <c r="B17" s="70"/>
      <c r="C17" s="74"/>
      <c r="D17" s="69"/>
      <c r="E17" s="70"/>
      <c r="F17" s="77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69"/>
      <c r="AA17" s="70"/>
      <c r="AB17" s="74"/>
      <c r="AC17" s="69"/>
      <c r="AD17" s="70"/>
      <c r="AE17" s="77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69"/>
      <c r="AZ17" s="70"/>
      <c r="BA17" s="74"/>
      <c r="BB17" s="69"/>
      <c r="BC17" s="70"/>
      <c r="BD17" s="77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69"/>
      <c r="BY17" s="70"/>
      <c r="BZ17" s="74"/>
      <c r="CA17" s="69"/>
      <c r="CB17" s="70"/>
      <c r="CC17" s="77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69"/>
      <c r="CX17" s="70"/>
      <c r="CY17" s="74"/>
      <c r="CZ17" s="69"/>
      <c r="DA17" s="70"/>
      <c r="DB17" s="77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69"/>
      <c r="DW17" s="70"/>
      <c r="DX17" s="74"/>
      <c r="DY17" s="69"/>
      <c r="DZ17" s="70"/>
      <c r="EA17" s="77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69"/>
      <c r="EV17" s="70"/>
      <c r="EW17" s="74"/>
      <c r="EX17" s="69"/>
      <c r="EY17" s="70"/>
      <c r="EZ17" s="77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5.75" customHeight="1" thickBot="1">
      <c r="A18" s="71"/>
      <c r="B18" s="72"/>
      <c r="C18" s="75"/>
      <c r="D18" s="71"/>
      <c r="E18" s="72"/>
      <c r="F18" s="78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71"/>
      <c r="AA18" s="72"/>
      <c r="AB18" s="75"/>
      <c r="AC18" s="71"/>
      <c r="AD18" s="72"/>
      <c r="AE18" s="78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71"/>
      <c r="AZ18" s="72"/>
      <c r="BA18" s="75"/>
      <c r="BB18" s="71"/>
      <c r="BC18" s="72"/>
      <c r="BD18" s="78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71"/>
      <c r="BY18" s="72"/>
      <c r="BZ18" s="75"/>
      <c r="CA18" s="71"/>
      <c r="CB18" s="72"/>
      <c r="CC18" s="78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71"/>
      <c r="CX18" s="72"/>
      <c r="CY18" s="75"/>
      <c r="CZ18" s="71"/>
      <c r="DA18" s="72"/>
      <c r="DB18" s="78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71"/>
      <c r="DW18" s="72"/>
      <c r="DX18" s="75"/>
      <c r="DY18" s="71"/>
      <c r="DZ18" s="72"/>
      <c r="EA18" s="78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71"/>
      <c r="EV18" s="72"/>
      <c r="EW18" s="75"/>
      <c r="EX18" s="71"/>
      <c r="EY18" s="72"/>
      <c r="EZ18" s="78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38.25" customHeight="1">
      <c r="A19" s="67" t="s">
        <v>27</v>
      </c>
      <c r="B19" s="68"/>
      <c r="C19" s="73" t="s">
        <v>28</v>
      </c>
      <c r="D19" s="67" t="s">
        <v>55</v>
      </c>
      <c r="E19" s="68"/>
      <c r="F19" s="76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800</v>
      </c>
      <c r="P19" s="21"/>
      <c r="Q19" s="20">
        <f>M19*O19</f>
        <v>800</v>
      </c>
      <c r="R19" s="21"/>
      <c r="S19" s="2"/>
      <c r="T19" s="2"/>
      <c r="U19" s="2"/>
      <c r="V19" s="2"/>
      <c r="W19" s="2"/>
      <c r="X19" s="2"/>
      <c r="Y19" s="2"/>
      <c r="Z19" s="67" t="s">
        <v>27</v>
      </c>
      <c r="AA19" s="68"/>
      <c r="AB19" s="73" t="s">
        <v>29</v>
      </c>
      <c r="AC19" s="67" t="s">
        <v>55</v>
      </c>
      <c r="AD19" s="68"/>
      <c r="AE19" s="76">
        <f>VLOOKUP(AB19,DINNERTABLE,2,FALSE)</f>
        <v>500</v>
      </c>
      <c r="AF19" s="2"/>
      <c r="AG19" s="2"/>
      <c r="AH19" s="26" t="s">
        <v>14</v>
      </c>
      <c r="AI19" s="27"/>
      <c r="AJ19" s="20">
        <f>VLOOKUP(AH19,METVALUE,2,FALSE)</f>
        <v>9.8000000000000007</v>
      </c>
      <c r="AK19" s="21"/>
      <c r="AL19" s="20">
        <v>1</v>
      </c>
      <c r="AM19" s="21"/>
      <c r="AN19" s="20">
        <f>AC3*AJ19</f>
        <v>1960.0000000000002</v>
      </c>
      <c r="AO19" s="21"/>
      <c r="AP19" s="20">
        <f>AL19*AN19</f>
        <v>1960.0000000000002</v>
      </c>
      <c r="AQ19" s="21"/>
      <c r="AR19" s="2"/>
      <c r="AS19" s="2"/>
      <c r="AT19" s="2"/>
      <c r="AU19" s="2"/>
      <c r="AV19" s="2"/>
      <c r="AW19" s="2"/>
      <c r="AX19" s="2"/>
      <c r="AY19" s="67" t="s">
        <v>27</v>
      </c>
      <c r="AZ19" s="68"/>
      <c r="BA19" s="73" t="s">
        <v>30</v>
      </c>
      <c r="BB19" s="67" t="s">
        <v>55</v>
      </c>
      <c r="BC19" s="68"/>
      <c r="BD19" s="76">
        <f>VLOOKUP(BA19,DINNERTABLE,2,FALSE)</f>
        <v>480</v>
      </c>
      <c r="BE19" s="2"/>
      <c r="BF19" s="2"/>
      <c r="BG19" s="26" t="s">
        <v>10</v>
      </c>
      <c r="BH19" s="27"/>
      <c r="BI19" s="20">
        <f>VLOOKUP(BG19,METVALUE,2,FALSE)</f>
        <v>8</v>
      </c>
      <c r="BJ19" s="21"/>
      <c r="BK19" s="20">
        <v>1</v>
      </c>
      <c r="BL19" s="21"/>
      <c r="BM19" s="20">
        <f>BB3*BI19</f>
        <v>1600</v>
      </c>
      <c r="BN19" s="21"/>
      <c r="BO19" s="20">
        <f>BK19*BM19</f>
        <v>1600</v>
      </c>
      <c r="BP19" s="21"/>
      <c r="BQ19" s="2"/>
      <c r="BR19" s="2"/>
      <c r="BS19" s="2"/>
      <c r="BT19" s="2"/>
      <c r="BU19" s="2"/>
      <c r="BV19" s="2"/>
      <c r="BW19" s="2"/>
      <c r="BX19" s="67" t="s">
        <v>27</v>
      </c>
      <c r="BY19" s="68"/>
      <c r="BZ19" s="73" t="s">
        <v>31</v>
      </c>
      <c r="CA19" s="67" t="s">
        <v>55</v>
      </c>
      <c r="CB19" s="68"/>
      <c r="CC19" s="76">
        <f>VLOOKUP(BZ19,DINNERTABLE,2,FALSE)</f>
        <v>470</v>
      </c>
      <c r="CD19" s="2"/>
      <c r="CE19" s="2"/>
      <c r="CF19" s="26" t="s">
        <v>17</v>
      </c>
      <c r="CG19" s="27"/>
      <c r="CH19" s="20">
        <f>VLOOKUP(CF19,METVALUE,2,FALSE)</f>
        <v>6</v>
      </c>
      <c r="CI19" s="21"/>
      <c r="CJ19" s="20">
        <v>1</v>
      </c>
      <c r="CK19" s="21"/>
      <c r="CL19" s="20">
        <f>CA3*CH19</f>
        <v>1200</v>
      </c>
      <c r="CM19" s="21"/>
      <c r="CN19" s="20">
        <f>CJ19*CL19</f>
        <v>1200</v>
      </c>
      <c r="CO19" s="21"/>
      <c r="CP19" s="2"/>
      <c r="CQ19" s="2"/>
      <c r="CR19" s="2"/>
      <c r="CS19" s="2"/>
      <c r="CT19" s="2"/>
      <c r="CU19" s="2"/>
      <c r="CV19" s="2"/>
      <c r="CW19" s="67" t="s">
        <v>27</v>
      </c>
      <c r="CX19" s="68"/>
      <c r="CY19" s="73" t="s">
        <v>32</v>
      </c>
      <c r="CZ19" s="67" t="s">
        <v>55</v>
      </c>
      <c r="DA19" s="68"/>
      <c r="DB19" s="76">
        <f>VLOOKUP(CY19,DINNERTABLE,2,FALSE)</f>
        <v>520</v>
      </c>
      <c r="DC19" s="2"/>
      <c r="DD19" s="2"/>
      <c r="DE19" s="26" t="s">
        <v>17</v>
      </c>
      <c r="DF19" s="27"/>
      <c r="DG19" s="20">
        <f>VLOOKUP(DE19,METVALUE,2,FALSE)</f>
        <v>6</v>
      </c>
      <c r="DH19" s="21"/>
      <c r="DI19" s="20">
        <v>1</v>
      </c>
      <c r="DJ19" s="21"/>
      <c r="DK19" s="20">
        <f>CZ3*DG19</f>
        <v>1200</v>
      </c>
      <c r="DL19" s="21"/>
      <c r="DM19" s="20">
        <f>DI19*DK19</f>
        <v>1200</v>
      </c>
      <c r="DN19" s="21"/>
      <c r="DO19" s="2"/>
      <c r="DP19" s="2"/>
      <c r="DQ19" s="2"/>
      <c r="DR19" s="2"/>
      <c r="DS19" s="2"/>
      <c r="DT19" s="2"/>
      <c r="DU19" s="2"/>
      <c r="DV19" s="67" t="s">
        <v>27</v>
      </c>
      <c r="DW19" s="68"/>
      <c r="DX19" s="73" t="s">
        <v>28</v>
      </c>
      <c r="DY19" s="67" t="s">
        <v>55</v>
      </c>
      <c r="DZ19" s="68"/>
      <c r="EA19" s="76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800</v>
      </c>
      <c r="EK19" s="21"/>
      <c r="EL19" s="20">
        <f>EH19*EJ19</f>
        <v>800</v>
      </c>
      <c r="EM19" s="21"/>
      <c r="EN19" s="2"/>
      <c r="EO19" s="2"/>
      <c r="EP19" s="2"/>
      <c r="EQ19" s="2"/>
      <c r="ER19" s="2"/>
      <c r="ES19" s="2"/>
      <c r="ET19" s="2"/>
      <c r="EU19" s="67" t="s">
        <v>27</v>
      </c>
      <c r="EV19" s="68"/>
      <c r="EW19" s="73" t="s">
        <v>28</v>
      </c>
      <c r="EX19" s="67" t="s">
        <v>55</v>
      </c>
      <c r="EY19" s="68"/>
      <c r="EZ19" s="76">
        <f>VLOOKUP(EW19,DINNERTABLE,2,FALSE)</f>
        <v>450</v>
      </c>
      <c r="FA19" s="2"/>
      <c r="FB19" s="2"/>
      <c r="FC19" s="26" t="s">
        <v>10</v>
      </c>
      <c r="FD19" s="27"/>
      <c r="FE19" s="20">
        <f>VLOOKUP(FC19,METVALUE,2,FALSE)</f>
        <v>8</v>
      </c>
      <c r="FF19" s="21"/>
      <c r="FG19" s="20">
        <v>1</v>
      </c>
      <c r="FH19" s="21"/>
      <c r="FI19" s="20">
        <f>EX3*FE19</f>
        <v>1600</v>
      </c>
      <c r="FJ19" s="21"/>
      <c r="FK19" s="20">
        <f>FG19*FI19</f>
        <v>1600</v>
      </c>
      <c r="FL19" s="21"/>
      <c r="FM19" s="2"/>
      <c r="FN19" s="2"/>
      <c r="FO19" s="2"/>
      <c r="FP19" s="2"/>
      <c r="FQ19" s="2"/>
      <c r="FR19" s="2"/>
      <c r="FS19" s="2"/>
    </row>
    <row r="20" spans="1:175" ht="15" customHeight="1">
      <c r="A20" s="69"/>
      <c r="B20" s="70"/>
      <c r="C20" s="74"/>
      <c r="D20" s="69"/>
      <c r="E20" s="70"/>
      <c r="F20" s="77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69"/>
      <c r="AA20" s="70"/>
      <c r="AB20" s="74"/>
      <c r="AC20" s="69"/>
      <c r="AD20" s="70"/>
      <c r="AE20" s="77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69"/>
      <c r="AZ20" s="70"/>
      <c r="BA20" s="74"/>
      <c r="BB20" s="69"/>
      <c r="BC20" s="70"/>
      <c r="BD20" s="77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69"/>
      <c r="BY20" s="70"/>
      <c r="BZ20" s="74"/>
      <c r="CA20" s="69"/>
      <c r="CB20" s="70"/>
      <c r="CC20" s="77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69"/>
      <c r="CX20" s="70"/>
      <c r="CY20" s="74"/>
      <c r="CZ20" s="69"/>
      <c r="DA20" s="70"/>
      <c r="DB20" s="77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69"/>
      <c r="DW20" s="70"/>
      <c r="DX20" s="74"/>
      <c r="DY20" s="69"/>
      <c r="DZ20" s="70"/>
      <c r="EA20" s="77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69"/>
      <c r="EV20" s="70"/>
      <c r="EW20" s="74"/>
      <c r="EX20" s="69"/>
      <c r="EY20" s="70"/>
      <c r="EZ20" s="77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5.75" customHeight="1" thickBot="1">
      <c r="A21" s="69"/>
      <c r="B21" s="70"/>
      <c r="C21" s="74"/>
      <c r="D21" s="69"/>
      <c r="E21" s="70"/>
      <c r="F21" s="77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69"/>
      <c r="AA21" s="70"/>
      <c r="AB21" s="74"/>
      <c r="AC21" s="69"/>
      <c r="AD21" s="70"/>
      <c r="AE21" s="77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69"/>
      <c r="AZ21" s="70"/>
      <c r="BA21" s="74"/>
      <c r="BB21" s="69"/>
      <c r="BC21" s="70"/>
      <c r="BD21" s="77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69"/>
      <c r="BY21" s="70"/>
      <c r="BZ21" s="74"/>
      <c r="CA21" s="69"/>
      <c r="CB21" s="70"/>
      <c r="CC21" s="77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69"/>
      <c r="CX21" s="70"/>
      <c r="CY21" s="74"/>
      <c r="CZ21" s="69"/>
      <c r="DA21" s="70"/>
      <c r="DB21" s="77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69"/>
      <c r="DW21" s="70"/>
      <c r="DX21" s="74"/>
      <c r="DY21" s="69"/>
      <c r="DZ21" s="70"/>
      <c r="EA21" s="77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69"/>
      <c r="EV21" s="70"/>
      <c r="EW21" s="74"/>
      <c r="EX21" s="69"/>
      <c r="EY21" s="70"/>
      <c r="EZ21" s="77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5.75" customHeight="1" thickBot="1">
      <c r="A22" s="71"/>
      <c r="B22" s="72"/>
      <c r="C22" s="75"/>
      <c r="D22" s="71"/>
      <c r="E22" s="72"/>
      <c r="F22" s="78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1960.0000000000002</v>
      </c>
      <c r="P22" s="21"/>
      <c r="Q22" s="20">
        <f>M22*O22</f>
        <v>1960.0000000000002</v>
      </c>
      <c r="R22" s="21"/>
      <c r="S22" s="2"/>
      <c r="T22" s="2"/>
      <c r="U22" s="2"/>
      <c r="V22" s="2"/>
      <c r="W22" s="2"/>
      <c r="X22" s="2"/>
      <c r="Y22" s="2"/>
      <c r="Z22" s="71"/>
      <c r="AA22" s="72"/>
      <c r="AB22" s="75"/>
      <c r="AC22" s="71"/>
      <c r="AD22" s="72"/>
      <c r="AE22" s="78"/>
      <c r="AF22" s="2"/>
      <c r="AG22" s="2"/>
      <c r="AH22" s="26" t="s">
        <v>17</v>
      </c>
      <c r="AI22" s="27"/>
      <c r="AJ22" s="20">
        <f>VLOOKUP(AH22,METVALUE,2,FALSE)</f>
        <v>6</v>
      </c>
      <c r="AK22" s="21"/>
      <c r="AL22" s="20">
        <v>1</v>
      </c>
      <c r="AM22" s="21"/>
      <c r="AN22" s="20">
        <f>AC3*AJ22</f>
        <v>1200</v>
      </c>
      <c r="AO22" s="21"/>
      <c r="AP22" s="20">
        <f>AL22*AN22</f>
        <v>1200</v>
      </c>
      <c r="AQ22" s="21"/>
      <c r="AR22" s="2"/>
      <c r="AS22" s="2"/>
      <c r="AT22" s="2"/>
      <c r="AU22" s="2"/>
      <c r="AV22" s="2"/>
      <c r="AW22" s="2"/>
      <c r="AX22" s="2"/>
      <c r="AY22" s="71"/>
      <c r="AZ22" s="72"/>
      <c r="BA22" s="75"/>
      <c r="BB22" s="71"/>
      <c r="BC22" s="72"/>
      <c r="BD22" s="78"/>
      <c r="BE22" s="2"/>
      <c r="BF22" s="2"/>
      <c r="BG22" s="26" t="s">
        <v>8</v>
      </c>
      <c r="BH22" s="27"/>
      <c r="BI22" s="20">
        <f>VLOOKUP(BG22,METVALUE,2,FALSE)</f>
        <v>5.5</v>
      </c>
      <c r="BJ22" s="21"/>
      <c r="BK22" s="20">
        <v>1</v>
      </c>
      <c r="BL22" s="21"/>
      <c r="BM22" s="20">
        <f>BB3*BI22</f>
        <v>1100</v>
      </c>
      <c r="BN22" s="21"/>
      <c r="BO22" s="20">
        <f>BK22*BM22</f>
        <v>1100</v>
      </c>
      <c r="BP22" s="21"/>
      <c r="BQ22" s="2"/>
      <c r="BR22" s="2"/>
      <c r="BS22" s="2"/>
      <c r="BT22" s="2"/>
      <c r="BU22" s="2"/>
      <c r="BV22" s="2"/>
      <c r="BW22" s="2"/>
      <c r="BX22" s="71"/>
      <c r="BY22" s="72"/>
      <c r="BZ22" s="75"/>
      <c r="CA22" s="71"/>
      <c r="CB22" s="72"/>
      <c r="CC22" s="78"/>
      <c r="CD22" s="2"/>
      <c r="CE22" s="2"/>
      <c r="CF22" s="26" t="s">
        <v>21</v>
      </c>
      <c r="CG22" s="27"/>
      <c r="CH22" s="20">
        <f>VLOOKUP(CF22,METVALUE,2,FALSE)</f>
        <v>10</v>
      </c>
      <c r="CI22" s="21"/>
      <c r="CJ22" s="20">
        <v>1</v>
      </c>
      <c r="CK22" s="21"/>
      <c r="CL22" s="20">
        <f>CA3*CH22</f>
        <v>2000</v>
      </c>
      <c r="CM22" s="21"/>
      <c r="CN22" s="20">
        <f>CJ22*CL22</f>
        <v>2000</v>
      </c>
      <c r="CO22" s="21"/>
      <c r="CP22" s="2"/>
      <c r="CQ22" s="2"/>
      <c r="CR22" s="2"/>
      <c r="CS22" s="2"/>
      <c r="CT22" s="2"/>
      <c r="CU22" s="2"/>
      <c r="CV22" s="2"/>
      <c r="CW22" s="71"/>
      <c r="CX22" s="72"/>
      <c r="CY22" s="75"/>
      <c r="CZ22" s="71"/>
      <c r="DA22" s="72"/>
      <c r="DB22" s="78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1960.0000000000002</v>
      </c>
      <c r="DL22" s="21"/>
      <c r="DM22" s="20">
        <f>DI22*DK22</f>
        <v>1960.0000000000002</v>
      </c>
      <c r="DN22" s="21"/>
      <c r="DO22" s="2"/>
      <c r="DP22" s="2"/>
      <c r="DQ22" s="2"/>
      <c r="DR22" s="2"/>
      <c r="DS22" s="2"/>
      <c r="DT22" s="2"/>
      <c r="DU22" s="2"/>
      <c r="DV22" s="71"/>
      <c r="DW22" s="72"/>
      <c r="DX22" s="75"/>
      <c r="DY22" s="71"/>
      <c r="DZ22" s="72"/>
      <c r="EA22" s="78"/>
      <c r="EB22" s="2"/>
      <c r="EC22" s="2"/>
      <c r="ED22" s="26" t="s">
        <v>25</v>
      </c>
      <c r="EE22" s="27"/>
      <c r="EF22" s="20">
        <f>VLOOKUP(ED22,METVALUE,2,FALSE)</f>
        <v>6</v>
      </c>
      <c r="EG22" s="21"/>
      <c r="EH22" s="20">
        <v>1</v>
      </c>
      <c r="EI22" s="21"/>
      <c r="EJ22" s="20">
        <f>DY3*EF22</f>
        <v>1200</v>
      </c>
      <c r="EK22" s="21"/>
      <c r="EL22" s="20">
        <f>EH22*EJ22</f>
        <v>1200</v>
      </c>
      <c r="EM22" s="21"/>
      <c r="EN22" s="2"/>
      <c r="EO22" s="2"/>
      <c r="EP22" s="2"/>
      <c r="EQ22" s="2"/>
      <c r="ER22" s="2"/>
      <c r="ES22" s="2"/>
      <c r="ET22" s="2"/>
      <c r="EU22" s="71"/>
      <c r="EV22" s="72"/>
      <c r="EW22" s="75"/>
      <c r="EX22" s="71"/>
      <c r="EY22" s="72"/>
      <c r="EZ22" s="78"/>
      <c r="FA22" s="2"/>
      <c r="FB22" s="2"/>
      <c r="FC22" s="26" t="s">
        <v>10</v>
      </c>
      <c r="FD22" s="27"/>
      <c r="FE22" s="20">
        <f>VLOOKUP(FC22,METVALUE,2,FALSE)</f>
        <v>8</v>
      </c>
      <c r="FF22" s="21"/>
      <c r="FG22" s="20">
        <v>1</v>
      </c>
      <c r="FH22" s="21"/>
      <c r="FI22" s="20">
        <f>EX3*FE22</f>
        <v>1600</v>
      </c>
      <c r="FJ22" s="21"/>
      <c r="FK22" s="20">
        <f>FG22*FI22</f>
        <v>1600</v>
      </c>
      <c r="FL22" s="21"/>
      <c r="FM22" s="2"/>
      <c r="FN22" s="2"/>
      <c r="FO22" s="2"/>
      <c r="FP22" s="2"/>
      <c r="FQ22" s="2"/>
      <c r="FR22" s="2"/>
      <c r="FS22" s="2"/>
    </row>
    <row r="23" spans="1:175" ht="15" customHeight="1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5.75" customHeight="1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" customHeight="1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2000</v>
      </c>
      <c r="P25" s="21"/>
      <c r="Q25" s="20">
        <f>M25*O25</f>
        <v>4000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25</v>
      </c>
      <c r="AI25" s="27"/>
      <c r="AJ25" s="20">
        <f>VLOOKUP(AH25,METVALUE,2,FALSE)</f>
        <v>6</v>
      </c>
      <c r="AK25" s="21"/>
      <c r="AL25" s="20">
        <v>2</v>
      </c>
      <c r="AM25" s="21"/>
      <c r="AN25" s="20">
        <f>AC3*AJ25</f>
        <v>1200</v>
      </c>
      <c r="AO25" s="21"/>
      <c r="AP25" s="20">
        <f>AL25*AN25</f>
        <v>2400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17</v>
      </c>
      <c r="BH25" s="27"/>
      <c r="BI25" s="20">
        <f>VLOOKUP(BG25,METVALUE,2,FALSE)</f>
        <v>6</v>
      </c>
      <c r="BJ25" s="21"/>
      <c r="BK25" s="20">
        <v>2</v>
      </c>
      <c r="BL25" s="21"/>
      <c r="BM25" s="20">
        <f>BB3*BI25</f>
        <v>1200</v>
      </c>
      <c r="BN25" s="21"/>
      <c r="BO25" s="20">
        <f>BK25*BM25</f>
        <v>2400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25</v>
      </c>
      <c r="CG25" s="27"/>
      <c r="CH25" s="20">
        <f>VLOOKUP(CF25,METVALUE,2,FALSE)</f>
        <v>6</v>
      </c>
      <c r="CI25" s="21"/>
      <c r="CJ25" s="20">
        <v>2</v>
      </c>
      <c r="CK25" s="21"/>
      <c r="CL25" s="20">
        <f>CA3*CH25</f>
        <v>1200</v>
      </c>
      <c r="CM25" s="21"/>
      <c r="CN25" s="20">
        <f>CJ25*CL25</f>
        <v>2400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25</v>
      </c>
      <c r="DF25" s="27"/>
      <c r="DG25" s="20">
        <f>VLOOKUP(DE25,METVALUE,2,FALSE)</f>
        <v>6</v>
      </c>
      <c r="DH25" s="21"/>
      <c r="DI25" s="20">
        <v>2</v>
      </c>
      <c r="DJ25" s="21"/>
      <c r="DK25" s="20">
        <f>CZ3*DG25</f>
        <v>1200</v>
      </c>
      <c r="DL25" s="21"/>
      <c r="DM25" s="20">
        <f>DI25*DK25</f>
        <v>2400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17</v>
      </c>
      <c r="EE25" s="27"/>
      <c r="EF25" s="20">
        <f>VLOOKUP(ED25,METVALUE,2,FALSE)</f>
        <v>6</v>
      </c>
      <c r="EG25" s="21"/>
      <c r="EH25" s="20">
        <v>2</v>
      </c>
      <c r="EI25" s="21"/>
      <c r="EJ25" s="20">
        <f>DY3*EF25</f>
        <v>1200</v>
      </c>
      <c r="EK25" s="21"/>
      <c r="EL25" s="20">
        <f>EH25*EJ25</f>
        <v>2400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17</v>
      </c>
      <c r="FD25" s="27"/>
      <c r="FE25" s="20">
        <f>VLOOKUP(FC25,METVALUE,2,FALSE)</f>
        <v>6</v>
      </c>
      <c r="FF25" s="21"/>
      <c r="FG25" s="20">
        <v>2</v>
      </c>
      <c r="FH25" s="21"/>
      <c r="FI25" s="20">
        <f>EX3*FE25</f>
        <v>1200</v>
      </c>
      <c r="FJ25" s="21"/>
      <c r="FK25" s="20">
        <f>FG25*FI25</f>
        <v>2400</v>
      </c>
      <c r="FL25" s="21"/>
      <c r="FM25" s="2"/>
      <c r="FN25" s="2"/>
      <c r="FO25" s="2"/>
      <c r="FP25" s="2"/>
      <c r="FQ25" s="2"/>
      <c r="FR25" s="2"/>
      <c r="FS25" s="2"/>
    </row>
    <row r="26" spans="1:175" ht="15" customHeight="1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5.75" customHeight="1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" customHeight="1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2000</v>
      </c>
      <c r="P28" s="21"/>
      <c r="Q28" s="20">
        <f>M28*O28</f>
        <v>2000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19</v>
      </c>
      <c r="AI28" s="27"/>
      <c r="AJ28" s="20">
        <f>VLOOKUP(AH25,METVALUE,2,FALSE)</f>
        <v>6</v>
      </c>
      <c r="AK28" s="21"/>
      <c r="AL28" s="20">
        <v>1</v>
      </c>
      <c r="AM28" s="21"/>
      <c r="AN28" s="20">
        <f>AC3*AJ28</f>
        <v>1200</v>
      </c>
      <c r="AO28" s="21"/>
      <c r="AP28" s="20">
        <f>AL28*AN28</f>
        <v>1200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23</v>
      </c>
      <c r="BH28" s="27"/>
      <c r="BI28" s="20">
        <f>VLOOKUP(BG25,METVALUE,2,FALSE)</f>
        <v>6</v>
      </c>
      <c r="BJ28" s="21"/>
      <c r="BK28" s="20">
        <v>1</v>
      </c>
      <c r="BL28" s="21"/>
      <c r="BM28" s="20">
        <f>BB3*BI28</f>
        <v>1200</v>
      </c>
      <c r="BN28" s="21"/>
      <c r="BO28" s="20">
        <f>BK28*BM28</f>
        <v>1200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25</v>
      </c>
      <c r="CG28" s="27"/>
      <c r="CH28" s="20">
        <f>VLOOKUP(CF25,METVALUE,2,FALSE)</f>
        <v>6</v>
      </c>
      <c r="CI28" s="21"/>
      <c r="CJ28" s="20">
        <v>1</v>
      </c>
      <c r="CK28" s="21"/>
      <c r="CL28" s="20">
        <f>CA3*CH28</f>
        <v>1200</v>
      </c>
      <c r="CM28" s="21"/>
      <c r="CN28" s="20">
        <f>CJ28*CL28</f>
        <v>1200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21</v>
      </c>
      <c r="DF28" s="27"/>
      <c r="DG28" s="20">
        <f>VLOOKUP(DE25,METVALUE,2,FALSE)</f>
        <v>6</v>
      </c>
      <c r="DH28" s="21"/>
      <c r="DI28" s="20">
        <v>1</v>
      </c>
      <c r="DJ28" s="21"/>
      <c r="DK28" s="20">
        <f>CZ3*DG28</f>
        <v>1200</v>
      </c>
      <c r="DL28" s="21"/>
      <c r="DM28" s="20">
        <f>DI28*DK28</f>
        <v>1200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10</v>
      </c>
      <c r="EE28" s="27"/>
      <c r="EF28" s="20">
        <f>VLOOKUP(ED25,METVALUE,2,FALSE)</f>
        <v>6</v>
      </c>
      <c r="EG28" s="21"/>
      <c r="EH28" s="20">
        <v>1</v>
      </c>
      <c r="EI28" s="21"/>
      <c r="EJ28" s="20">
        <f>DY3*EF28</f>
        <v>1200</v>
      </c>
      <c r="EK28" s="21"/>
      <c r="EL28" s="20">
        <f>EH28*EJ28</f>
        <v>1200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25</v>
      </c>
      <c r="FD28" s="27"/>
      <c r="FE28" s="20">
        <f>VLOOKUP(FC25,METVALUE,2,FALSE)</f>
        <v>6</v>
      </c>
      <c r="FF28" s="21"/>
      <c r="FG28" s="20">
        <v>1</v>
      </c>
      <c r="FH28" s="21"/>
      <c r="FI28" s="20">
        <f>EX3*FE28</f>
        <v>1200</v>
      </c>
      <c r="FJ28" s="21"/>
      <c r="FK28" s="20">
        <f>FG28*FI28</f>
        <v>1200</v>
      </c>
      <c r="FL28" s="21"/>
      <c r="FM28" s="2"/>
      <c r="FN28" s="2"/>
      <c r="FO28" s="2"/>
      <c r="FP28" s="2"/>
      <c r="FQ28" s="2"/>
      <c r="FR28" s="2"/>
      <c r="FS28" s="2"/>
    </row>
    <row r="29" spans="1:175" ht="15" customHeight="1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5.75" customHeight="1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5" customHeight="1">
      <c r="A33" s="2"/>
      <c r="B33" s="2"/>
      <c r="C33" s="48" t="s">
        <v>61</v>
      </c>
      <c r="D33" s="49"/>
      <c r="E33" s="49"/>
      <c r="F33" s="50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8" t="s">
        <v>62</v>
      </c>
      <c r="AC33" s="49"/>
      <c r="AD33" s="49"/>
      <c r="AE33" s="50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48" t="s">
        <v>63</v>
      </c>
      <c r="BB33" s="49"/>
      <c r="BC33" s="49"/>
      <c r="BD33" s="50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8" t="s">
        <v>64</v>
      </c>
      <c r="CA33" s="49"/>
      <c r="CB33" s="49"/>
      <c r="CC33" s="50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48" t="s">
        <v>65</v>
      </c>
      <c r="CZ33" s="49"/>
      <c r="DA33" s="49"/>
      <c r="DB33" s="50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48" t="s">
        <v>66</v>
      </c>
      <c r="DY33" s="49"/>
      <c r="DZ33" s="49"/>
      <c r="EA33" s="50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48" t="s">
        <v>67</v>
      </c>
      <c r="EX33" s="49"/>
      <c r="EY33" s="49"/>
      <c r="EZ33" s="50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5.75" customHeight="1" thickBot="1">
      <c r="A34" s="2"/>
      <c r="B34" s="2"/>
      <c r="C34" s="51"/>
      <c r="D34" s="52"/>
      <c r="E34" s="52"/>
      <c r="F34" s="53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51"/>
      <c r="AC34" s="52"/>
      <c r="AD34" s="52"/>
      <c r="AE34" s="53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51"/>
      <c r="BB34" s="52"/>
      <c r="BC34" s="52"/>
      <c r="BD34" s="53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1"/>
      <c r="CA34" s="52"/>
      <c r="CB34" s="52"/>
      <c r="CC34" s="53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51"/>
      <c r="CZ34" s="52"/>
      <c r="DA34" s="52"/>
      <c r="DB34" s="53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51"/>
      <c r="DY34" s="52"/>
      <c r="DZ34" s="52"/>
      <c r="EA34" s="53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51"/>
      <c r="EX34" s="52"/>
      <c r="EY34" s="52"/>
      <c r="EZ34" s="53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5" customHeight="1">
      <c r="A35" s="2"/>
      <c r="B35" s="2"/>
      <c r="C35" s="54" t="s">
        <v>68</v>
      </c>
      <c r="D35" s="54">
        <f>F11+F15+F19</f>
        <v>1065</v>
      </c>
      <c r="E35" s="54" t="s">
        <v>69</v>
      </c>
      <c r="F35" s="54">
        <f>D35-D39</f>
        <v>-11495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54" t="s">
        <v>68</v>
      </c>
      <c r="AC35" s="54">
        <f>AE11+AE15+AE19</f>
        <v>1165</v>
      </c>
      <c r="AD35" s="54" t="s">
        <v>69</v>
      </c>
      <c r="AE35" s="54">
        <f>AC35-AC39</f>
        <v>-9895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54" t="s">
        <v>68</v>
      </c>
      <c r="BB35" s="54">
        <f>BD11+BD15+BD19</f>
        <v>1270</v>
      </c>
      <c r="BC35" s="54" t="s">
        <v>69</v>
      </c>
      <c r="BD35" s="54">
        <f>BB35-BB39</f>
        <v>-9830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4" t="s">
        <v>68</v>
      </c>
      <c r="CA35" s="54">
        <f>CC11+CC15+CC19</f>
        <v>1170</v>
      </c>
      <c r="CB35" s="54" t="s">
        <v>69</v>
      </c>
      <c r="CC35" s="54">
        <f>CA35-CA39</f>
        <v>-9190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54" t="s">
        <v>68</v>
      </c>
      <c r="CZ35" s="54">
        <f>DB11+DB15+DB19</f>
        <v>1120</v>
      </c>
      <c r="DA35" s="54" t="s">
        <v>69</v>
      </c>
      <c r="DB35" s="54">
        <f>CZ35-CZ39</f>
        <v>-8940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54" t="s">
        <v>68</v>
      </c>
      <c r="DY35" s="54">
        <f>EA11+EA15+EA19</f>
        <v>1110</v>
      </c>
      <c r="DZ35" s="54" t="s">
        <v>69</v>
      </c>
      <c r="EA35" s="54">
        <f>DY35-DY39</f>
        <v>-7790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54" t="s">
        <v>68</v>
      </c>
      <c r="EX35" s="54">
        <f>EZ11+EZ15+EZ19</f>
        <v>1110</v>
      </c>
      <c r="EY35" s="54" t="s">
        <v>69</v>
      </c>
      <c r="EZ35" s="54">
        <f>EX35-EX39</f>
        <v>-9490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5" customHeight="1">
      <c r="A36" s="2"/>
      <c r="B36" s="2"/>
      <c r="C36" s="54"/>
      <c r="D36" s="54"/>
      <c r="E36" s="54"/>
      <c r="F36" s="54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54"/>
      <c r="AC36" s="54"/>
      <c r="AD36" s="54"/>
      <c r="AE36" s="54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54"/>
      <c r="BB36" s="54"/>
      <c r="BC36" s="54"/>
      <c r="BD36" s="54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4"/>
      <c r="CA36" s="54"/>
      <c r="CB36" s="54"/>
      <c r="CC36" s="54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54"/>
      <c r="CZ36" s="54"/>
      <c r="DA36" s="54"/>
      <c r="DB36" s="54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54"/>
      <c r="DY36" s="54"/>
      <c r="DZ36" s="54"/>
      <c r="EA36" s="54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54"/>
      <c r="EX36" s="54"/>
      <c r="EY36" s="54"/>
      <c r="EZ36" s="54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5" customHeight="1">
      <c r="A37" s="2"/>
      <c r="B37" s="2"/>
      <c r="C37" s="54"/>
      <c r="D37" s="54"/>
      <c r="E37" s="54"/>
      <c r="F37" s="54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4"/>
      <c r="AC37" s="54"/>
      <c r="AD37" s="54"/>
      <c r="AE37" s="54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54"/>
      <c r="BB37" s="54"/>
      <c r="BC37" s="54"/>
      <c r="BD37" s="54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4"/>
      <c r="CA37" s="54"/>
      <c r="CB37" s="54"/>
      <c r="CC37" s="54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54"/>
      <c r="CZ37" s="54"/>
      <c r="DA37" s="54"/>
      <c r="DB37" s="54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54"/>
      <c r="DY37" s="54"/>
      <c r="DZ37" s="54"/>
      <c r="EA37" s="54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54"/>
      <c r="EX37" s="54"/>
      <c r="EY37" s="54"/>
      <c r="EZ37" s="54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.75" customHeight="1" thickBot="1">
      <c r="A38" s="2"/>
      <c r="B38" s="2"/>
      <c r="C38" s="55"/>
      <c r="D38" s="55"/>
      <c r="E38" s="55"/>
      <c r="F38" s="55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55"/>
      <c r="AC38" s="55"/>
      <c r="AD38" s="55"/>
      <c r="AE38" s="55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55"/>
      <c r="BB38" s="55"/>
      <c r="BC38" s="55"/>
      <c r="BD38" s="55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5"/>
      <c r="CA38" s="55"/>
      <c r="CB38" s="55"/>
      <c r="CC38" s="55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55"/>
      <c r="CZ38" s="55"/>
      <c r="DA38" s="55"/>
      <c r="DB38" s="55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55"/>
      <c r="DY38" s="55"/>
      <c r="DZ38" s="55"/>
      <c r="EA38" s="55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55"/>
      <c r="EX38" s="55"/>
      <c r="EY38" s="55"/>
      <c r="EZ38" s="55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54" t="s">
        <v>70</v>
      </c>
      <c r="D39" s="54">
        <f>SUM(Q13:Q28)</f>
        <v>12560</v>
      </c>
      <c r="E39" s="54" t="s">
        <v>71</v>
      </c>
      <c r="F39" s="54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54" t="s">
        <v>70</v>
      </c>
      <c r="AC39" s="54">
        <f>SUM(AP13:AP28)</f>
        <v>11060</v>
      </c>
      <c r="AD39" s="54" t="s">
        <v>71</v>
      </c>
      <c r="AE39" s="54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54" t="s">
        <v>70</v>
      </c>
      <c r="BB39" s="54">
        <f>SUM(BO13:BO28)</f>
        <v>11100</v>
      </c>
      <c r="BC39" s="54" t="s">
        <v>71</v>
      </c>
      <c r="BD39" s="54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4" t="s">
        <v>70</v>
      </c>
      <c r="CA39" s="54">
        <f>SUM(CN13:CN28)</f>
        <v>10360</v>
      </c>
      <c r="CB39" s="54" t="s">
        <v>71</v>
      </c>
      <c r="CC39" s="54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54" t="s">
        <v>70</v>
      </c>
      <c r="CZ39" s="54">
        <f>SUM(DM13:DM28)</f>
        <v>10060</v>
      </c>
      <c r="DA39" s="54" t="s">
        <v>71</v>
      </c>
      <c r="DB39" s="54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54" t="s">
        <v>70</v>
      </c>
      <c r="DY39" s="54">
        <f>SUM(EL13:EL28)</f>
        <v>8900</v>
      </c>
      <c r="DZ39" s="54" t="s">
        <v>71</v>
      </c>
      <c r="EA39" s="54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54" t="s">
        <v>70</v>
      </c>
      <c r="EX39" s="54">
        <f>SUM(FK13:FK28)</f>
        <v>10600</v>
      </c>
      <c r="EY39" s="54" t="s">
        <v>71</v>
      </c>
      <c r="EZ39" s="54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5" customHeight="1">
      <c r="A40" s="2"/>
      <c r="B40" s="2"/>
      <c r="C40" s="54"/>
      <c r="D40" s="54"/>
      <c r="E40" s="54"/>
      <c r="F40" s="54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54"/>
      <c r="AC40" s="54"/>
      <c r="AD40" s="54"/>
      <c r="AE40" s="54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54"/>
      <c r="BB40" s="54"/>
      <c r="BC40" s="54"/>
      <c r="BD40" s="54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4"/>
      <c r="CA40" s="54"/>
      <c r="CB40" s="54"/>
      <c r="CC40" s="54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54"/>
      <c r="CZ40" s="54"/>
      <c r="DA40" s="54"/>
      <c r="DB40" s="54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54"/>
      <c r="DY40" s="54"/>
      <c r="DZ40" s="54"/>
      <c r="EA40" s="54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54"/>
      <c r="EX40" s="54"/>
      <c r="EY40" s="54"/>
      <c r="EZ40" s="54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54"/>
      <c r="D41" s="54"/>
      <c r="E41" s="54"/>
      <c r="F41" s="54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4"/>
      <c r="AC41" s="54"/>
      <c r="AD41" s="54"/>
      <c r="AE41" s="54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54"/>
      <c r="BB41" s="54"/>
      <c r="BC41" s="54"/>
      <c r="BD41" s="54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4"/>
      <c r="CA41" s="54"/>
      <c r="CB41" s="54"/>
      <c r="CC41" s="54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54"/>
      <c r="CZ41" s="54"/>
      <c r="DA41" s="54"/>
      <c r="DB41" s="54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54"/>
      <c r="DY41" s="54"/>
      <c r="DZ41" s="54"/>
      <c r="EA41" s="54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54"/>
      <c r="EX41" s="54"/>
      <c r="EY41" s="54"/>
      <c r="EZ41" s="54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55"/>
      <c r="D42" s="55"/>
      <c r="E42" s="55"/>
      <c r="F42" s="55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5"/>
      <c r="AC42" s="55"/>
      <c r="AD42" s="55"/>
      <c r="AE42" s="55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55"/>
      <c r="BB42" s="55"/>
      <c r="BC42" s="55"/>
      <c r="BD42" s="55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5"/>
      <c r="CA42" s="55"/>
      <c r="CB42" s="55"/>
      <c r="CC42" s="55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5"/>
      <c r="CZ42" s="55"/>
      <c r="DA42" s="55"/>
      <c r="DB42" s="55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55"/>
      <c r="DY42" s="55"/>
      <c r="DZ42" s="55"/>
      <c r="EA42" s="55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55"/>
      <c r="EX42" s="55"/>
      <c r="EY42" s="55"/>
      <c r="EZ42" s="55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 ht="15" customHeight="1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 ht="15" customHeight="1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 ht="15" customHeight="1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 ht="15.75" customHeight="1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.7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48" t="s">
        <v>72</v>
      </c>
      <c r="F50" s="49"/>
      <c r="G50" s="49"/>
      <c r="H50" s="50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79"/>
      <c r="BD50" s="79"/>
      <c r="BE50" s="79"/>
      <c r="BF50" s="79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56" t="s">
        <v>72</v>
      </c>
      <c r="CC50" s="57"/>
      <c r="CD50" s="57"/>
      <c r="CE50" s="58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56" t="s">
        <v>72</v>
      </c>
      <c r="DB50" s="57"/>
      <c r="DC50" s="57"/>
      <c r="DD50" s="58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56" t="s">
        <v>72</v>
      </c>
      <c r="EA50" s="57"/>
      <c r="EB50" s="57"/>
      <c r="EC50" s="58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56" t="s">
        <v>72</v>
      </c>
      <c r="EZ50" s="57"/>
      <c r="FA50" s="57"/>
      <c r="FB50" s="58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51"/>
      <c r="F51" s="52"/>
      <c r="G51" s="52"/>
      <c r="H51" s="53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79"/>
      <c r="BD51" s="79"/>
      <c r="BE51" s="79"/>
      <c r="BF51" s="79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59"/>
      <c r="CC51" s="60"/>
      <c r="CD51" s="60"/>
      <c r="CE51" s="61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59"/>
      <c r="DB51" s="60"/>
      <c r="DC51" s="60"/>
      <c r="DD51" s="61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59"/>
      <c r="EA51" s="60"/>
      <c r="EB51" s="60"/>
      <c r="EC51" s="61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59"/>
      <c r="EZ51" s="60"/>
      <c r="FA51" s="60"/>
      <c r="FB51" s="61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5" customHeight="1">
      <c r="A52" s="2"/>
      <c r="B52" s="2"/>
      <c r="C52" s="2"/>
      <c r="D52" s="2"/>
      <c r="E52" s="54" t="s">
        <v>68</v>
      </c>
      <c r="F52" s="67">
        <f>F35+AE35+BD35+CC35+DB35+EA35+EZ35</f>
        <v>-66630</v>
      </c>
      <c r="G52" s="80"/>
      <c r="H52" s="8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36"/>
      <c r="BD52" s="36"/>
      <c r="BE52" s="36"/>
      <c r="BF52" s="3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40" t="s">
        <v>68</v>
      </c>
      <c r="CC52" s="37"/>
      <c r="CD52" s="38"/>
      <c r="CE52" s="38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40" t="s">
        <v>68</v>
      </c>
      <c r="DB52" s="37"/>
      <c r="DC52" s="38"/>
      <c r="DD52" s="38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0" t="s">
        <v>68</v>
      </c>
      <c r="EA52" s="37"/>
      <c r="EB52" s="38"/>
      <c r="EC52" s="38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40" t="s">
        <v>68</v>
      </c>
      <c r="EZ52" s="37"/>
      <c r="FA52" s="38"/>
      <c r="FB52" s="38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5" customHeight="1">
      <c r="A53" s="2"/>
      <c r="B53" s="2"/>
      <c r="C53" s="2"/>
      <c r="D53" s="2"/>
      <c r="E53" s="54"/>
      <c r="F53" s="69"/>
      <c r="G53" s="81"/>
      <c r="H53" s="8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36"/>
      <c r="BD53" s="36"/>
      <c r="BE53" s="36"/>
      <c r="BF53" s="3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40"/>
      <c r="CC53" s="39"/>
      <c r="CD53" s="36"/>
      <c r="CE53" s="36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40"/>
      <c r="DB53" s="39"/>
      <c r="DC53" s="36"/>
      <c r="DD53" s="36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40"/>
      <c r="EA53" s="39"/>
      <c r="EB53" s="36"/>
      <c r="EC53" s="36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40"/>
      <c r="EZ53" s="39"/>
      <c r="FA53" s="36"/>
      <c r="FB53" s="36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5" customHeight="1">
      <c r="A54" s="2"/>
      <c r="B54" s="2"/>
      <c r="C54" s="2"/>
      <c r="D54" s="2"/>
      <c r="E54" s="54"/>
      <c r="F54" s="69"/>
      <c r="G54" s="81"/>
      <c r="H54" s="8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6"/>
      <c r="BD54" s="36"/>
      <c r="BE54" s="36"/>
      <c r="BF54" s="3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40"/>
      <c r="CC54" s="39"/>
      <c r="CD54" s="36"/>
      <c r="CE54" s="36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40"/>
      <c r="DB54" s="39"/>
      <c r="DC54" s="36"/>
      <c r="DD54" s="36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40"/>
      <c r="EA54" s="39"/>
      <c r="EB54" s="36"/>
      <c r="EC54" s="36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40"/>
      <c r="EZ54" s="39"/>
      <c r="FA54" s="36"/>
      <c r="FB54" s="36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.75" customHeight="1" thickBot="1">
      <c r="A55" s="2"/>
      <c r="B55" s="2"/>
      <c r="C55" s="2"/>
      <c r="D55" s="2"/>
      <c r="E55" s="55"/>
      <c r="F55" s="69"/>
      <c r="G55" s="81"/>
      <c r="H55" s="8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6"/>
      <c r="BD55" s="36"/>
      <c r="BE55" s="36"/>
      <c r="BF55" s="3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41"/>
      <c r="CC55" s="39"/>
      <c r="CD55" s="36"/>
      <c r="CE55" s="36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41"/>
      <c r="DB55" s="39"/>
      <c r="DC55" s="36"/>
      <c r="DD55" s="36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41"/>
      <c r="EA55" s="39"/>
      <c r="EB55" s="36"/>
      <c r="EC55" s="36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41"/>
      <c r="EZ55" s="39"/>
      <c r="FA55" s="36"/>
      <c r="FB55" s="36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54" t="s">
        <v>70</v>
      </c>
      <c r="F56" s="67">
        <f>D39+AC39+BB39+CA39+CZ39+DY39+EX39</f>
        <v>74640</v>
      </c>
      <c r="G56" s="80"/>
      <c r="H56" s="8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36"/>
      <c r="BD56" s="36"/>
      <c r="BE56" s="36"/>
      <c r="BF56" s="3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40" t="s">
        <v>70</v>
      </c>
      <c r="CC56" s="37"/>
      <c r="CD56" s="38"/>
      <c r="CE56" s="38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40" t="s">
        <v>70</v>
      </c>
      <c r="DB56" s="37"/>
      <c r="DC56" s="38"/>
      <c r="DD56" s="38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40" t="s">
        <v>70</v>
      </c>
      <c r="EA56" s="37"/>
      <c r="EB56" s="38"/>
      <c r="EC56" s="38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40" t="s">
        <v>70</v>
      </c>
      <c r="EZ56" s="37"/>
      <c r="FA56" s="38"/>
      <c r="FB56" s="38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5" customHeight="1">
      <c r="A57" s="2"/>
      <c r="B57" s="2"/>
      <c r="C57" s="2"/>
      <c r="D57" s="2"/>
      <c r="E57" s="54"/>
      <c r="F57" s="69"/>
      <c r="G57" s="81"/>
      <c r="H57" s="8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36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36"/>
      <c r="BD57" s="36"/>
      <c r="BE57" s="36"/>
      <c r="BF57" s="3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40"/>
      <c r="CC57" s="39"/>
      <c r="CD57" s="36"/>
      <c r="CE57" s="36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40"/>
      <c r="DB57" s="39"/>
      <c r="DC57" s="36"/>
      <c r="DD57" s="36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40"/>
      <c r="EA57" s="39"/>
      <c r="EB57" s="36"/>
      <c r="EC57" s="36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40"/>
      <c r="EZ57" s="39"/>
      <c r="FA57" s="36"/>
      <c r="FB57" s="36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54"/>
      <c r="F58" s="69"/>
      <c r="G58" s="81"/>
      <c r="H58" s="8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36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36"/>
      <c r="BD58" s="36"/>
      <c r="BE58" s="36"/>
      <c r="BF58" s="3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40"/>
      <c r="CC58" s="39"/>
      <c r="CD58" s="36"/>
      <c r="CE58" s="36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40"/>
      <c r="DB58" s="39"/>
      <c r="DC58" s="36"/>
      <c r="DD58" s="36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40"/>
      <c r="EA58" s="39"/>
      <c r="EB58" s="36"/>
      <c r="EC58" s="36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40"/>
      <c r="EZ58" s="39"/>
      <c r="FA58" s="36"/>
      <c r="FB58" s="36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55"/>
      <c r="F59" s="69"/>
      <c r="G59" s="81"/>
      <c r="H59" s="8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36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6"/>
      <c r="BD59" s="36"/>
      <c r="BE59" s="36"/>
      <c r="BF59" s="3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41"/>
      <c r="CC59" s="39"/>
      <c r="CD59" s="36"/>
      <c r="CE59" s="36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41"/>
      <c r="DB59" s="39"/>
      <c r="DC59" s="36"/>
      <c r="DD59" s="36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41"/>
      <c r="EA59" s="39"/>
      <c r="EB59" s="36"/>
      <c r="EC59" s="36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41"/>
      <c r="EZ59" s="39"/>
      <c r="FA59" s="36"/>
      <c r="FB59" s="36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54" t="s">
        <v>73</v>
      </c>
      <c r="F60" s="67">
        <f>F56-F52</f>
        <v>141270</v>
      </c>
      <c r="G60" s="80"/>
      <c r="H60" s="8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36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6"/>
      <c r="BD60" s="36"/>
      <c r="BE60" s="36"/>
      <c r="BF60" s="3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40" t="s">
        <v>73</v>
      </c>
      <c r="CC60" s="37"/>
      <c r="CD60" s="38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40" t="s">
        <v>73</v>
      </c>
      <c r="DB60" s="37"/>
      <c r="DC60" s="38"/>
      <c r="DD60" s="38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40" t="s">
        <v>73</v>
      </c>
      <c r="EA60" s="37"/>
      <c r="EB60" s="38"/>
      <c r="EC60" s="38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40" t="s">
        <v>73</v>
      </c>
      <c r="EZ60" s="37"/>
      <c r="FA60" s="38"/>
      <c r="FB60" s="38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5" customHeight="1">
      <c r="A61" s="2"/>
      <c r="B61" s="2"/>
      <c r="C61" s="2"/>
      <c r="D61" s="2"/>
      <c r="E61" s="54"/>
      <c r="F61" s="69"/>
      <c r="G61" s="81"/>
      <c r="H61" s="8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36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36"/>
      <c r="BD61" s="36"/>
      <c r="BE61" s="36"/>
      <c r="BF61" s="3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40"/>
      <c r="CC61" s="39"/>
      <c r="CD61" s="36"/>
      <c r="CE61" s="36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40"/>
      <c r="DB61" s="39"/>
      <c r="DC61" s="36"/>
      <c r="DD61" s="36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40"/>
      <c r="EA61" s="39"/>
      <c r="EB61" s="36"/>
      <c r="EC61" s="36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40"/>
      <c r="EZ61" s="39"/>
      <c r="FA61" s="36"/>
      <c r="FB61" s="36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54"/>
      <c r="F62" s="69"/>
      <c r="G62" s="81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36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36"/>
      <c r="BD62" s="36"/>
      <c r="BE62" s="36"/>
      <c r="BF62" s="3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40"/>
      <c r="CC62" s="39"/>
      <c r="CD62" s="36"/>
      <c r="CE62" s="36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40"/>
      <c r="DB62" s="39"/>
      <c r="DC62" s="36"/>
      <c r="DD62" s="36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40"/>
      <c r="EA62" s="39"/>
      <c r="EB62" s="36"/>
      <c r="EC62" s="36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40"/>
      <c r="EZ62" s="39"/>
      <c r="FA62" s="36"/>
      <c r="FB62" s="36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55"/>
      <c r="F63" s="69"/>
      <c r="G63" s="81"/>
      <c r="H63" s="8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36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36"/>
      <c r="BD63" s="36"/>
      <c r="BE63" s="36"/>
      <c r="BF63" s="3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41"/>
      <c r="CC63" s="39"/>
      <c r="CD63" s="36"/>
      <c r="CE63" s="36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41"/>
      <c r="DB63" s="39"/>
      <c r="DC63" s="36"/>
      <c r="DD63" s="36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41"/>
      <c r="EA63" s="39"/>
      <c r="EB63" s="36"/>
      <c r="EC63" s="36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41"/>
      <c r="EZ63" s="39"/>
      <c r="FA63" s="36"/>
      <c r="FB63" s="36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54" t="s">
        <v>74</v>
      </c>
      <c r="F64" s="67">
        <f>(F60)/7700</f>
        <v>18.346753246753245</v>
      </c>
      <c r="G64" s="80"/>
      <c r="H64" s="8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36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36"/>
      <c r="BD64" s="36"/>
      <c r="BE64" s="36"/>
      <c r="BF64" s="3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40" t="s">
        <v>74</v>
      </c>
      <c r="CC64" s="37"/>
      <c r="CD64" s="38"/>
      <c r="CE64" s="38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40" t="s">
        <v>74</v>
      </c>
      <c r="DB64" s="37"/>
      <c r="DC64" s="38"/>
      <c r="DD64" s="38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40" t="s">
        <v>74</v>
      </c>
      <c r="EA64" s="37"/>
      <c r="EB64" s="38"/>
      <c r="EC64" s="38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40" t="s">
        <v>74</v>
      </c>
      <c r="EZ64" s="37"/>
      <c r="FA64" s="38"/>
      <c r="FB64" s="38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5" customHeight="1">
      <c r="A65" s="2"/>
      <c r="B65" s="2"/>
      <c r="C65" s="2"/>
      <c r="D65" s="2"/>
      <c r="E65" s="54"/>
      <c r="F65" s="69"/>
      <c r="G65" s="81"/>
      <c r="H65" s="8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36"/>
      <c r="BD65" s="36"/>
      <c r="BE65" s="36"/>
      <c r="BF65" s="3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40"/>
      <c r="CC65" s="39"/>
      <c r="CD65" s="36"/>
      <c r="CE65" s="36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40"/>
      <c r="DB65" s="39"/>
      <c r="DC65" s="36"/>
      <c r="DD65" s="36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40"/>
      <c r="EA65" s="39"/>
      <c r="EB65" s="36"/>
      <c r="EC65" s="36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40"/>
      <c r="EZ65" s="39"/>
      <c r="FA65" s="36"/>
      <c r="FB65" s="36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54"/>
      <c r="F66" s="69"/>
      <c r="G66" s="81"/>
      <c r="H66" s="8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36"/>
      <c r="BD66" s="36"/>
      <c r="BE66" s="36"/>
      <c r="BF66" s="3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40"/>
      <c r="CC66" s="39"/>
      <c r="CD66" s="36"/>
      <c r="CE66" s="36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40"/>
      <c r="DB66" s="39"/>
      <c r="DC66" s="36"/>
      <c r="DD66" s="36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40"/>
      <c r="EA66" s="39"/>
      <c r="EB66" s="36"/>
      <c r="EC66" s="36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40"/>
      <c r="EZ66" s="39"/>
      <c r="FA66" s="36"/>
      <c r="FB66" s="36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55"/>
      <c r="F67" s="69"/>
      <c r="G67" s="81"/>
      <c r="H67" s="8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36"/>
      <c r="BD67" s="36"/>
      <c r="BE67" s="36"/>
      <c r="BF67" s="3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41"/>
      <c r="CC67" s="39"/>
      <c r="CD67" s="36"/>
      <c r="CE67" s="36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41"/>
      <c r="DB67" s="39"/>
      <c r="DC67" s="36"/>
      <c r="DD67" s="36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41"/>
      <c r="EA67" s="39"/>
      <c r="EB67" s="36"/>
      <c r="EC67" s="36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41"/>
      <c r="EZ67" s="39"/>
      <c r="FA67" s="36"/>
      <c r="FB67" s="36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54" t="s">
        <v>75</v>
      </c>
      <c r="F68" s="67">
        <f>F64-D3</f>
        <v>-181.65324675324675</v>
      </c>
      <c r="G68" s="80"/>
      <c r="H68" s="8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36"/>
      <c r="BD68" s="36"/>
      <c r="BE68" s="36"/>
      <c r="BF68" s="3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40" t="s">
        <v>75</v>
      </c>
      <c r="CC68" s="37"/>
      <c r="CD68" s="38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40" t="s">
        <v>75</v>
      </c>
      <c r="DB68" s="37"/>
      <c r="DC68" s="38"/>
      <c r="DD68" s="38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40" t="s">
        <v>75</v>
      </c>
      <c r="EA68" s="37"/>
      <c r="EB68" s="38"/>
      <c r="EC68" s="38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40" t="s">
        <v>75</v>
      </c>
      <c r="EZ68" s="37"/>
      <c r="FA68" s="38"/>
      <c r="FB68" s="38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5" customHeight="1">
      <c r="A69" s="2"/>
      <c r="B69" s="2"/>
      <c r="C69" s="2"/>
      <c r="D69" s="2"/>
      <c r="E69" s="54"/>
      <c r="F69" s="69"/>
      <c r="G69" s="81"/>
      <c r="H69" s="8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36"/>
      <c r="BD69" s="36"/>
      <c r="BE69" s="36"/>
      <c r="BF69" s="3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40"/>
      <c r="CC69" s="39"/>
      <c r="CD69" s="36"/>
      <c r="CE69" s="36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40"/>
      <c r="DB69" s="39"/>
      <c r="DC69" s="36"/>
      <c r="DD69" s="36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40"/>
      <c r="EA69" s="39"/>
      <c r="EB69" s="36"/>
      <c r="EC69" s="36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40"/>
      <c r="EZ69" s="39"/>
      <c r="FA69" s="36"/>
      <c r="FB69" s="36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54"/>
      <c r="F70" s="69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36"/>
      <c r="BD70" s="36"/>
      <c r="BE70" s="36"/>
      <c r="BF70" s="3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40"/>
      <c r="CC70" s="39"/>
      <c r="CD70" s="36"/>
      <c r="CE70" s="36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40"/>
      <c r="DB70" s="39"/>
      <c r="DC70" s="36"/>
      <c r="DD70" s="36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40"/>
      <c r="EA70" s="39"/>
      <c r="EB70" s="36"/>
      <c r="EC70" s="36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40"/>
      <c r="EZ70" s="39"/>
      <c r="FA70" s="36"/>
      <c r="FB70" s="36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55"/>
      <c r="F71" s="69"/>
      <c r="G71" s="81"/>
      <c r="H71" s="8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36"/>
      <c r="BD71" s="36"/>
      <c r="BE71" s="36"/>
      <c r="BF71" s="3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41"/>
      <c r="CC71" s="39"/>
      <c r="CD71" s="36"/>
      <c r="CE71" s="36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41"/>
      <c r="DB71" s="39"/>
      <c r="DC71" s="36"/>
      <c r="DD71" s="36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41"/>
      <c r="EA71" s="39"/>
      <c r="EB71" s="36"/>
      <c r="EC71" s="36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41"/>
      <c r="EZ71" s="39"/>
      <c r="FA71" s="36"/>
      <c r="FB71" s="36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54" t="s">
        <v>76</v>
      </c>
      <c r="F72" s="67">
        <f>148.95/(1.6^2)</f>
        <v>58.183593749999986</v>
      </c>
      <c r="G72" s="80"/>
      <c r="H72" s="8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6"/>
      <c r="BD72" s="36"/>
      <c r="BE72" s="36"/>
      <c r="BF72" s="3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40" t="s">
        <v>76</v>
      </c>
      <c r="CC72" s="37"/>
      <c r="CD72" s="38"/>
      <c r="CE72" s="38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40" t="s">
        <v>76</v>
      </c>
      <c r="DB72" s="37"/>
      <c r="DC72" s="38"/>
      <c r="DD72" s="38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40" t="s">
        <v>76</v>
      </c>
      <c r="EA72" s="37"/>
      <c r="EB72" s="38"/>
      <c r="EC72" s="38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40" t="s">
        <v>76</v>
      </c>
      <c r="EZ72" s="37"/>
      <c r="FA72" s="38"/>
      <c r="FB72" s="38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5" customHeight="1">
      <c r="A73" s="2"/>
      <c r="B73" s="2"/>
      <c r="C73" s="2"/>
      <c r="D73" s="2"/>
      <c r="E73" s="54"/>
      <c r="F73" s="69"/>
      <c r="G73" s="81"/>
      <c r="H73" s="8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6"/>
      <c r="BD73" s="36"/>
      <c r="BE73" s="36"/>
      <c r="BF73" s="3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40"/>
      <c r="CC73" s="39"/>
      <c r="CD73" s="36"/>
      <c r="CE73" s="36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40"/>
      <c r="DB73" s="39"/>
      <c r="DC73" s="36"/>
      <c r="DD73" s="36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40"/>
      <c r="EA73" s="39"/>
      <c r="EB73" s="36"/>
      <c r="EC73" s="36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40"/>
      <c r="EZ73" s="39"/>
      <c r="FA73" s="36"/>
      <c r="FB73" s="36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54"/>
      <c r="F74" s="69"/>
      <c r="G74" s="81"/>
      <c r="H74" s="8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6"/>
      <c r="BD74" s="36"/>
      <c r="BE74" s="36"/>
      <c r="BF74" s="3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40"/>
      <c r="CC74" s="39"/>
      <c r="CD74" s="36"/>
      <c r="CE74" s="36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40"/>
      <c r="DB74" s="39"/>
      <c r="DC74" s="36"/>
      <c r="DD74" s="36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40"/>
      <c r="EA74" s="39"/>
      <c r="EB74" s="36"/>
      <c r="EC74" s="36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40"/>
      <c r="EZ74" s="39"/>
      <c r="FA74" s="36"/>
      <c r="FB74" s="36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55"/>
      <c r="F75" s="69"/>
      <c r="G75" s="81"/>
      <c r="H75" s="8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6"/>
      <c r="BD75" s="36"/>
      <c r="BE75" s="36"/>
      <c r="BF75" s="3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41"/>
      <c r="CC75" s="39"/>
      <c r="CD75" s="36"/>
      <c r="CE75" s="36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41"/>
      <c r="DB75" s="39"/>
      <c r="DC75" s="36"/>
      <c r="DD75" s="36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41"/>
      <c r="EA75" s="39"/>
      <c r="EB75" s="36"/>
      <c r="EC75" s="36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41"/>
      <c r="EZ75" s="39"/>
      <c r="FA75" s="36"/>
      <c r="FB75" s="36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 ht="14.4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5">
    <mergeCell ref="E50:H51"/>
    <mergeCell ref="E52:E55"/>
    <mergeCell ref="E56:E59"/>
    <mergeCell ref="E60:E63"/>
    <mergeCell ref="I9:R10"/>
    <mergeCell ref="E64:E67"/>
    <mergeCell ref="E68:E71"/>
    <mergeCell ref="E72:E75"/>
    <mergeCell ref="F52:H55"/>
    <mergeCell ref="F56:H59"/>
    <mergeCell ref="F60:H63"/>
    <mergeCell ref="F64:H67"/>
    <mergeCell ref="F68:H71"/>
    <mergeCell ref="F72:H75"/>
    <mergeCell ref="C39:C42"/>
    <mergeCell ref="D39:D42"/>
    <mergeCell ref="E39:E42"/>
    <mergeCell ref="F39:F42"/>
    <mergeCell ref="C35:C38"/>
    <mergeCell ref="D35:D38"/>
    <mergeCell ref="E35:E38"/>
    <mergeCell ref="F35:F38"/>
    <mergeCell ref="B3:C4"/>
    <mergeCell ref="D3:D4"/>
    <mergeCell ref="A11:B14"/>
    <mergeCell ref="C11:C14"/>
    <mergeCell ref="A9:F10"/>
    <mergeCell ref="D11:E14"/>
    <mergeCell ref="F11:F14"/>
    <mergeCell ref="A15:B18"/>
    <mergeCell ref="C15:C18"/>
    <mergeCell ref="D15:E18"/>
    <mergeCell ref="F15:F18"/>
    <mergeCell ref="C33:F34"/>
    <mergeCell ref="A19:B22"/>
    <mergeCell ref="C19:C22"/>
    <mergeCell ref="D19:E22"/>
    <mergeCell ref="F19:F22"/>
    <mergeCell ref="AA3:AB4"/>
    <mergeCell ref="AC3:AC4"/>
    <mergeCell ref="Z9:AE10"/>
    <mergeCell ref="AH9:AQ10"/>
    <mergeCell ref="Z11:AA14"/>
    <mergeCell ref="AB11:AB14"/>
    <mergeCell ref="AC11:AD14"/>
    <mergeCell ref="AE11:AE14"/>
    <mergeCell ref="AB39:AB42"/>
    <mergeCell ref="AC39:AC42"/>
    <mergeCell ref="AD39:AD42"/>
    <mergeCell ref="AE39:AE42"/>
    <mergeCell ref="Z15:AA18"/>
    <mergeCell ref="AB15:AB18"/>
    <mergeCell ref="AC15:AD18"/>
    <mergeCell ref="AE15:AE18"/>
    <mergeCell ref="Z19:AA22"/>
    <mergeCell ref="AB19:AB22"/>
    <mergeCell ref="AC19:AD22"/>
    <mergeCell ref="AE19:AE22"/>
    <mergeCell ref="BG9:BP10"/>
    <mergeCell ref="AY11:AZ14"/>
    <mergeCell ref="BA11:BA14"/>
    <mergeCell ref="BB11:BC14"/>
    <mergeCell ref="BD11:BD14"/>
    <mergeCell ref="AB33:AE34"/>
    <mergeCell ref="AB35:AB38"/>
    <mergeCell ref="AC35:AC38"/>
    <mergeCell ref="AD35:AD38"/>
    <mergeCell ref="AE35:AE38"/>
    <mergeCell ref="AY15:AZ18"/>
    <mergeCell ref="BA15:BA18"/>
    <mergeCell ref="BB15:BC18"/>
    <mergeCell ref="BD15:BD18"/>
    <mergeCell ref="AY19:AZ22"/>
    <mergeCell ref="BA19:BA22"/>
    <mergeCell ref="BB19:BC22"/>
    <mergeCell ref="BD19:BD22"/>
    <mergeCell ref="AZ3:BA4"/>
    <mergeCell ref="BB3:BB4"/>
    <mergeCell ref="AY9:BD10"/>
    <mergeCell ref="BA39:BA42"/>
    <mergeCell ref="BB39:BB42"/>
    <mergeCell ref="BC39:BC42"/>
    <mergeCell ref="BD39:BD42"/>
    <mergeCell ref="BC50:BF51"/>
    <mergeCell ref="BA33:BD34"/>
    <mergeCell ref="BA35:BA38"/>
    <mergeCell ref="BB35:BB38"/>
    <mergeCell ref="BC35:BC38"/>
    <mergeCell ref="BD35:BD38"/>
    <mergeCell ref="BC64:BC67"/>
    <mergeCell ref="BD64:BF67"/>
    <mergeCell ref="BC68:BC71"/>
    <mergeCell ref="BD68:BF71"/>
    <mergeCell ref="BC72:BC75"/>
    <mergeCell ref="BD72:BF75"/>
    <mergeCell ref="BC52:BC55"/>
    <mergeCell ref="BD52:BF55"/>
    <mergeCell ref="BC56:BC59"/>
    <mergeCell ref="BD56:BF59"/>
    <mergeCell ref="BC60:BC63"/>
    <mergeCell ref="BD60:BF63"/>
    <mergeCell ref="BX15:BY18"/>
    <mergeCell ref="BZ15:BZ18"/>
    <mergeCell ref="CA15:CB18"/>
    <mergeCell ref="CC15:CC18"/>
    <mergeCell ref="BX19:BY22"/>
    <mergeCell ref="BZ19:BZ22"/>
    <mergeCell ref="CA19:CB22"/>
    <mergeCell ref="CC19:CC22"/>
    <mergeCell ref="BY3:BZ4"/>
    <mergeCell ref="CA3:CA4"/>
    <mergeCell ref="BX9:CC10"/>
    <mergeCell ref="BX11:BY14"/>
    <mergeCell ref="BZ11:BZ14"/>
    <mergeCell ref="CA11:CB14"/>
    <mergeCell ref="CC11:CC14"/>
    <mergeCell ref="CB72:CB75"/>
    <mergeCell ref="CC72:CE75"/>
    <mergeCell ref="CB52:CB55"/>
    <mergeCell ref="CC52:CE55"/>
    <mergeCell ref="CB56:CB59"/>
    <mergeCell ref="CC56:CE59"/>
    <mergeCell ref="CB60:CB63"/>
    <mergeCell ref="CC60:CE63"/>
    <mergeCell ref="BZ39:BZ42"/>
    <mergeCell ref="CA39:CA42"/>
    <mergeCell ref="CB39:CB42"/>
    <mergeCell ref="CC39:CC42"/>
    <mergeCell ref="CB50:CE51"/>
    <mergeCell ref="CC64:CE67"/>
    <mergeCell ref="CB68:CB71"/>
    <mergeCell ref="CC68:CE71"/>
    <mergeCell ref="BZ33:CC34"/>
    <mergeCell ref="BZ35:BZ38"/>
    <mergeCell ref="CA35:CA38"/>
    <mergeCell ref="CB35:CB38"/>
    <mergeCell ref="CC35:CC38"/>
    <mergeCell ref="CF9:CO10"/>
    <mergeCell ref="CX3:CY4"/>
    <mergeCell ref="CZ3:CZ4"/>
    <mergeCell ref="CW9:DB10"/>
    <mergeCell ref="CY39:CY42"/>
    <mergeCell ref="CZ39:CZ42"/>
    <mergeCell ref="DA39:DA42"/>
    <mergeCell ref="DB39:DB42"/>
    <mergeCell ref="DA50:DD51"/>
    <mergeCell ref="CY33:DB34"/>
    <mergeCell ref="CY35:CY38"/>
    <mergeCell ref="CZ35:CZ38"/>
    <mergeCell ref="DA35:DA38"/>
    <mergeCell ref="DB35:DB38"/>
    <mergeCell ref="CW11:CX14"/>
    <mergeCell ref="CY11:CY14"/>
    <mergeCell ref="CZ11:DA14"/>
    <mergeCell ref="DB11:DB14"/>
    <mergeCell ref="CW15:CX18"/>
    <mergeCell ref="CY15:CY18"/>
    <mergeCell ref="CZ15:DA18"/>
    <mergeCell ref="DB15:DB18"/>
    <mergeCell ref="CW19:CX22"/>
    <mergeCell ref="CY19:CY22"/>
    <mergeCell ref="CZ19:DA22"/>
    <mergeCell ref="DW3:DX4"/>
    <mergeCell ref="DY3:DY4"/>
    <mergeCell ref="DV9:EA10"/>
    <mergeCell ref="DV11:DW14"/>
    <mergeCell ref="DX11:DX14"/>
    <mergeCell ref="DY11:DZ14"/>
    <mergeCell ref="EA11:EA14"/>
    <mergeCell ref="DB64:DD67"/>
    <mergeCell ref="DA68:DA71"/>
    <mergeCell ref="DB68:DD71"/>
    <mergeCell ref="DA52:DA55"/>
    <mergeCell ref="DB52:DD55"/>
    <mergeCell ref="DA56:DA59"/>
    <mergeCell ref="DB56:DD59"/>
    <mergeCell ref="DA60:DA63"/>
    <mergeCell ref="DB60:DD63"/>
    <mergeCell ref="DE9:DN10"/>
    <mergeCell ref="DB19:DB22"/>
    <mergeCell ref="DA64:DA67"/>
    <mergeCell ref="DX39:DX42"/>
    <mergeCell ref="DY39:DY42"/>
    <mergeCell ref="DZ39:DZ42"/>
    <mergeCell ref="EA39:EA42"/>
    <mergeCell ref="DZ50:EC51"/>
    <mergeCell ref="DV15:DW18"/>
    <mergeCell ref="DX15:DX18"/>
    <mergeCell ref="DY15:DZ18"/>
    <mergeCell ref="EA15:EA18"/>
    <mergeCell ref="DV19:DW22"/>
    <mergeCell ref="DX19:DX22"/>
    <mergeCell ref="DY19:DZ22"/>
    <mergeCell ref="EA19:EA22"/>
    <mergeCell ref="FC9:FL10"/>
    <mergeCell ref="EU11:EV14"/>
    <mergeCell ref="EW11:EW14"/>
    <mergeCell ref="EX11:EY14"/>
    <mergeCell ref="EZ11:EZ14"/>
    <mergeCell ref="DZ64:DZ67"/>
    <mergeCell ref="EA64:EC67"/>
    <mergeCell ref="DZ68:DZ71"/>
    <mergeCell ref="EA68:EC71"/>
    <mergeCell ref="DX33:EA34"/>
    <mergeCell ref="DX35:DX38"/>
    <mergeCell ref="DY35:DY38"/>
    <mergeCell ref="DZ35:DZ38"/>
    <mergeCell ref="EA35:EA38"/>
    <mergeCell ref="ED9:EM10"/>
    <mergeCell ref="EU15:EV18"/>
    <mergeCell ref="EW15:EW18"/>
    <mergeCell ref="EX15:EY18"/>
    <mergeCell ref="EZ15:EZ18"/>
    <mergeCell ref="EU19:EV22"/>
    <mergeCell ref="EW19:EW22"/>
    <mergeCell ref="EX19:EY22"/>
    <mergeCell ref="EZ19:EZ22"/>
    <mergeCell ref="EY64:EY67"/>
    <mergeCell ref="EV3:EW4"/>
    <mergeCell ref="EX3:EX4"/>
    <mergeCell ref="EU9:EZ10"/>
    <mergeCell ref="EW39:EW42"/>
    <mergeCell ref="EX39:EX42"/>
    <mergeCell ref="EY39:EY42"/>
    <mergeCell ref="EZ39:EZ42"/>
    <mergeCell ref="EY50:FB51"/>
    <mergeCell ref="EW33:EZ34"/>
    <mergeCell ref="EW35:EW38"/>
    <mergeCell ref="EX35:EX38"/>
    <mergeCell ref="EY35:EY38"/>
    <mergeCell ref="EZ35:EZ38"/>
    <mergeCell ref="AG57:AG60"/>
    <mergeCell ref="AG61:AG64"/>
    <mergeCell ref="EZ64:FB67"/>
    <mergeCell ref="EY68:EY71"/>
    <mergeCell ref="EZ68:FB71"/>
    <mergeCell ref="EY72:EY75"/>
    <mergeCell ref="EZ72:FB75"/>
    <mergeCell ref="EY52:EY55"/>
    <mergeCell ref="EZ52:FB55"/>
    <mergeCell ref="EY56:EY59"/>
    <mergeCell ref="EZ56:FB59"/>
    <mergeCell ref="EY60:EY63"/>
    <mergeCell ref="EZ60:FB63"/>
    <mergeCell ref="DZ72:DZ75"/>
    <mergeCell ref="EA72:EC75"/>
    <mergeCell ref="DZ52:DZ55"/>
    <mergeCell ref="EA52:EC55"/>
    <mergeCell ref="DZ56:DZ59"/>
    <mergeCell ref="EA56:EC59"/>
    <mergeCell ref="DZ60:DZ63"/>
    <mergeCell ref="EA60:EC63"/>
    <mergeCell ref="DA72:DA75"/>
    <mergeCell ref="DB72:DD75"/>
    <mergeCell ref="CB64:CB67"/>
  </mergeCells>
  <conditionalFormatting sqref="F39:F42">
    <cfRule type="containsText" dxfId="69" priority="13" operator="containsText" text="Bad shape">
      <formula>NOT(ISERROR(SEARCH("Bad shape",F39)))</formula>
    </cfRule>
    <cfRule type="containsText" dxfId="68" priority="14" operator="containsText" text="Fit shape">
      <formula>NOT(ISERROR(SEARCH("Fit shape",F39)))</formula>
    </cfRule>
  </conditionalFormatting>
  <conditionalFormatting sqref="AE39:AE42">
    <cfRule type="containsText" dxfId="67" priority="11" operator="containsText" text="Bad shape">
      <formula>NOT(ISERROR(SEARCH("Bad shape",AE39)))</formula>
    </cfRule>
    <cfRule type="containsText" dxfId="66" priority="12" operator="containsText" text="Fit shape">
      <formula>NOT(ISERROR(SEARCH("Fit shape",AE39)))</formula>
    </cfRule>
  </conditionalFormatting>
  <conditionalFormatting sqref="BD39:BD42">
    <cfRule type="containsText" dxfId="65" priority="9" operator="containsText" text="Bad shape">
      <formula>NOT(ISERROR(SEARCH("Bad shape",BD39)))</formula>
    </cfRule>
    <cfRule type="containsText" dxfId="64" priority="10" operator="containsText" text="Fit shape">
      <formula>NOT(ISERROR(SEARCH("Fit shape",BD39)))</formula>
    </cfRule>
  </conditionalFormatting>
  <conditionalFormatting sqref="CC39:CC42">
    <cfRule type="containsText" dxfId="63" priority="7" operator="containsText" text="Bad shape">
      <formula>NOT(ISERROR(SEARCH("Bad shape",CC39)))</formula>
    </cfRule>
    <cfRule type="containsText" dxfId="62" priority="8" operator="containsText" text="Fit shape">
      <formula>NOT(ISERROR(SEARCH("Fit shape",CC39)))</formula>
    </cfRule>
  </conditionalFormatting>
  <conditionalFormatting sqref="DB39:DB42">
    <cfRule type="containsText" dxfId="61" priority="5" operator="containsText" text="Bad shape">
      <formula>NOT(ISERROR(SEARCH("Bad shape",DB39)))</formula>
    </cfRule>
    <cfRule type="containsText" dxfId="60" priority="6" operator="containsText" text="Fit shape">
      <formula>NOT(ISERROR(SEARCH("Fit shape",DB39)))</formula>
    </cfRule>
  </conditionalFormatting>
  <conditionalFormatting sqref="EA39:EA42">
    <cfRule type="containsText" dxfId="59" priority="3" operator="containsText" text="Bad shape">
      <formula>NOT(ISERROR(SEARCH("Bad shape",EA39)))</formula>
    </cfRule>
    <cfRule type="containsText" dxfId="58" priority="4" operator="containsText" text="Fit shape">
      <formula>NOT(ISERROR(SEARCH("Fit shape",EA39)))</formula>
    </cfRule>
  </conditionalFormatting>
  <conditionalFormatting sqref="EZ39:EZ42">
    <cfRule type="containsText" dxfId="57" priority="1" operator="containsText" text="Bad shape">
      <formula>NOT(ISERROR(SEARCH("Bad shape",EZ39)))</formula>
    </cfRule>
    <cfRule type="containsText" dxfId="56" priority="2" operator="containsText" text="Fit shape">
      <formula>NOT(ISERROR(SEARCH("Fit shape",EZ39)))</formula>
    </cfRule>
  </conditionalFormatting>
  <dataValidations count="10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3464B6FF-17D4-4C43-98E1-952BD50E3D5F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7A85DA6F-0942-42AD-8495-DE2C384E070A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CEB389E9-D8FF-43E3-8BE8-85899E43D078}">
      <formula1>DINNER</formula1>
    </dataValidation>
    <dataValidation type="list" allowBlank="1" showInputMessage="1" showErrorMessage="1" sqref="FC13:FD30 AH13:AI30 BG13:BH30 CF13:CG30 DE13:DF30 ED13:EE30 J13:J30 I14:I15 I17:I18 I20:I21 I23:I24 I26:I27 I29:I30" xr:uid="{095BA024-D279-431A-BBDA-0FEDECB4A286}">
      <formula1>EXERCISES</formula1>
    </dataValidation>
    <dataValidation type="list" allowBlank="1" showInputMessage="1" showErrorMessage="1" errorTitle="Error" error="Please select the right activity_x000a_" sqref="I13" xr:uid="{1276FD72-84A4-4C6A-A57B-29F11E47BA3B}">
      <formula1>EXERCISES</formula1>
    </dataValidation>
    <dataValidation type="list" allowBlank="1" showInputMessage="1" showErrorMessage="1" errorTitle="Error " error="Please select correct activity" sqref="I16" xr:uid="{6A669FDF-D0DF-4A61-80F4-97C8ABE6C3B7}">
      <formula1>EXERCISES</formula1>
    </dataValidation>
    <dataValidation type="list" allowBlank="1" showInputMessage="1" showErrorMessage="1" errorTitle="error" error="Please select correct activity" sqref="I19 I22 I25 I28" xr:uid="{FFF0DE65-2D1C-4E92-B1DB-CCD4CE10B959}">
      <formula1>EXERCISES</formula1>
    </dataValidation>
    <dataValidation type="whole" allowBlank="1" showInputMessage="1" showErrorMessage="1" errorTitle="Error" error="Invalid time" sqref="M13" xr:uid="{43A0AC70-6AB6-43F8-9E22-4EF2137ECA15}">
      <formula1>1</formula1>
      <formula2>3</formula2>
    </dataValidation>
    <dataValidation type="whole" allowBlank="1" showInputMessage="1" showErrorMessage="1" errorTitle="error" error="invalid time" sqref="M28 M16 M19 M25" xr:uid="{5CC5510B-DE2A-4842-956F-421D8216427A}">
      <formula1>1</formula1>
      <formula2>3</formula2>
    </dataValidation>
    <dataValidation type="whole" allowBlank="1" showInputMessage="1" showErrorMessage="1" errorTitle="error" error="invalid time_x000a_" sqref="M22" xr:uid="{6B08E316-C1E4-490E-8F07-2BD22D56579E}">
      <formula1>1</formula1>
      <formula2>3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8FB0-A5CD-41AD-9F22-7C6947B79821}">
  <dimension ref="A1:FS78"/>
  <sheetViews>
    <sheetView topLeftCell="A23" zoomScale="60" zoomScaleNormal="60" workbookViewId="0">
      <selection activeCell="EX3" sqref="EX3:EX4"/>
    </sheetView>
  </sheetViews>
  <sheetFormatPr defaultRowHeight="15"/>
  <cols>
    <col min="3" max="3" width="33.85546875" customWidth="1"/>
    <col min="4" max="4" width="18.7109375" customWidth="1"/>
    <col min="5" max="5" width="23.42578125" customWidth="1"/>
    <col min="6" max="6" width="12.85546875" customWidth="1"/>
    <col min="10" max="10" width="14.7109375" customWidth="1"/>
    <col min="11" max="11" width="15.28515625" customWidth="1"/>
    <col min="12" max="12" width="18.140625" customWidth="1"/>
    <col min="14" max="14" width="14.5703125" customWidth="1"/>
    <col min="15" max="16" width="14.42578125" customWidth="1"/>
    <col min="17" max="17" width="16.710937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42" t="s">
        <v>40</v>
      </c>
      <c r="C3" s="43"/>
      <c r="D3" s="46">
        <v>181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2" t="s">
        <v>40</v>
      </c>
      <c r="AB3" s="43"/>
      <c r="AC3" s="46">
        <v>181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42" t="s">
        <v>40</v>
      </c>
      <c r="BA3" s="43"/>
      <c r="BB3" s="46">
        <v>181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2" t="s">
        <v>40</v>
      </c>
      <c r="BZ3" s="43"/>
      <c r="CA3" s="46">
        <v>181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2" t="s">
        <v>40</v>
      </c>
      <c r="CY3" s="43"/>
      <c r="CZ3" s="46">
        <v>181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42" t="s">
        <v>40</v>
      </c>
      <c r="DX3" s="43"/>
      <c r="DY3" s="46">
        <v>181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42" t="s">
        <v>40</v>
      </c>
      <c r="EW3" s="43"/>
      <c r="EX3" s="46">
        <v>181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.75" thickBot="1">
      <c r="A4" s="2"/>
      <c r="B4" s="44"/>
      <c r="C4" s="45"/>
      <c r="D4" s="4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4"/>
      <c r="AB4" s="45"/>
      <c r="AC4" s="47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4"/>
      <c r="BA4" s="45"/>
      <c r="BB4" s="4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4"/>
      <c r="BZ4" s="45"/>
      <c r="CA4" s="47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4"/>
      <c r="CY4" s="45"/>
      <c r="CZ4" s="47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44"/>
      <c r="DX4" s="45"/>
      <c r="DY4" s="47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4"/>
      <c r="EW4" s="45"/>
      <c r="EX4" s="47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.7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21" customHeight="1">
      <c r="A9" s="48" t="s">
        <v>41</v>
      </c>
      <c r="B9" s="49"/>
      <c r="C9" s="49"/>
      <c r="D9" s="49"/>
      <c r="E9" s="49"/>
      <c r="F9" s="50"/>
      <c r="G9" s="15"/>
      <c r="H9" s="15"/>
      <c r="I9" s="42" t="s">
        <v>42</v>
      </c>
      <c r="J9" s="62"/>
      <c r="K9" s="62"/>
      <c r="L9" s="62"/>
      <c r="M9" s="62"/>
      <c r="N9" s="62"/>
      <c r="O9" s="62"/>
      <c r="P9" s="62"/>
      <c r="Q9" s="62"/>
      <c r="R9" s="63"/>
      <c r="S9" s="2"/>
      <c r="T9" s="2"/>
      <c r="U9" s="2"/>
      <c r="V9" s="2"/>
      <c r="W9" s="2"/>
      <c r="X9" s="2"/>
      <c r="Y9" s="2"/>
      <c r="Z9" s="48" t="s">
        <v>43</v>
      </c>
      <c r="AA9" s="49"/>
      <c r="AB9" s="49"/>
      <c r="AC9" s="49"/>
      <c r="AD9" s="49"/>
      <c r="AE9" s="50"/>
      <c r="AF9" s="15"/>
      <c r="AG9" s="15"/>
      <c r="AH9" s="42" t="s">
        <v>44</v>
      </c>
      <c r="AI9" s="62"/>
      <c r="AJ9" s="62"/>
      <c r="AK9" s="62"/>
      <c r="AL9" s="62"/>
      <c r="AM9" s="62"/>
      <c r="AN9" s="62"/>
      <c r="AO9" s="62"/>
      <c r="AP9" s="62"/>
      <c r="AQ9" s="63"/>
      <c r="AR9" s="2"/>
      <c r="AS9" s="2"/>
      <c r="AT9" s="2"/>
      <c r="AU9" s="2"/>
      <c r="AV9" s="2"/>
      <c r="AW9" s="2"/>
      <c r="AX9" s="2"/>
      <c r="AY9" s="48" t="s">
        <v>45</v>
      </c>
      <c r="AZ9" s="49"/>
      <c r="BA9" s="49"/>
      <c r="BB9" s="49"/>
      <c r="BC9" s="49"/>
      <c r="BD9" s="50"/>
      <c r="BE9" s="15"/>
      <c r="BF9" s="15"/>
      <c r="BG9" s="42" t="s">
        <v>46</v>
      </c>
      <c r="BH9" s="62"/>
      <c r="BI9" s="62"/>
      <c r="BJ9" s="62"/>
      <c r="BK9" s="62"/>
      <c r="BL9" s="62"/>
      <c r="BM9" s="62"/>
      <c r="BN9" s="62"/>
      <c r="BO9" s="62"/>
      <c r="BP9" s="63"/>
      <c r="BQ9" s="2"/>
      <c r="BR9" s="2"/>
      <c r="BS9" s="2"/>
      <c r="BT9" s="2"/>
      <c r="BU9" s="2"/>
      <c r="BV9" s="2"/>
      <c r="BW9" s="2"/>
      <c r="BX9" s="48" t="s">
        <v>47</v>
      </c>
      <c r="BY9" s="49"/>
      <c r="BZ9" s="49"/>
      <c r="CA9" s="49"/>
      <c r="CB9" s="49"/>
      <c r="CC9" s="50"/>
      <c r="CD9" s="15"/>
      <c r="CE9" s="15"/>
      <c r="CF9" s="42" t="s">
        <v>48</v>
      </c>
      <c r="CG9" s="62"/>
      <c r="CH9" s="62"/>
      <c r="CI9" s="62"/>
      <c r="CJ9" s="62"/>
      <c r="CK9" s="62"/>
      <c r="CL9" s="62"/>
      <c r="CM9" s="62"/>
      <c r="CN9" s="62"/>
      <c r="CO9" s="63"/>
      <c r="CP9" s="2"/>
      <c r="CQ9" s="2"/>
      <c r="CR9" s="2"/>
      <c r="CS9" s="2"/>
      <c r="CT9" s="2"/>
      <c r="CU9" s="2"/>
      <c r="CV9" s="2"/>
      <c r="CW9" s="48" t="s">
        <v>49</v>
      </c>
      <c r="CX9" s="49"/>
      <c r="CY9" s="49"/>
      <c r="CZ9" s="49"/>
      <c r="DA9" s="49"/>
      <c r="DB9" s="50"/>
      <c r="DC9" s="15"/>
      <c r="DD9" s="15"/>
      <c r="DE9" s="42" t="s">
        <v>50</v>
      </c>
      <c r="DF9" s="62"/>
      <c r="DG9" s="62"/>
      <c r="DH9" s="62"/>
      <c r="DI9" s="62"/>
      <c r="DJ9" s="62"/>
      <c r="DK9" s="62"/>
      <c r="DL9" s="62"/>
      <c r="DM9" s="62"/>
      <c r="DN9" s="63"/>
      <c r="DO9" s="2"/>
      <c r="DP9" s="2"/>
      <c r="DQ9" s="2"/>
      <c r="DR9" s="2"/>
      <c r="DS9" s="2"/>
      <c r="DT9" s="2"/>
      <c r="DU9" s="2"/>
      <c r="DV9" s="48" t="s">
        <v>51</v>
      </c>
      <c r="DW9" s="49"/>
      <c r="DX9" s="49"/>
      <c r="DY9" s="49"/>
      <c r="DZ9" s="49"/>
      <c r="EA9" s="50"/>
      <c r="EB9" s="15"/>
      <c r="EC9" s="15"/>
      <c r="ED9" s="42" t="s">
        <v>52</v>
      </c>
      <c r="EE9" s="62"/>
      <c r="EF9" s="62"/>
      <c r="EG9" s="62"/>
      <c r="EH9" s="62"/>
      <c r="EI9" s="62"/>
      <c r="EJ9" s="62"/>
      <c r="EK9" s="62"/>
      <c r="EL9" s="62"/>
      <c r="EM9" s="63"/>
      <c r="EN9" s="2"/>
      <c r="EO9" s="2"/>
      <c r="EP9" s="2"/>
      <c r="EQ9" s="2"/>
      <c r="ER9" s="2"/>
      <c r="ES9" s="2"/>
      <c r="ET9" s="2"/>
      <c r="EU9" s="48" t="s">
        <v>53</v>
      </c>
      <c r="EV9" s="49"/>
      <c r="EW9" s="49"/>
      <c r="EX9" s="49"/>
      <c r="EY9" s="49"/>
      <c r="EZ9" s="50"/>
      <c r="FA9" s="15"/>
      <c r="FB9" s="15"/>
      <c r="FC9" s="42" t="s">
        <v>54</v>
      </c>
      <c r="FD9" s="62"/>
      <c r="FE9" s="62"/>
      <c r="FF9" s="62"/>
      <c r="FG9" s="62"/>
      <c r="FH9" s="62"/>
      <c r="FI9" s="62"/>
      <c r="FJ9" s="62"/>
      <c r="FK9" s="62"/>
      <c r="FL9" s="63"/>
      <c r="FM9" s="2"/>
      <c r="FN9" s="2"/>
      <c r="FO9" s="2"/>
      <c r="FP9" s="2"/>
      <c r="FQ9" s="2"/>
      <c r="FR9" s="2"/>
      <c r="FS9" s="2"/>
    </row>
    <row r="10" spans="1:175" ht="15" customHeight="1" thickBot="1">
      <c r="A10" s="51"/>
      <c r="B10" s="52"/>
      <c r="C10" s="52"/>
      <c r="D10" s="52"/>
      <c r="E10" s="52"/>
      <c r="F10" s="53"/>
      <c r="G10" s="15"/>
      <c r="H10" s="15"/>
      <c r="I10" s="64"/>
      <c r="J10" s="65"/>
      <c r="K10" s="65"/>
      <c r="L10" s="65"/>
      <c r="M10" s="65"/>
      <c r="N10" s="65"/>
      <c r="O10" s="65"/>
      <c r="P10" s="65"/>
      <c r="Q10" s="65"/>
      <c r="R10" s="66"/>
      <c r="S10" s="2"/>
      <c r="T10" s="2"/>
      <c r="U10" s="2"/>
      <c r="V10" s="2"/>
      <c r="W10" s="2"/>
      <c r="X10" s="2"/>
      <c r="Y10" s="2"/>
      <c r="Z10" s="51"/>
      <c r="AA10" s="52"/>
      <c r="AB10" s="52"/>
      <c r="AC10" s="52"/>
      <c r="AD10" s="52"/>
      <c r="AE10" s="53"/>
      <c r="AF10" s="15"/>
      <c r="AG10" s="15"/>
      <c r="AH10" s="64"/>
      <c r="AI10" s="65"/>
      <c r="AJ10" s="65"/>
      <c r="AK10" s="65"/>
      <c r="AL10" s="65"/>
      <c r="AM10" s="65"/>
      <c r="AN10" s="65"/>
      <c r="AO10" s="65"/>
      <c r="AP10" s="65"/>
      <c r="AQ10" s="66"/>
      <c r="AR10" s="2"/>
      <c r="AS10" s="2"/>
      <c r="AT10" s="2"/>
      <c r="AU10" s="2"/>
      <c r="AV10" s="2"/>
      <c r="AW10" s="2"/>
      <c r="AX10" s="2"/>
      <c r="AY10" s="51"/>
      <c r="AZ10" s="52"/>
      <c r="BA10" s="52"/>
      <c r="BB10" s="52"/>
      <c r="BC10" s="52"/>
      <c r="BD10" s="53"/>
      <c r="BE10" s="15"/>
      <c r="BF10" s="15"/>
      <c r="BG10" s="64"/>
      <c r="BH10" s="65"/>
      <c r="BI10" s="65"/>
      <c r="BJ10" s="65"/>
      <c r="BK10" s="65"/>
      <c r="BL10" s="65"/>
      <c r="BM10" s="65"/>
      <c r="BN10" s="65"/>
      <c r="BO10" s="65"/>
      <c r="BP10" s="66"/>
      <c r="BQ10" s="2"/>
      <c r="BR10" s="2"/>
      <c r="BS10" s="2"/>
      <c r="BT10" s="2"/>
      <c r="BU10" s="2"/>
      <c r="BV10" s="2"/>
      <c r="BW10" s="2"/>
      <c r="BX10" s="51"/>
      <c r="BY10" s="52"/>
      <c r="BZ10" s="52"/>
      <c r="CA10" s="52"/>
      <c r="CB10" s="52"/>
      <c r="CC10" s="53"/>
      <c r="CD10" s="15"/>
      <c r="CE10" s="15"/>
      <c r="CF10" s="64"/>
      <c r="CG10" s="65"/>
      <c r="CH10" s="65"/>
      <c r="CI10" s="65"/>
      <c r="CJ10" s="65"/>
      <c r="CK10" s="65"/>
      <c r="CL10" s="65"/>
      <c r="CM10" s="65"/>
      <c r="CN10" s="65"/>
      <c r="CO10" s="66"/>
      <c r="CP10" s="2"/>
      <c r="CQ10" s="2"/>
      <c r="CR10" s="2"/>
      <c r="CS10" s="2"/>
      <c r="CT10" s="2"/>
      <c r="CU10" s="2"/>
      <c r="CV10" s="2"/>
      <c r="CW10" s="51"/>
      <c r="CX10" s="52"/>
      <c r="CY10" s="52"/>
      <c r="CZ10" s="52"/>
      <c r="DA10" s="52"/>
      <c r="DB10" s="53"/>
      <c r="DC10" s="15"/>
      <c r="DD10" s="15"/>
      <c r="DE10" s="64"/>
      <c r="DF10" s="65"/>
      <c r="DG10" s="65"/>
      <c r="DH10" s="65"/>
      <c r="DI10" s="65"/>
      <c r="DJ10" s="65"/>
      <c r="DK10" s="65"/>
      <c r="DL10" s="65"/>
      <c r="DM10" s="65"/>
      <c r="DN10" s="66"/>
      <c r="DO10" s="2"/>
      <c r="DP10" s="2"/>
      <c r="DQ10" s="2"/>
      <c r="DR10" s="2"/>
      <c r="DS10" s="2"/>
      <c r="DT10" s="2"/>
      <c r="DU10" s="2"/>
      <c r="DV10" s="51"/>
      <c r="DW10" s="52"/>
      <c r="DX10" s="52"/>
      <c r="DY10" s="52"/>
      <c r="DZ10" s="52"/>
      <c r="EA10" s="53"/>
      <c r="EB10" s="15"/>
      <c r="EC10" s="15"/>
      <c r="ED10" s="64"/>
      <c r="EE10" s="65"/>
      <c r="EF10" s="65"/>
      <c r="EG10" s="65"/>
      <c r="EH10" s="65"/>
      <c r="EI10" s="65"/>
      <c r="EJ10" s="65"/>
      <c r="EK10" s="65"/>
      <c r="EL10" s="65"/>
      <c r="EM10" s="66"/>
      <c r="EN10" s="2"/>
      <c r="EO10" s="2"/>
      <c r="EP10" s="2"/>
      <c r="EQ10" s="2"/>
      <c r="ER10" s="2"/>
      <c r="ES10" s="2"/>
      <c r="ET10" s="2"/>
      <c r="EU10" s="51"/>
      <c r="EV10" s="52"/>
      <c r="EW10" s="52"/>
      <c r="EX10" s="52"/>
      <c r="EY10" s="52"/>
      <c r="EZ10" s="53"/>
      <c r="FA10" s="15"/>
      <c r="FB10" s="15"/>
      <c r="FC10" s="64"/>
      <c r="FD10" s="65"/>
      <c r="FE10" s="65"/>
      <c r="FF10" s="65"/>
      <c r="FG10" s="65"/>
      <c r="FH10" s="65"/>
      <c r="FI10" s="65"/>
      <c r="FJ10" s="65"/>
      <c r="FK10" s="65"/>
      <c r="FL10" s="66"/>
      <c r="FM10" s="2"/>
      <c r="FN10" s="2"/>
      <c r="FO10" s="2"/>
      <c r="FP10" s="2"/>
      <c r="FQ10" s="2"/>
      <c r="FR10" s="2"/>
      <c r="FS10" s="2"/>
    </row>
    <row r="11" spans="1:175" ht="15.75">
      <c r="A11" s="67" t="s">
        <v>1</v>
      </c>
      <c r="B11" s="68"/>
      <c r="C11" s="73" t="s">
        <v>6</v>
      </c>
      <c r="D11" s="67" t="s">
        <v>55</v>
      </c>
      <c r="E11" s="68"/>
      <c r="F11" s="76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67" t="s">
        <v>1</v>
      </c>
      <c r="AA11" s="68"/>
      <c r="AB11" s="73" t="s">
        <v>7</v>
      </c>
      <c r="AC11" s="67" t="s">
        <v>55</v>
      </c>
      <c r="AD11" s="68"/>
      <c r="AE11" s="76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67" t="s">
        <v>1</v>
      </c>
      <c r="AZ11" s="68"/>
      <c r="BA11" s="73" t="s">
        <v>9</v>
      </c>
      <c r="BB11" s="67" t="s">
        <v>55</v>
      </c>
      <c r="BC11" s="68"/>
      <c r="BD11" s="76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67" t="s">
        <v>1</v>
      </c>
      <c r="BY11" s="68"/>
      <c r="BZ11" s="73" t="s">
        <v>11</v>
      </c>
      <c r="CA11" s="67" t="s">
        <v>55</v>
      </c>
      <c r="CB11" s="68"/>
      <c r="CC11" s="76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67" t="s">
        <v>1</v>
      </c>
      <c r="CX11" s="68"/>
      <c r="CY11" s="73" t="s">
        <v>13</v>
      </c>
      <c r="CZ11" s="67" t="s">
        <v>55</v>
      </c>
      <c r="DA11" s="68"/>
      <c r="DB11" s="76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67" t="s">
        <v>1</v>
      </c>
      <c r="DW11" s="68"/>
      <c r="DX11" s="73" t="s">
        <v>6</v>
      </c>
      <c r="DY11" s="67" t="s">
        <v>55</v>
      </c>
      <c r="DZ11" s="68"/>
      <c r="EA11" s="76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67" t="s">
        <v>1</v>
      </c>
      <c r="EV11" s="68"/>
      <c r="EW11" s="73" t="s">
        <v>6</v>
      </c>
      <c r="EX11" s="67" t="s">
        <v>55</v>
      </c>
      <c r="EY11" s="68"/>
      <c r="EZ11" s="76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69"/>
      <c r="B12" s="70"/>
      <c r="C12" s="74"/>
      <c r="D12" s="69"/>
      <c r="E12" s="70"/>
      <c r="F12" s="77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69"/>
      <c r="AA12" s="70"/>
      <c r="AB12" s="74"/>
      <c r="AC12" s="69"/>
      <c r="AD12" s="70"/>
      <c r="AE12" s="77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69"/>
      <c r="AZ12" s="70"/>
      <c r="BA12" s="74"/>
      <c r="BB12" s="69"/>
      <c r="BC12" s="70"/>
      <c r="BD12" s="77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69"/>
      <c r="BY12" s="70"/>
      <c r="BZ12" s="74"/>
      <c r="CA12" s="69"/>
      <c r="CB12" s="70"/>
      <c r="CC12" s="77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69"/>
      <c r="CX12" s="70"/>
      <c r="CY12" s="74"/>
      <c r="CZ12" s="69"/>
      <c r="DA12" s="70"/>
      <c r="DB12" s="77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69"/>
      <c r="DW12" s="70"/>
      <c r="DX12" s="74"/>
      <c r="DY12" s="69"/>
      <c r="DZ12" s="70"/>
      <c r="EA12" s="77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69"/>
      <c r="EV12" s="70"/>
      <c r="EW12" s="74"/>
      <c r="EX12" s="69"/>
      <c r="EY12" s="70"/>
      <c r="EZ12" s="77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75">
      <c r="A13" s="69"/>
      <c r="B13" s="70"/>
      <c r="C13" s="74"/>
      <c r="D13" s="69"/>
      <c r="E13" s="70"/>
      <c r="F13" s="77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995.5</v>
      </c>
      <c r="P13" s="21"/>
      <c r="Q13" s="20">
        <f>M13*O13</f>
        <v>1991</v>
      </c>
      <c r="R13" s="21"/>
      <c r="S13" s="2"/>
      <c r="T13" s="2"/>
      <c r="U13" s="2"/>
      <c r="V13" s="2"/>
      <c r="W13" s="2"/>
      <c r="X13" s="2"/>
      <c r="Y13" s="2"/>
      <c r="Z13" s="69"/>
      <c r="AA13" s="70"/>
      <c r="AB13" s="74"/>
      <c r="AC13" s="69"/>
      <c r="AD13" s="70"/>
      <c r="AE13" s="77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995.5</v>
      </c>
      <c r="AO13" s="21"/>
      <c r="AP13" s="20">
        <f>AL13*AN13</f>
        <v>1991</v>
      </c>
      <c r="AQ13" s="21"/>
      <c r="AR13" s="2"/>
      <c r="AS13" s="2"/>
      <c r="AT13" s="2"/>
      <c r="AU13" s="2"/>
      <c r="AV13" s="2"/>
      <c r="AW13" s="2"/>
      <c r="AX13" s="2"/>
      <c r="AY13" s="69"/>
      <c r="AZ13" s="70"/>
      <c r="BA13" s="74"/>
      <c r="BB13" s="69"/>
      <c r="BC13" s="70"/>
      <c r="BD13" s="77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995.5</v>
      </c>
      <c r="BN13" s="21"/>
      <c r="BO13" s="20">
        <f>BK13*BM13</f>
        <v>1991</v>
      </c>
      <c r="BP13" s="21"/>
      <c r="BQ13" s="2"/>
      <c r="BR13" s="2"/>
      <c r="BS13" s="2"/>
      <c r="BT13" s="2"/>
      <c r="BU13" s="2"/>
      <c r="BV13" s="2"/>
      <c r="BW13" s="2"/>
      <c r="BX13" s="69"/>
      <c r="BY13" s="70"/>
      <c r="BZ13" s="74"/>
      <c r="CA13" s="69"/>
      <c r="CB13" s="70"/>
      <c r="CC13" s="77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995.5</v>
      </c>
      <c r="CM13" s="21"/>
      <c r="CN13" s="20">
        <f>CJ13*CL13</f>
        <v>1991</v>
      </c>
      <c r="CO13" s="21"/>
      <c r="CP13" s="2"/>
      <c r="CQ13" s="2"/>
      <c r="CR13" s="2"/>
      <c r="CS13" s="2"/>
      <c r="CT13" s="2"/>
      <c r="CU13" s="2"/>
      <c r="CV13" s="2"/>
      <c r="CW13" s="69"/>
      <c r="CX13" s="70"/>
      <c r="CY13" s="74"/>
      <c r="CZ13" s="69"/>
      <c r="DA13" s="70"/>
      <c r="DB13" s="77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995.5</v>
      </c>
      <c r="DL13" s="21"/>
      <c r="DM13" s="20">
        <f>DI13*DK13</f>
        <v>1991</v>
      </c>
      <c r="DN13" s="21"/>
      <c r="DO13" s="2"/>
      <c r="DP13" s="2"/>
      <c r="DQ13" s="2"/>
      <c r="DR13" s="2"/>
      <c r="DS13" s="2"/>
      <c r="DT13" s="2"/>
      <c r="DU13" s="2"/>
      <c r="DV13" s="69"/>
      <c r="DW13" s="70"/>
      <c r="DX13" s="74"/>
      <c r="DY13" s="69"/>
      <c r="DZ13" s="70"/>
      <c r="EA13" s="77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995.5</v>
      </c>
      <c r="EK13" s="21"/>
      <c r="EL13" s="20">
        <f>EH13*EJ13</f>
        <v>1991</v>
      </c>
      <c r="EM13" s="21"/>
      <c r="EN13" s="2"/>
      <c r="EO13" s="2"/>
      <c r="EP13" s="2"/>
      <c r="EQ13" s="2"/>
      <c r="ER13" s="2"/>
      <c r="ES13" s="2"/>
      <c r="ET13" s="2"/>
      <c r="EU13" s="69"/>
      <c r="EV13" s="70"/>
      <c r="EW13" s="74"/>
      <c r="EX13" s="69"/>
      <c r="EY13" s="70"/>
      <c r="EZ13" s="77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995.5</v>
      </c>
      <c r="FJ13" s="21"/>
      <c r="FK13" s="20">
        <f>FG13*FI13</f>
        <v>1991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71"/>
      <c r="B14" s="72"/>
      <c r="C14" s="75"/>
      <c r="D14" s="71"/>
      <c r="E14" s="72"/>
      <c r="F14" s="78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71"/>
      <c r="AA14" s="72"/>
      <c r="AB14" s="75"/>
      <c r="AC14" s="71"/>
      <c r="AD14" s="72"/>
      <c r="AE14" s="78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71"/>
      <c r="AZ14" s="72"/>
      <c r="BA14" s="75"/>
      <c r="BB14" s="71"/>
      <c r="BC14" s="72"/>
      <c r="BD14" s="78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71"/>
      <c r="BY14" s="72"/>
      <c r="BZ14" s="75"/>
      <c r="CA14" s="71"/>
      <c r="CB14" s="72"/>
      <c r="CC14" s="78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71"/>
      <c r="CX14" s="72"/>
      <c r="CY14" s="75"/>
      <c r="CZ14" s="71"/>
      <c r="DA14" s="72"/>
      <c r="DB14" s="78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71"/>
      <c r="DW14" s="72"/>
      <c r="DX14" s="75"/>
      <c r="DY14" s="71"/>
      <c r="DZ14" s="72"/>
      <c r="EA14" s="78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71"/>
      <c r="EV14" s="72"/>
      <c r="EW14" s="75"/>
      <c r="EX14" s="71"/>
      <c r="EY14" s="72"/>
      <c r="EZ14" s="78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67" t="s">
        <v>15</v>
      </c>
      <c r="B15" s="68"/>
      <c r="C15" s="73" t="s">
        <v>18</v>
      </c>
      <c r="D15" s="67" t="s">
        <v>55</v>
      </c>
      <c r="E15" s="68"/>
      <c r="F15" s="76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67" t="s">
        <v>15</v>
      </c>
      <c r="AA15" s="68"/>
      <c r="AB15" s="73" t="s">
        <v>20</v>
      </c>
      <c r="AC15" s="67" t="s">
        <v>55</v>
      </c>
      <c r="AD15" s="68"/>
      <c r="AE15" s="76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67" t="s">
        <v>15</v>
      </c>
      <c r="AZ15" s="68"/>
      <c r="BA15" s="73" t="s">
        <v>22</v>
      </c>
      <c r="BB15" s="67" t="s">
        <v>55</v>
      </c>
      <c r="BC15" s="68"/>
      <c r="BD15" s="76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67" t="s">
        <v>15</v>
      </c>
      <c r="BY15" s="68"/>
      <c r="BZ15" s="73" t="s">
        <v>24</v>
      </c>
      <c r="CA15" s="67" t="s">
        <v>55</v>
      </c>
      <c r="CB15" s="68"/>
      <c r="CC15" s="76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67" t="s">
        <v>15</v>
      </c>
      <c r="CX15" s="68"/>
      <c r="CY15" s="73" t="s">
        <v>26</v>
      </c>
      <c r="CZ15" s="67" t="s">
        <v>55</v>
      </c>
      <c r="DA15" s="68"/>
      <c r="DB15" s="76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67" t="s">
        <v>15</v>
      </c>
      <c r="DW15" s="68"/>
      <c r="DX15" s="73" t="s">
        <v>18</v>
      </c>
      <c r="DY15" s="67" t="s">
        <v>55</v>
      </c>
      <c r="DZ15" s="68"/>
      <c r="EA15" s="76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67" t="s">
        <v>15</v>
      </c>
      <c r="EV15" s="68"/>
      <c r="EW15" s="73" t="s">
        <v>18</v>
      </c>
      <c r="EX15" s="67" t="s">
        <v>55</v>
      </c>
      <c r="EY15" s="68"/>
      <c r="EZ15" s="76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75">
      <c r="A16" s="69"/>
      <c r="B16" s="70"/>
      <c r="C16" s="74"/>
      <c r="D16" s="69"/>
      <c r="E16" s="70"/>
      <c r="F16" s="77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1448</v>
      </c>
      <c r="P16" s="21"/>
      <c r="Q16" s="20">
        <f>M16*O16</f>
        <v>1448</v>
      </c>
      <c r="R16" s="21"/>
      <c r="S16" s="2"/>
      <c r="T16" s="2"/>
      <c r="U16" s="2"/>
      <c r="V16" s="2"/>
      <c r="W16" s="2"/>
      <c r="X16" s="2"/>
      <c r="Y16" s="2"/>
      <c r="Z16" s="69"/>
      <c r="AA16" s="70"/>
      <c r="AB16" s="74"/>
      <c r="AC16" s="69"/>
      <c r="AD16" s="70"/>
      <c r="AE16" s="77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1448</v>
      </c>
      <c r="AO16" s="21"/>
      <c r="AP16" s="20">
        <f>AL16*AN16</f>
        <v>1448</v>
      </c>
      <c r="AQ16" s="21"/>
      <c r="AR16" s="2"/>
      <c r="AS16" s="2"/>
      <c r="AT16" s="2"/>
      <c r="AU16" s="2"/>
      <c r="AV16" s="2"/>
      <c r="AW16" s="2"/>
      <c r="AX16" s="2"/>
      <c r="AY16" s="69"/>
      <c r="AZ16" s="70"/>
      <c r="BA16" s="74"/>
      <c r="BB16" s="69"/>
      <c r="BC16" s="70"/>
      <c r="BD16" s="77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1448</v>
      </c>
      <c r="BN16" s="21"/>
      <c r="BO16" s="20">
        <f>BK16*BM16</f>
        <v>1448</v>
      </c>
      <c r="BP16" s="21"/>
      <c r="BQ16" s="2"/>
      <c r="BR16" s="2"/>
      <c r="BS16" s="2"/>
      <c r="BT16" s="2"/>
      <c r="BU16" s="2"/>
      <c r="BV16" s="2"/>
      <c r="BW16" s="2"/>
      <c r="BX16" s="69"/>
      <c r="BY16" s="70"/>
      <c r="BZ16" s="74"/>
      <c r="CA16" s="69"/>
      <c r="CB16" s="70"/>
      <c r="CC16" s="77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1448</v>
      </c>
      <c r="CM16" s="21"/>
      <c r="CN16" s="20">
        <f>CJ16*CL16</f>
        <v>1448</v>
      </c>
      <c r="CO16" s="21"/>
      <c r="CP16" s="2"/>
      <c r="CQ16" s="2"/>
      <c r="CR16" s="2"/>
      <c r="CS16" s="2"/>
      <c r="CT16" s="2"/>
      <c r="CU16" s="2"/>
      <c r="CV16" s="2"/>
      <c r="CW16" s="69"/>
      <c r="CX16" s="70"/>
      <c r="CY16" s="74"/>
      <c r="CZ16" s="69"/>
      <c r="DA16" s="70"/>
      <c r="DB16" s="77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1448</v>
      </c>
      <c r="DL16" s="21"/>
      <c r="DM16" s="20">
        <f>DI16*DK16</f>
        <v>1448</v>
      </c>
      <c r="DN16" s="21"/>
      <c r="DO16" s="2"/>
      <c r="DP16" s="2"/>
      <c r="DQ16" s="2"/>
      <c r="DR16" s="2"/>
      <c r="DS16" s="2"/>
      <c r="DT16" s="2"/>
      <c r="DU16" s="2"/>
      <c r="DV16" s="69"/>
      <c r="DW16" s="70"/>
      <c r="DX16" s="74"/>
      <c r="DY16" s="69"/>
      <c r="DZ16" s="70"/>
      <c r="EA16" s="77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1448</v>
      </c>
      <c r="EK16" s="21"/>
      <c r="EL16" s="20">
        <f>EH16*EJ16</f>
        <v>1448</v>
      </c>
      <c r="EM16" s="21"/>
      <c r="EN16" s="2"/>
      <c r="EO16" s="2"/>
      <c r="EP16" s="2"/>
      <c r="EQ16" s="2"/>
      <c r="ER16" s="2"/>
      <c r="ES16" s="2"/>
      <c r="ET16" s="2"/>
      <c r="EU16" s="69"/>
      <c r="EV16" s="70"/>
      <c r="EW16" s="74"/>
      <c r="EX16" s="69"/>
      <c r="EY16" s="70"/>
      <c r="EZ16" s="77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1448</v>
      </c>
      <c r="FJ16" s="21"/>
      <c r="FK16" s="20">
        <f>FG16*FI16</f>
        <v>1448</v>
      </c>
      <c r="FL16" s="21"/>
      <c r="FM16" s="2"/>
      <c r="FN16" s="2"/>
      <c r="FO16" s="2"/>
      <c r="FP16" s="2"/>
      <c r="FQ16" s="2"/>
      <c r="FR16" s="2"/>
      <c r="FS16" s="2"/>
    </row>
    <row r="17" spans="1:175" ht="15.75">
      <c r="A17" s="69"/>
      <c r="B17" s="70"/>
      <c r="C17" s="74"/>
      <c r="D17" s="69"/>
      <c r="E17" s="70"/>
      <c r="F17" s="77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69"/>
      <c r="AA17" s="70"/>
      <c r="AB17" s="74"/>
      <c r="AC17" s="69"/>
      <c r="AD17" s="70"/>
      <c r="AE17" s="77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69"/>
      <c r="AZ17" s="70"/>
      <c r="BA17" s="74"/>
      <c r="BB17" s="69"/>
      <c r="BC17" s="70"/>
      <c r="BD17" s="77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69"/>
      <c r="BY17" s="70"/>
      <c r="BZ17" s="74"/>
      <c r="CA17" s="69"/>
      <c r="CB17" s="70"/>
      <c r="CC17" s="77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69"/>
      <c r="CX17" s="70"/>
      <c r="CY17" s="74"/>
      <c r="CZ17" s="69"/>
      <c r="DA17" s="70"/>
      <c r="DB17" s="77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69"/>
      <c r="DW17" s="70"/>
      <c r="DX17" s="74"/>
      <c r="DY17" s="69"/>
      <c r="DZ17" s="70"/>
      <c r="EA17" s="77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69"/>
      <c r="EV17" s="70"/>
      <c r="EW17" s="74"/>
      <c r="EX17" s="69"/>
      <c r="EY17" s="70"/>
      <c r="EZ17" s="77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71"/>
      <c r="B18" s="72"/>
      <c r="C18" s="75"/>
      <c r="D18" s="71"/>
      <c r="E18" s="72"/>
      <c r="F18" s="78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71"/>
      <c r="AA18" s="72"/>
      <c r="AB18" s="75"/>
      <c r="AC18" s="71"/>
      <c r="AD18" s="72"/>
      <c r="AE18" s="78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71"/>
      <c r="AZ18" s="72"/>
      <c r="BA18" s="75"/>
      <c r="BB18" s="71"/>
      <c r="BC18" s="72"/>
      <c r="BD18" s="78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71"/>
      <c r="BY18" s="72"/>
      <c r="BZ18" s="75"/>
      <c r="CA18" s="71"/>
      <c r="CB18" s="72"/>
      <c r="CC18" s="78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71"/>
      <c r="CX18" s="72"/>
      <c r="CY18" s="75"/>
      <c r="CZ18" s="71"/>
      <c r="DA18" s="72"/>
      <c r="DB18" s="78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71"/>
      <c r="DW18" s="72"/>
      <c r="DX18" s="75"/>
      <c r="DY18" s="71"/>
      <c r="DZ18" s="72"/>
      <c r="EA18" s="78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71"/>
      <c r="EV18" s="72"/>
      <c r="EW18" s="75"/>
      <c r="EX18" s="71"/>
      <c r="EY18" s="72"/>
      <c r="EZ18" s="78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75">
      <c r="A19" s="67" t="s">
        <v>27</v>
      </c>
      <c r="B19" s="68"/>
      <c r="C19" s="73" t="s">
        <v>28</v>
      </c>
      <c r="D19" s="67" t="s">
        <v>55</v>
      </c>
      <c r="E19" s="68"/>
      <c r="F19" s="76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724</v>
      </c>
      <c r="P19" s="21"/>
      <c r="Q19" s="20">
        <f>M19*O19</f>
        <v>724</v>
      </c>
      <c r="R19" s="21"/>
      <c r="S19" s="2"/>
      <c r="T19" s="2"/>
      <c r="U19" s="2"/>
      <c r="V19" s="2"/>
      <c r="W19" s="2"/>
      <c r="X19" s="2"/>
      <c r="Y19" s="2"/>
      <c r="Z19" s="67" t="s">
        <v>27</v>
      </c>
      <c r="AA19" s="68"/>
      <c r="AB19" s="73" t="s">
        <v>29</v>
      </c>
      <c r="AC19" s="67" t="s">
        <v>55</v>
      </c>
      <c r="AD19" s="68"/>
      <c r="AE19" s="76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724</v>
      </c>
      <c r="AO19" s="21"/>
      <c r="AP19" s="20">
        <f>AL19*AN19</f>
        <v>724</v>
      </c>
      <c r="AQ19" s="21"/>
      <c r="AR19" s="2"/>
      <c r="AS19" s="2"/>
      <c r="AT19" s="2"/>
      <c r="AU19" s="2"/>
      <c r="AV19" s="2"/>
      <c r="AW19" s="2"/>
      <c r="AX19" s="2"/>
      <c r="AY19" s="67" t="s">
        <v>27</v>
      </c>
      <c r="AZ19" s="68"/>
      <c r="BA19" s="73" t="s">
        <v>30</v>
      </c>
      <c r="BB19" s="67" t="s">
        <v>55</v>
      </c>
      <c r="BC19" s="68"/>
      <c r="BD19" s="76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724</v>
      </c>
      <c r="BN19" s="21"/>
      <c r="BO19" s="20">
        <f>BK19*BM19</f>
        <v>724</v>
      </c>
      <c r="BP19" s="21"/>
      <c r="BQ19" s="2"/>
      <c r="BR19" s="2"/>
      <c r="BS19" s="2"/>
      <c r="BT19" s="2"/>
      <c r="BU19" s="2"/>
      <c r="BV19" s="2"/>
      <c r="BW19" s="2"/>
      <c r="BX19" s="67" t="s">
        <v>27</v>
      </c>
      <c r="BY19" s="68"/>
      <c r="BZ19" s="73" t="s">
        <v>31</v>
      </c>
      <c r="CA19" s="67" t="s">
        <v>55</v>
      </c>
      <c r="CB19" s="68"/>
      <c r="CC19" s="76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724</v>
      </c>
      <c r="CM19" s="21"/>
      <c r="CN19" s="20">
        <f>CJ19*CL19</f>
        <v>724</v>
      </c>
      <c r="CO19" s="21"/>
      <c r="CP19" s="2"/>
      <c r="CQ19" s="2"/>
      <c r="CR19" s="2"/>
      <c r="CS19" s="2"/>
      <c r="CT19" s="2"/>
      <c r="CU19" s="2"/>
      <c r="CV19" s="2"/>
      <c r="CW19" s="67" t="s">
        <v>27</v>
      </c>
      <c r="CX19" s="68"/>
      <c r="CY19" s="73" t="s">
        <v>32</v>
      </c>
      <c r="CZ19" s="67" t="s">
        <v>55</v>
      </c>
      <c r="DA19" s="68"/>
      <c r="DB19" s="76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724</v>
      </c>
      <c r="DL19" s="21"/>
      <c r="DM19" s="20">
        <f>DI19*DK19</f>
        <v>724</v>
      </c>
      <c r="DN19" s="21"/>
      <c r="DO19" s="2"/>
      <c r="DP19" s="2"/>
      <c r="DQ19" s="2"/>
      <c r="DR19" s="2"/>
      <c r="DS19" s="2"/>
      <c r="DT19" s="2"/>
      <c r="DU19" s="2"/>
      <c r="DV19" s="67" t="s">
        <v>27</v>
      </c>
      <c r="DW19" s="68"/>
      <c r="DX19" s="73" t="s">
        <v>28</v>
      </c>
      <c r="DY19" s="67" t="s">
        <v>55</v>
      </c>
      <c r="DZ19" s="68"/>
      <c r="EA19" s="76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724</v>
      </c>
      <c r="EK19" s="21"/>
      <c r="EL19" s="20">
        <f>EH19*EJ19</f>
        <v>724</v>
      </c>
      <c r="EM19" s="21"/>
      <c r="EN19" s="2"/>
      <c r="EO19" s="2"/>
      <c r="EP19" s="2"/>
      <c r="EQ19" s="2"/>
      <c r="ER19" s="2"/>
      <c r="ES19" s="2"/>
      <c r="ET19" s="2"/>
      <c r="EU19" s="67" t="s">
        <v>27</v>
      </c>
      <c r="EV19" s="68"/>
      <c r="EW19" s="73" t="s">
        <v>28</v>
      </c>
      <c r="EX19" s="67" t="s">
        <v>55</v>
      </c>
      <c r="EY19" s="68"/>
      <c r="EZ19" s="76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724</v>
      </c>
      <c r="FJ19" s="21"/>
      <c r="FK19" s="20">
        <f>FG19*FI19</f>
        <v>724</v>
      </c>
      <c r="FL19" s="21"/>
      <c r="FM19" s="2"/>
      <c r="FN19" s="2"/>
      <c r="FO19" s="2"/>
      <c r="FP19" s="2"/>
      <c r="FQ19" s="2"/>
      <c r="FR19" s="2"/>
      <c r="FS19" s="2"/>
    </row>
    <row r="20" spans="1:175" ht="15.75">
      <c r="A20" s="69"/>
      <c r="B20" s="70"/>
      <c r="C20" s="74"/>
      <c r="D20" s="69"/>
      <c r="E20" s="70"/>
      <c r="F20" s="77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69"/>
      <c r="AA20" s="70"/>
      <c r="AB20" s="74"/>
      <c r="AC20" s="69"/>
      <c r="AD20" s="70"/>
      <c r="AE20" s="77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69"/>
      <c r="AZ20" s="70"/>
      <c r="BA20" s="74"/>
      <c r="BB20" s="69"/>
      <c r="BC20" s="70"/>
      <c r="BD20" s="77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69"/>
      <c r="BY20" s="70"/>
      <c r="BZ20" s="74"/>
      <c r="CA20" s="69"/>
      <c r="CB20" s="70"/>
      <c r="CC20" s="77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69"/>
      <c r="CX20" s="70"/>
      <c r="CY20" s="74"/>
      <c r="CZ20" s="69"/>
      <c r="DA20" s="70"/>
      <c r="DB20" s="77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69"/>
      <c r="DW20" s="70"/>
      <c r="DX20" s="74"/>
      <c r="DY20" s="69"/>
      <c r="DZ20" s="70"/>
      <c r="EA20" s="77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69"/>
      <c r="EV20" s="70"/>
      <c r="EW20" s="74"/>
      <c r="EX20" s="69"/>
      <c r="EY20" s="70"/>
      <c r="EZ20" s="77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69"/>
      <c r="B21" s="70"/>
      <c r="C21" s="74"/>
      <c r="D21" s="69"/>
      <c r="E21" s="70"/>
      <c r="F21" s="77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69"/>
      <c r="AA21" s="70"/>
      <c r="AB21" s="74"/>
      <c r="AC21" s="69"/>
      <c r="AD21" s="70"/>
      <c r="AE21" s="77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69"/>
      <c r="AZ21" s="70"/>
      <c r="BA21" s="74"/>
      <c r="BB21" s="69"/>
      <c r="BC21" s="70"/>
      <c r="BD21" s="77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69"/>
      <c r="BY21" s="70"/>
      <c r="BZ21" s="74"/>
      <c r="CA21" s="69"/>
      <c r="CB21" s="70"/>
      <c r="CC21" s="77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69"/>
      <c r="CX21" s="70"/>
      <c r="CY21" s="74"/>
      <c r="CZ21" s="69"/>
      <c r="DA21" s="70"/>
      <c r="DB21" s="77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69"/>
      <c r="DW21" s="70"/>
      <c r="DX21" s="74"/>
      <c r="DY21" s="69"/>
      <c r="DZ21" s="70"/>
      <c r="EA21" s="77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69"/>
      <c r="EV21" s="70"/>
      <c r="EW21" s="74"/>
      <c r="EX21" s="69"/>
      <c r="EY21" s="70"/>
      <c r="EZ21" s="77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71"/>
      <c r="B22" s="72"/>
      <c r="C22" s="75"/>
      <c r="D22" s="71"/>
      <c r="E22" s="72"/>
      <c r="F22" s="78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1773.8000000000002</v>
      </c>
      <c r="P22" s="21"/>
      <c r="Q22" s="20">
        <f>M22*O22</f>
        <v>1773.8000000000002</v>
      </c>
      <c r="R22" s="21"/>
      <c r="S22" s="2"/>
      <c r="T22" s="2"/>
      <c r="U22" s="2"/>
      <c r="V22" s="2"/>
      <c r="W22" s="2"/>
      <c r="X22" s="2"/>
      <c r="Y22" s="2"/>
      <c r="Z22" s="71"/>
      <c r="AA22" s="72"/>
      <c r="AB22" s="75"/>
      <c r="AC22" s="71"/>
      <c r="AD22" s="72"/>
      <c r="AE22" s="78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1773.8000000000002</v>
      </c>
      <c r="AO22" s="21"/>
      <c r="AP22" s="20">
        <f>AL22*AN22</f>
        <v>1773.8000000000002</v>
      </c>
      <c r="AQ22" s="21"/>
      <c r="AR22" s="2"/>
      <c r="AS22" s="2"/>
      <c r="AT22" s="2"/>
      <c r="AU22" s="2"/>
      <c r="AV22" s="2"/>
      <c r="AW22" s="2"/>
      <c r="AX22" s="2"/>
      <c r="AY22" s="71"/>
      <c r="AZ22" s="72"/>
      <c r="BA22" s="75"/>
      <c r="BB22" s="71"/>
      <c r="BC22" s="72"/>
      <c r="BD22" s="78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1773.8000000000002</v>
      </c>
      <c r="BN22" s="21"/>
      <c r="BO22" s="20">
        <f>BK22*BM22</f>
        <v>1773.8000000000002</v>
      </c>
      <c r="BP22" s="21"/>
      <c r="BQ22" s="2"/>
      <c r="BR22" s="2"/>
      <c r="BS22" s="2"/>
      <c r="BT22" s="2"/>
      <c r="BU22" s="2"/>
      <c r="BV22" s="2"/>
      <c r="BW22" s="2"/>
      <c r="BX22" s="71"/>
      <c r="BY22" s="72"/>
      <c r="BZ22" s="75"/>
      <c r="CA22" s="71"/>
      <c r="CB22" s="72"/>
      <c r="CC22" s="78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1773.8000000000002</v>
      </c>
      <c r="CM22" s="21"/>
      <c r="CN22" s="20">
        <f>CJ22*CL22</f>
        <v>1773.8000000000002</v>
      </c>
      <c r="CO22" s="21"/>
      <c r="CP22" s="2"/>
      <c r="CQ22" s="2"/>
      <c r="CR22" s="2"/>
      <c r="CS22" s="2"/>
      <c r="CT22" s="2"/>
      <c r="CU22" s="2"/>
      <c r="CV22" s="2"/>
      <c r="CW22" s="71"/>
      <c r="CX22" s="72"/>
      <c r="CY22" s="75"/>
      <c r="CZ22" s="71"/>
      <c r="DA22" s="72"/>
      <c r="DB22" s="78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1773.8000000000002</v>
      </c>
      <c r="DL22" s="21"/>
      <c r="DM22" s="20">
        <f>DI22*DK22</f>
        <v>1773.8000000000002</v>
      </c>
      <c r="DN22" s="21"/>
      <c r="DO22" s="2"/>
      <c r="DP22" s="2"/>
      <c r="DQ22" s="2"/>
      <c r="DR22" s="2"/>
      <c r="DS22" s="2"/>
      <c r="DT22" s="2"/>
      <c r="DU22" s="2"/>
      <c r="DV22" s="71"/>
      <c r="DW22" s="72"/>
      <c r="DX22" s="75"/>
      <c r="DY22" s="71"/>
      <c r="DZ22" s="72"/>
      <c r="EA22" s="78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1773.8000000000002</v>
      </c>
      <c r="EK22" s="21"/>
      <c r="EL22" s="20">
        <f>EH22*EJ22</f>
        <v>1773.8000000000002</v>
      </c>
      <c r="EM22" s="21"/>
      <c r="EN22" s="2"/>
      <c r="EO22" s="2"/>
      <c r="EP22" s="2"/>
      <c r="EQ22" s="2"/>
      <c r="ER22" s="2"/>
      <c r="ES22" s="2"/>
      <c r="ET22" s="2"/>
      <c r="EU22" s="71"/>
      <c r="EV22" s="72"/>
      <c r="EW22" s="75"/>
      <c r="EX22" s="71"/>
      <c r="EY22" s="72"/>
      <c r="EZ22" s="78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1773.8000000000002</v>
      </c>
      <c r="FJ22" s="21"/>
      <c r="FK22" s="20">
        <f>FG22*FI22</f>
        <v>1773.8000000000002</v>
      </c>
      <c r="FL22" s="21"/>
      <c r="FM22" s="2"/>
      <c r="FN22" s="2"/>
      <c r="FO22" s="2"/>
      <c r="FP22" s="2"/>
      <c r="FQ22" s="2"/>
      <c r="FR22" s="2"/>
      <c r="FS22" s="2"/>
    </row>
    <row r="23" spans="1:175" ht="15.7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7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1810</v>
      </c>
      <c r="P25" s="21"/>
      <c r="Q25" s="20">
        <f>M25*O25</f>
        <v>3620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1810</v>
      </c>
      <c r="AO25" s="21"/>
      <c r="AP25" s="20">
        <f>AL25*AN25</f>
        <v>3620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1810</v>
      </c>
      <c r="BN25" s="21"/>
      <c r="BO25" s="20">
        <f>BK25*BM25</f>
        <v>3620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1810</v>
      </c>
      <c r="CM25" s="21"/>
      <c r="CN25" s="20">
        <f>CJ25*CL25</f>
        <v>3620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1810</v>
      </c>
      <c r="DL25" s="21"/>
      <c r="DM25" s="20">
        <f>DI25*DK25</f>
        <v>3620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1810</v>
      </c>
      <c r="EK25" s="21"/>
      <c r="EL25" s="20">
        <f>EH25*EJ25</f>
        <v>3620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1810</v>
      </c>
      <c r="FJ25" s="21"/>
      <c r="FK25" s="20">
        <f>FG25*FI25</f>
        <v>3620</v>
      </c>
      <c r="FL25" s="21"/>
      <c r="FM25" s="2"/>
      <c r="FN25" s="2"/>
      <c r="FO25" s="2"/>
      <c r="FP25" s="2"/>
      <c r="FQ25" s="2"/>
      <c r="FR25" s="2"/>
      <c r="FS25" s="2"/>
    </row>
    <row r="26" spans="1:175" ht="15.7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7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1810</v>
      </c>
      <c r="P28" s="21"/>
      <c r="Q28" s="20">
        <f>M28*O28</f>
        <v>1810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1810</v>
      </c>
      <c r="AO28" s="21"/>
      <c r="AP28" s="20">
        <f>AL28*AN28</f>
        <v>1810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1810</v>
      </c>
      <c r="BN28" s="21"/>
      <c r="BO28" s="20">
        <f>BK28*BM28</f>
        <v>1810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1810</v>
      </c>
      <c r="CM28" s="21"/>
      <c r="CN28" s="20">
        <f>CJ28*CL28</f>
        <v>1810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1810</v>
      </c>
      <c r="DL28" s="21"/>
      <c r="DM28" s="20">
        <f>DI28*DK28</f>
        <v>1810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1810</v>
      </c>
      <c r="EK28" s="21"/>
      <c r="EL28" s="20">
        <f>EH28*EJ28</f>
        <v>1810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1810</v>
      </c>
      <c r="FJ28" s="21"/>
      <c r="FK28" s="20">
        <f>FG28*FI28</f>
        <v>1810</v>
      </c>
      <c r="FL28" s="21"/>
      <c r="FM28" s="2"/>
      <c r="FN28" s="2"/>
      <c r="FO28" s="2"/>
      <c r="FP28" s="2"/>
      <c r="FQ28" s="2"/>
      <c r="FR28" s="2"/>
      <c r="FS28" s="2"/>
    </row>
    <row r="29" spans="1:175" ht="15.7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75">
      <c r="A33" s="2"/>
      <c r="B33" s="2"/>
      <c r="C33" s="48" t="s">
        <v>61</v>
      </c>
      <c r="D33" s="49"/>
      <c r="E33" s="49"/>
      <c r="F33" s="50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8" t="s">
        <v>62</v>
      </c>
      <c r="AC33" s="49"/>
      <c r="AD33" s="49"/>
      <c r="AE33" s="50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48" t="s">
        <v>63</v>
      </c>
      <c r="BB33" s="49"/>
      <c r="BC33" s="49"/>
      <c r="BD33" s="50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8" t="s">
        <v>64</v>
      </c>
      <c r="CA33" s="49"/>
      <c r="CB33" s="49"/>
      <c r="CC33" s="50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48" t="s">
        <v>65</v>
      </c>
      <c r="CZ33" s="49"/>
      <c r="DA33" s="49"/>
      <c r="DB33" s="50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48" t="s">
        <v>66</v>
      </c>
      <c r="DY33" s="49"/>
      <c r="DZ33" s="49"/>
      <c r="EA33" s="50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48" t="s">
        <v>67</v>
      </c>
      <c r="EX33" s="49"/>
      <c r="EY33" s="49"/>
      <c r="EZ33" s="50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9.5" thickBot="1">
      <c r="A34" s="2"/>
      <c r="B34" s="2"/>
      <c r="C34" s="51"/>
      <c r="D34" s="52"/>
      <c r="E34" s="52"/>
      <c r="F34" s="53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51"/>
      <c r="AC34" s="52"/>
      <c r="AD34" s="52"/>
      <c r="AE34" s="53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51"/>
      <c r="BB34" s="52"/>
      <c r="BC34" s="52"/>
      <c r="BD34" s="53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1"/>
      <c r="CA34" s="52"/>
      <c r="CB34" s="52"/>
      <c r="CC34" s="53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51"/>
      <c r="CZ34" s="52"/>
      <c r="DA34" s="52"/>
      <c r="DB34" s="53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51"/>
      <c r="DY34" s="52"/>
      <c r="DZ34" s="52"/>
      <c r="EA34" s="53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51"/>
      <c r="EX34" s="52"/>
      <c r="EY34" s="52"/>
      <c r="EZ34" s="53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54" t="s">
        <v>68</v>
      </c>
      <c r="D35" s="54">
        <f>F11+F15+F19</f>
        <v>1110</v>
      </c>
      <c r="E35" s="54" t="s">
        <v>69</v>
      </c>
      <c r="F35" s="54">
        <f>D35-D39</f>
        <v>-10256.799999999999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54" t="s">
        <v>68</v>
      </c>
      <c r="AC35" s="54">
        <f>AE11+AE15+AE19</f>
        <v>1165</v>
      </c>
      <c r="AD35" s="54" t="s">
        <v>69</v>
      </c>
      <c r="AE35" s="54">
        <f>AC35-AC39</f>
        <v>-10201.799999999999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54" t="s">
        <v>68</v>
      </c>
      <c r="BB35" s="54">
        <f>BD11+BD15+BD19</f>
        <v>1270</v>
      </c>
      <c r="BC35" s="54" t="s">
        <v>69</v>
      </c>
      <c r="BD35" s="54">
        <f>BB35-BB39</f>
        <v>-10096.799999999999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4" t="s">
        <v>68</v>
      </c>
      <c r="CA35" s="54">
        <f>CC11+CC15+CC19</f>
        <v>1170</v>
      </c>
      <c r="CB35" s="54" t="s">
        <v>69</v>
      </c>
      <c r="CC35" s="54">
        <f>CA35-CA39</f>
        <v>-10196.799999999999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54" t="s">
        <v>68</v>
      </c>
      <c r="CZ35" s="54">
        <f>DB11+DB15+DB19</f>
        <v>1120</v>
      </c>
      <c r="DA35" s="54" t="s">
        <v>69</v>
      </c>
      <c r="DB35" s="54">
        <f>CZ35-CZ39</f>
        <v>-10246.799999999999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54" t="s">
        <v>68</v>
      </c>
      <c r="DY35" s="54">
        <f>EA11+EA15+EA19</f>
        <v>1110</v>
      </c>
      <c r="DZ35" s="54" t="s">
        <v>69</v>
      </c>
      <c r="EA35" s="54">
        <f>DY35-DY39</f>
        <v>-10256.799999999999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54" t="s">
        <v>68</v>
      </c>
      <c r="EX35" s="54">
        <f>EZ11+EZ15+EZ19</f>
        <v>1110</v>
      </c>
      <c r="EY35" s="54" t="s">
        <v>69</v>
      </c>
      <c r="EZ35" s="54">
        <f>EX35-EX39</f>
        <v>-10256.799999999999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54"/>
      <c r="D36" s="54"/>
      <c r="E36" s="54"/>
      <c r="F36" s="54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54"/>
      <c r="AC36" s="54"/>
      <c r="AD36" s="54"/>
      <c r="AE36" s="54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54"/>
      <c r="BB36" s="54"/>
      <c r="BC36" s="54"/>
      <c r="BD36" s="54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4"/>
      <c r="CA36" s="54"/>
      <c r="CB36" s="54"/>
      <c r="CC36" s="54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54"/>
      <c r="CZ36" s="54"/>
      <c r="DA36" s="54"/>
      <c r="DB36" s="54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54"/>
      <c r="DY36" s="54"/>
      <c r="DZ36" s="54"/>
      <c r="EA36" s="54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54"/>
      <c r="EX36" s="54"/>
      <c r="EY36" s="54"/>
      <c r="EZ36" s="54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54"/>
      <c r="D37" s="54"/>
      <c r="E37" s="54"/>
      <c r="F37" s="54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4"/>
      <c r="AC37" s="54"/>
      <c r="AD37" s="54"/>
      <c r="AE37" s="54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54"/>
      <c r="BB37" s="54"/>
      <c r="BC37" s="54"/>
      <c r="BD37" s="54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4"/>
      <c r="CA37" s="54"/>
      <c r="CB37" s="54"/>
      <c r="CC37" s="54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54"/>
      <c r="CZ37" s="54"/>
      <c r="DA37" s="54"/>
      <c r="DB37" s="54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54"/>
      <c r="DY37" s="54"/>
      <c r="DZ37" s="54"/>
      <c r="EA37" s="54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54"/>
      <c r="EX37" s="54"/>
      <c r="EY37" s="54"/>
      <c r="EZ37" s="54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55"/>
      <c r="D38" s="55"/>
      <c r="E38" s="55"/>
      <c r="F38" s="55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55"/>
      <c r="AC38" s="55"/>
      <c r="AD38" s="55"/>
      <c r="AE38" s="55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55"/>
      <c r="BB38" s="55"/>
      <c r="BC38" s="55"/>
      <c r="BD38" s="55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5"/>
      <c r="CA38" s="55"/>
      <c r="CB38" s="55"/>
      <c r="CC38" s="55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55"/>
      <c r="CZ38" s="55"/>
      <c r="DA38" s="55"/>
      <c r="DB38" s="55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55"/>
      <c r="DY38" s="55"/>
      <c r="DZ38" s="55"/>
      <c r="EA38" s="55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55"/>
      <c r="EX38" s="55"/>
      <c r="EY38" s="55"/>
      <c r="EZ38" s="55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54" t="s">
        <v>70</v>
      </c>
      <c r="D39" s="54">
        <f>SUM(Q13:Q28)</f>
        <v>11366.8</v>
      </c>
      <c r="E39" s="54" t="s">
        <v>71</v>
      </c>
      <c r="F39" s="54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54" t="s">
        <v>70</v>
      </c>
      <c r="AC39" s="54">
        <f>SUM(AP13:AP28)</f>
        <v>11366.8</v>
      </c>
      <c r="AD39" s="54" t="s">
        <v>71</v>
      </c>
      <c r="AE39" s="54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54" t="s">
        <v>70</v>
      </c>
      <c r="BB39" s="54">
        <f>SUM(BO13:BO28)</f>
        <v>11366.8</v>
      </c>
      <c r="BC39" s="54" t="s">
        <v>71</v>
      </c>
      <c r="BD39" s="54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4" t="s">
        <v>70</v>
      </c>
      <c r="CA39" s="54">
        <f>SUM(CN13:CN28)</f>
        <v>11366.8</v>
      </c>
      <c r="CB39" s="54" t="s">
        <v>71</v>
      </c>
      <c r="CC39" s="54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54" t="s">
        <v>70</v>
      </c>
      <c r="CZ39" s="54">
        <f>SUM(DM13:DM28)</f>
        <v>11366.8</v>
      </c>
      <c r="DA39" s="54" t="s">
        <v>71</v>
      </c>
      <c r="DB39" s="54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54" t="s">
        <v>70</v>
      </c>
      <c r="DY39" s="54">
        <f>SUM(EL13:EL28)</f>
        <v>11366.8</v>
      </c>
      <c r="DZ39" s="54" t="s">
        <v>71</v>
      </c>
      <c r="EA39" s="54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54" t="s">
        <v>70</v>
      </c>
      <c r="EX39" s="54">
        <f>SUM(FK13:FK28)</f>
        <v>11366.8</v>
      </c>
      <c r="EY39" s="54" t="s">
        <v>71</v>
      </c>
      <c r="EZ39" s="54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54"/>
      <c r="D40" s="54"/>
      <c r="E40" s="54"/>
      <c r="F40" s="54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54"/>
      <c r="AC40" s="54"/>
      <c r="AD40" s="54"/>
      <c r="AE40" s="54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54"/>
      <c r="BB40" s="54"/>
      <c r="BC40" s="54"/>
      <c r="BD40" s="54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4"/>
      <c r="CA40" s="54"/>
      <c r="CB40" s="54"/>
      <c r="CC40" s="54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54"/>
      <c r="CZ40" s="54"/>
      <c r="DA40" s="54"/>
      <c r="DB40" s="54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54"/>
      <c r="DY40" s="54"/>
      <c r="DZ40" s="54"/>
      <c r="EA40" s="54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54"/>
      <c r="EX40" s="54"/>
      <c r="EY40" s="54"/>
      <c r="EZ40" s="54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54"/>
      <c r="D41" s="54"/>
      <c r="E41" s="54"/>
      <c r="F41" s="54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4"/>
      <c r="AC41" s="54"/>
      <c r="AD41" s="54"/>
      <c r="AE41" s="54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54"/>
      <c r="BB41" s="54"/>
      <c r="BC41" s="54"/>
      <c r="BD41" s="54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4"/>
      <c r="CA41" s="54"/>
      <c r="CB41" s="54"/>
      <c r="CC41" s="54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54"/>
      <c r="CZ41" s="54"/>
      <c r="DA41" s="54"/>
      <c r="DB41" s="54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54"/>
      <c r="DY41" s="54"/>
      <c r="DZ41" s="54"/>
      <c r="EA41" s="54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54"/>
      <c r="EX41" s="54"/>
      <c r="EY41" s="54"/>
      <c r="EZ41" s="54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55"/>
      <c r="D42" s="55"/>
      <c r="E42" s="55"/>
      <c r="F42" s="55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5"/>
      <c r="AC42" s="55"/>
      <c r="AD42" s="55"/>
      <c r="AE42" s="55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55"/>
      <c r="BB42" s="55"/>
      <c r="BC42" s="55"/>
      <c r="BD42" s="55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5"/>
      <c r="CA42" s="55"/>
      <c r="CB42" s="55"/>
      <c r="CC42" s="55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5"/>
      <c r="CZ42" s="55"/>
      <c r="DA42" s="55"/>
      <c r="DB42" s="55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55"/>
      <c r="DY42" s="55"/>
      <c r="DZ42" s="55"/>
      <c r="EA42" s="55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55"/>
      <c r="EX42" s="55"/>
      <c r="EY42" s="55"/>
      <c r="EZ42" s="55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.7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48" t="s">
        <v>72</v>
      </c>
      <c r="F50" s="49"/>
      <c r="G50" s="49"/>
      <c r="H50" s="50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79"/>
      <c r="BD50" s="79"/>
      <c r="BE50" s="79"/>
      <c r="BF50" s="79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56" t="s">
        <v>72</v>
      </c>
      <c r="CC50" s="57"/>
      <c r="CD50" s="57"/>
      <c r="CE50" s="58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56" t="s">
        <v>72</v>
      </c>
      <c r="DB50" s="57"/>
      <c r="DC50" s="57"/>
      <c r="DD50" s="58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56" t="s">
        <v>72</v>
      </c>
      <c r="EA50" s="57"/>
      <c r="EB50" s="57"/>
      <c r="EC50" s="58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56" t="s">
        <v>72</v>
      </c>
      <c r="EZ50" s="57"/>
      <c r="FA50" s="57"/>
      <c r="FB50" s="58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51"/>
      <c r="F51" s="52"/>
      <c r="G51" s="52"/>
      <c r="H51" s="53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79"/>
      <c r="BD51" s="79"/>
      <c r="BE51" s="79"/>
      <c r="BF51" s="79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59"/>
      <c r="CC51" s="60"/>
      <c r="CD51" s="60"/>
      <c r="CE51" s="61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59"/>
      <c r="DB51" s="60"/>
      <c r="DC51" s="60"/>
      <c r="DD51" s="61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59"/>
      <c r="EA51" s="60"/>
      <c r="EB51" s="60"/>
      <c r="EC51" s="61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59"/>
      <c r="EZ51" s="60"/>
      <c r="FA51" s="60"/>
      <c r="FB51" s="61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54" t="s">
        <v>68</v>
      </c>
      <c r="F52" s="67">
        <f>F35+AE35+BD35+CC35+DB35+EA35+EZ35</f>
        <v>-71512.600000000006</v>
      </c>
      <c r="G52" s="80"/>
      <c r="H52" s="8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36"/>
      <c r="BD52" s="36"/>
      <c r="BE52" s="36"/>
      <c r="BF52" s="3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40" t="s">
        <v>68</v>
      </c>
      <c r="CC52" s="37"/>
      <c r="CD52" s="38"/>
      <c r="CE52" s="38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40" t="s">
        <v>68</v>
      </c>
      <c r="DB52" s="37"/>
      <c r="DC52" s="38"/>
      <c r="DD52" s="38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0" t="s">
        <v>68</v>
      </c>
      <c r="EA52" s="37"/>
      <c r="EB52" s="38"/>
      <c r="EC52" s="38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40" t="s">
        <v>68</v>
      </c>
      <c r="EZ52" s="37"/>
      <c r="FA52" s="38"/>
      <c r="FB52" s="38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54"/>
      <c r="F53" s="69"/>
      <c r="G53" s="81"/>
      <c r="H53" s="8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36"/>
      <c r="BD53" s="36"/>
      <c r="BE53" s="36"/>
      <c r="BF53" s="3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40"/>
      <c r="CC53" s="39"/>
      <c r="CD53" s="36"/>
      <c r="CE53" s="36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40"/>
      <c r="DB53" s="39"/>
      <c r="DC53" s="36"/>
      <c r="DD53" s="36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40"/>
      <c r="EA53" s="39"/>
      <c r="EB53" s="36"/>
      <c r="EC53" s="36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40"/>
      <c r="EZ53" s="39"/>
      <c r="FA53" s="36"/>
      <c r="FB53" s="36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54"/>
      <c r="F54" s="69"/>
      <c r="G54" s="81"/>
      <c r="H54" s="8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6"/>
      <c r="BD54" s="36"/>
      <c r="BE54" s="36"/>
      <c r="BF54" s="3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40"/>
      <c r="CC54" s="39"/>
      <c r="CD54" s="36"/>
      <c r="CE54" s="36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40"/>
      <c r="DB54" s="39"/>
      <c r="DC54" s="36"/>
      <c r="DD54" s="36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40"/>
      <c r="EA54" s="39"/>
      <c r="EB54" s="36"/>
      <c r="EC54" s="36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40"/>
      <c r="EZ54" s="39"/>
      <c r="FA54" s="36"/>
      <c r="FB54" s="36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55"/>
      <c r="F55" s="69"/>
      <c r="G55" s="81"/>
      <c r="H55" s="8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6"/>
      <c r="BD55" s="36"/>
      <c r="BE55" s="36"/>
      <c r="BF55" s="3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41"/>
      <c r="CC55" s="39"/>
      <c r="CD55" s="36"/>
      <c r="CE55" s="36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41"/>
      <c r="DB55" s="39"/>
      <c r="DC55" s="36"/>
      <c r="DD55" s="36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41"/>
      <c r="EA55" s="39"/>
      <c r="EB55" s="36"/>
      <c r="EC55" s="36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41"/>
      <c r="EZ55" s="39"/>
      <c r="FA55" s="36"/>
      <c r="FB55" s="36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54" t="s">
        <v>70</v>
      </c>
      <c r="F56" s="67">
        <f>D39+AC39+BB39+CA39+CZ39+DY39+EX39</f>
        <v>79567.600000000006</v>
      </c>
      <c r="G56" s="80"/>
      <c r="H56" s="8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36"/>
      <c r="BD56" s="36"/>
      <c r="BE56" s="36"/>
      <c r="BF56" s="3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40" t="s">
        <v>70</v>
      </c>
      <c r="CC56" s="37"/>
      <c r="CD56" s="38"/>
      <c r="CE56" s="38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40" t="s">
        <v>70</v>
      </c>
      <c r="DB56" s="37"/>
      <c r="DC56" s="38"/>
      <c r="DD56" s="38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40" t="s">
        <v>70</v>
      </c>
      <c r="EA56" s="37"/>
      <c r="EB56" s="38"/>
      <c r="EC56" s="38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40" t="s">
        <v>70</v>
      </c>
      <c r="EZ56" s="37"/>
      <c r="FA56" s="38"/>
      <c r="FB56" s="38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54"/>
      <c r="F57" s="69"/>
      <c r="G57" s="81"/>
      <c r="H57" s="8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36"/>
      <c r="BD57" s="36"/>
      <c r="BE57" s="36"/>
      <c r="BF57" s="3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40"/>
      <c r="CC57" s="39"/>
      <c r="CD57" s="36"/>
      <c r="CE57" s="36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40"/>
      <c r="DB57" s="39"/>
      <c r="DC57" s="36"/>
      <c r="DD57" s="36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40"/>
      <c r="EA57" s="39"/>
      <c r="EB57" s="36"/>
      <c r="EC57" s="36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40"/>
      <c r="EZ57" s="39"/>
      <c r="FA57" s="36"/>
      <c r="FB57" s="36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54"/>
      <c r="F58" s="69"/>
      <c r="G58" s="81"/>
      <c r="H58" s="8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36"/>
      <c r="BD58" s="36"/>
      <c r="BE58" s="36"/>
      <c r="BF58" s="3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40"/>
      <c r="CC58" s="39"/>
      <c r="CD58" s="36"/>
      <c r="CE58" s="36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40"/>
      <c r="DB58" s="39"/>
      <c r="DC58" s="36"/>
      <c r="DD58" s="36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40"/>
      <c r="EA58" s="39"/>
      <c r="EB58" s="36"/>
      <c r="EC58" s="36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40"/>
      <c r="EZ58" s="39"/>
      <c r="FA58" s="36"/>
      <c r="FB58" s="36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55"/>
      <c r="F59" s="69"/>
      <c r="G59" s="81"/>
      <c r="H59" s="8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6"/>
      <c r="BD59" s="36"/>
      <c r="BE59" s="36"/>
      <c r="BF59" s="3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41"/>
      <c r="CC59" s="39"/>
      <c r="CD59" s="36"/>
      <c r="CE59" s="36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41"/>
      <c r="DB59" s="39"/>
      <c r="DC59" s="36"/>
      <c r="DD59" s="36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41"/>
      <c r="EA59" s="39"/>
      <c r="EB59" s="36"/>
      <c r="EC59" s="36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41"/>
      <c r="EZ59" s="39"/>
      <c r="FA59" s="36"/>
      <c r="FB59" s="36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54" t="s">
        <v>73</v>
      </c>
      <c r="F60" s="67">
        <f>F56-F52</f>
        <v>151080.20000000001</v>
      </c>
      <c r="G60" s="80"/>
      <c r="H60" s="8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6"/>
      <c r="BD60" s="36"/>
      <c r="BE60" s="36"/>
      <c r="BF60" s="3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40" t="s">
        <v>73</v>
      </c>
      <c r="CC60" s="37"/>
      <c r="CD60" s="38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40" t="s">
        <v>73</v>
      </c>
      <c r="DB60" s="37"/>
      <c r="DC60" s="38"/>
      <c r="DD60" s="38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40" t="s">
        <v>73</v>
      </c>
      <c r="EA60" s="37"/>
      <c r="EB60" s="38"/>
      <c r="EC60" s="38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40" t="s">
        <v>73</v>
      </c>
      <c r="EZ60" s="37"/>
      <c r="FA60" s="38"/>
      <c r="FB60" s="38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54"/>
      <c r="F61" s="69"/>
      <c r="G61" s="81"/>
      <c r="H61" s="8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36"/>
      <c r="AX61" s="2"/>
      <c r="AY61" s="2"/>
      <c r="AZ61" s="2"/>
      <c r="BA61" s="2"/>
      <c r="BB61" s="2"/>
      <c r="BC61" s="36"/>
      <c r="BD61" s="36"/>
      <c r="BE61" s="36"/>
      <c r="BF61" s="3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40"/>
      <c r="CC61" s="39"/>
      <c r="CD61" s="36"/>
      <c r="CE61" s="36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40"/>
      <c r="DB61" s="39"/>
      <c r="DC61" s="36"/>
      <c r="DD61" s="36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40"/>
      <c r="EA61" s="39"/>
      <c r="EB61" s="36"/>
      <c r="EC61" s="36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40"/>
      <c r="EZ61" s="39"/>
      <c r="FA61" s="36"/>
      <c r="FB61" s="36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54"/>
      <c r="F62" s="69"/>
      <c r="G62" s="81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36"/>
      <c r="AX62" s="2"/>
      <c r="AY62" s="2"/>
      <c r="AZ62" s="2"/>
      <c r="BA62" s="2"/>
      <c r="BB62" s="2"/>
      <c r="BC62" s="36"/>
      <c r="BD62" s="36"/>
      <c r="BE62" s="36"/>
      <c r="BF62" s="3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40"/>
      <c r="CC62" s="39"/>
      <c r="CD62" s="36"/>
      <c r="CE62" s="36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40"/>
      <c r="DB62" s="39"/>
      <c r="DC62" s="36"/>
      <c r="DD62" s="36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40"/>
      <c r="EA62" s="39"/>
      <c r="EB62" s="36"/>
      <c r="EC62" s="36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40"/>
      <c r="EZ62" s="39"/>
      <c r="FA62" s="36"/>
      <c r="FB62" s="36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55"/>
      <c r="F63" s="69"/>
      <c r="G63" s="81"/>
      <c r="H63" s="8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36"/>
      <c r="AX63" s="2"/>
      <c r="AY63" s="2"/>
      <c r="AZ63" s="2"/>
      <c r="BA63" s="2"/>
      <c r="BB63" s="2"/>
      <c r="BC63" s="36"/>
      <c r="BD63" s="36"/>
      <c r="BE63" s="36"/>
      <c r="BF63" s="3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41"/>
      <c r="CC63" s="39"/>
      <c r="CD63" s="36"/>
      <c r="CE63" s="36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41"/>
      <c r="DB63" s="39"/>
      <c r="DC63" s="36"/>
      <c r="DD63" s="36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41"/>
      <c r="EA63" s="39"/>
      <c r="EB63" s="36"/>
      <c r="EC63" s="36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41"/>
      <c r="EZ63" s="39"/>
      <c r="FA63" s="36"/>
      <c r="FB63" s="36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54" t="s">
        <v>74</v>
      </c>
      <c r="F64" s="67">
        <f>(F60)/7700</f>
        <v>19.620805194805197</v>
      </c>
      <c r="G64" s="80"/>
      <c r="H64" s="8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36"/>
      <c r="AX64" s="2"/>
      <c r="AY64" s="2"/>
      <c r="AZ64" s="2"/>
      <c r="BA64" s="2"/>
      <c r="BB64" s="2"/>
      <c r="BC64" s="36"/>
      <c r="BD64" s="36"/>
      <c r="BE64" s="36"/>
      <c r="BF64" s="3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40" t="s">
        <v>74</v>
      </c>
      <c r="CC64" s="37"/>
      <c r="CD64" s="38"/>
      <c r="CE64" s="38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40" t="s">
        <v>74</v>
      </c>
      <c r="DB64" s="37"/>
      <c r="DC64" s="38"/>
      <c r="DD64" s="38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40" t="s">
        <v>74</v>
      </c>
      <c r="EA64" s="37"/>
      <c r="EB64" s="38"/>
      <c r="EC64" s="38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40" t="s">
        <v>74</v>
      </c>
      <c r="EZ64" s="37"/>
      <c r="FA64" s="38"/>
      <c r="FB64" s="38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54"/>
      <c r="F65" s="69"/>
      <c r="G65" s="81"/>
      <c r="H65" s="8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36"/>
      <c r="AX65" s="2"/>
      <c r="AY65" s="2"/>
      <c r="AZ65" s="2"/>
      <c r="BA65" s="2"/>
      <c r="BB65" s="2"/>
      <c r="BC65" s="36"/>
      <c r="BD65" s="36"/>
      <c r="BE65" s="36"/>
      <c r="BF65" s="3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40"/>
      <c r="CC65" s="39"/>
      <c r="CD65" s="36"/>
      <c r="CE65" s="36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40"/>
      <c r="DB65" s="39"/>
      <c r="DC65" s="36"/>
      <c r="DD65" s="36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40"/>
      <c r="EA65" s="39"/>
      <c r="EB65" s="36"/>
      <c r="EC65" s="36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40"/>
      <c r="EZ65" s="39"/>
      <c r="FA65" s="36"/>
      <c r="FB65" s="36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54"/>
      <c r="F66" s="69"/>
      <c r="G66" s="81"/>
      <c r="H66" s="8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36"/>
      <c r="AX66" s="2"/>
      <c r="AY66" s="2"/>
      <c r="AZ66" s="2"/>
      <c r="BA66" s="2"/>
      <c r="BB66" s="2"/>
      <c r="BC66" s="36"/>
      <c r="BD66" s="36"/>
      <c r="BE66" s="36"/>
      <c r="BF66" s="3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40"/>
      <c r="CC66" s="39"/>
      <c r="CD66" s="36"/>
      <c r="CE66" s="36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40"/>
      <c r="DB66" s="39"/>
      <c r="DC66" s="36"/>
      <c r="DD66" s="36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40"/>
      <c r="EA66" s="39"/>
      <c r="EB66" s="36"/>
      <c r="EC66" s="36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40"/>
      <c r="EZ66" s="39"/>
      <c r="FA66" s="36"/>
      <c r="FB66" s="36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55"/>
      <c r="F67" s="69"/>
      <c r="G67" s="81"/>
      <c r="H67" s="8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36"/>
      <c r="AX67" s="2"/>
      <c r="AY67" s="2"/>
      <c r="AZ67" s="2"/>
      <c r="BA67" s="2"/>
      <c r="BB67" s="2"/>
      <c r="BC67" s="36"/>
      <c r="BD67" s="36"/>
      <c r="BE67" s="36"/>
      <c r="BF67" s="3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41"/>
      <c r="CC67" s="39"/>
      <c r="CD67" s="36"/>
      <c r="CE67" s="36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41"/>
      <c r="DB67" s="39"/>
      <c r="DC67" s="36"/>
      <c r="DD67" s="36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41"/>
      <c r="EA67" s="39"/>
      <c r="EB67" s="36"/>
      <c r="EC67" s="36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41"/>
      <c r="EZ67" s="39"/>
      <c r="FA67" s="36"/>
      <c r="FB67" s="36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54" t="s">
        <v>78</v>
      </c>
      <c r="F68" s="67">
        <f>D3-F64</f>
        <v>161.3791948051948</v>
      </c>
      <c r="G68" s="80"/>
      <c r="H68" s="8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5"/>
      <c r="AE68" s="35"/>
      <c r="AF68" s="35"/>
      <c r="AG68" s="35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36"/>
      <c r="AX68" s="2"/>
      <c r="AY68" s="2"/>
      <c r="AZ68" s="2"/>
      <c r="BA68" s="2"/>
      <c r="BB68" s="2"/>
      <c r="BC68" s="36"/>
      <c r="BD68" s="36"/>
      <c r="BE68" s="36"/>
      <c r="BF68" s="3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40" t="s">
        <v>75</v>
      </c>
      <c r="CC68" s="37"/>
      <c r="CD68" s="38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40" t="s">
        <v>75</v>
      </c>
      <c r="DB68" s="37"/>
      <c r="DC68" s="38"/>
      <c r="DD68" s="38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40" t="s">
        <v>75</v>
      </c>
      <c r="EA68" s="37"/>
      <c r="EB68" s="38"/>
      <c r="EC68" s="38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40" t="s">
        <v>75</v>
      </c>
      <c r="EZ68" s="37"/>
      <c r="FA68" s="38"/>
      <c r="FB68" s="38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54"/>
      <c r="F69" s="69"/>
      <c r="G69" s="81"/>
      <c r="H69" s="8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5"/>
      <c r="AE69" s="35"/>
      <c r="AF69" s="35"/>
      <c r="AG69" s="35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36"/>
      <c r="BD69" s="36"/>
      <c r="BE69" s="36"/>
      <c r="BF69" s="3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40"/>
      <c r="CC69" s="39"/>
      <c r="CD69" s="36"/>
      <c r="CE69" s="36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40"/>
      <c r="DB69" s="39"/>
      <c r="DC69" s="36"/>
      <c r="DD69" s="36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40"/>
      <c r="EA69" s="39"/>
      <c r="EB69" s="36"/>
      <c r="EC69" s="36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40"/>
      <c r="EZ69" s="39"/>
      <c r="FA69" s="36"/>
      <c r="FB69" s="36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54"/>
      <c r="F70" s="69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5"/>
      <c r="AE70" s="35"/>
      <c r="AF70" s="35"/>
      <c r="AG70" s="35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36"/>
      <c r="BD70" s="36"/>
      <c r="BE70" s="36"/>
      <c r="BF70" s="3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40"/>
      <c r="CC70" s="39"/>
      <c r="CD70" s="36"/>
      <c r="CE70" s="36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40"/>
      <c r="DB70" s="39"/>
      <c r="DC70" s="36"/>
      <c r="DD70" s="36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40"/>
      <c r="EA70" s="39"/>
      <c r="EB70" s="36"/>
      <c r="EC70" s="36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40"/>
      <c r="EZ70" s="39"/>
      <c r="FA70" s="36"/>
      <c r="FB70" s="36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55"/>
      <c r="F71" s="69"/>
      <c r="G71" s="81"/>
      <c r="H71" s="8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36"/>
      <c r="BD71" s="36"/>
      <c r="BE71" s="36"/>
      <c r="BF71" s="3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41"/>
      <c r="CC71" s="39"/>
      <c r="CD71" s="36"/>
      <c r="CE71" s="36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41"/>
      <c r="DB71" s="39"/>
      <c r="DC71" s="36"/>
      <c r="DD71" s="36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41"/>
      <c r="EA71" s="39"/>
      <c r="EB71" s="36"/>
      <c r="EC71" s="36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41"/>
      <c r="EZ71" s="39"/>
      <c r="FA71" s="36"/>
      <c r="FB71" s="36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54" t="s">
        <v>79</v>
      </c>
      <c r="F72" s="67">
        <f>148.95/(1.6^2)</f>
        <v>58.183593749999986</v>
      </c>
      <c r="G72" s="80"/>
      <c r="H72" s="8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6"/>
      <c r="BD72" s="36"/>
      <c r="BE72" s="36"/>
      <c r="BF72" s="3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40" t="s">
        <v>76</v>
      </c>
      <c r="CC72" s="37"/>
      <c r="CD72" s="38"/>
      <c r="CE72" s="38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40" t="s">
        <v>76</v>
      </c>
      <c r="DB72" s="37"/>
      <c r="DC72" s="38"/>
      <c r="DD72" s="38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40" t="s">
        <v>76</v>
      </c>
      <c r="EA72" s="37"/>
      <c r="EB72" s="38"/>
      <c r="EC72" s="38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40" t="s">
        <v>76</v>
      </c>
      <c r="EZ72" s="37"/>
      <c r="FA72" s="38"/>
      <c r="FB72" s="38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54"/>
      <c r="F73" s="69"/>
      <c r="G73" s="81"/>
      <c r="H73" s="8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6"/>
      <c r="BD73" s="36"/>
      <c r="BE73" s="36"/>
      <c r="BF73" s="3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40"/>
      <c r="CC73" s="39"/>
      <c r="CD73" s="36"/>
      <c r="CE73" s="36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40"/>
      <c r="DB73" s="39"/>
      <c r="DC73" s="36"/>
      <c r="DD73" s="36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40"/>
      <c r="EA73" s="39"/>
      <c r="EB73" s="36"/>
      <c r="EC73" s="36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40"/>
      <c r="EZ73" s="39"/>
      <c r="FA73" s="36"/>
      <c r="FB73" s="36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54"/>
      <c r="F74" s="69"/>
      <c r="G74" s="81"/>
      <c r="H74" s="8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6"/>
      <c r="BD74" s="36"/>
      <c r="BE74" s="36"/>
      <c r="BF74" s="3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40"/>
      <c r="CC74" s="39"/>
      <c r="CD74" s="36"/>
      <c r="CE74" s="36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40"/>
      <c r="DB74" s="39"/>
      <c r="DC74" s="36"/>
      <c r="DD74" s="36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40"/>
      <c r="EA74" s="39"/>
      <c r="EB74" s="36"/>
      <c r="EC74" s="36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40"/>
      <c r="EZ74" s="39"/>
      <c r="FA74" s="36"/>
      <c r="FB74" s="36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55"/>
      <c r="F75" s="69"/>
      <c r="G75" s="81"/>
      <c r="H75" s="8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6"/>
      <c r="BD75" s="36"/>
      <c r="BE75" s="36"/>
      <c r="BF75" s="3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41"/>
      <c r="CC75" s="39"/>
      <c r="CD75" s="36"/>
      <c r="CE75" s="36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41"/>
      <c r="DB75" s="39"/>
      <c r="DC75" s="36"/>
      <c r="DD75" s="36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41"/>
      <c r="EA75" s="39"/>
      <c r="EB75" s="36"/>
      <c r="EC75" s="36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41"/>
      <c r="EZ75" s="39"/>
      <c r="FA75" s="36"/>
      <c r="FB75" s="36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5"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I9:R10"/>
    <mergeCell ref="E64:E67"/>
    <mergeCell ref="F64:H67"/>
    <mergeCell ref="E68:E71"/>
    <mergeCell ref="F68:H71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B3:C4"/>
    <mergeCell ref="D3:D4"/>
    <mergeCell ref="A9:F10"/>
    <mergeCell ref="A11:B14"/>
    <mergeCell ref="C11:C14"/>
    <mergeCell ref="D11:E14"/>
    <mergeCell ref="F11:F14"/>
    <mergeCell ref="E72:E75"/>
    <mergeCell ref="F72:H75"/>
    <mergeCell ref="E50:H51"/>
    <mergeCell ref="E52:E55"/>
    <mergeCell ref="F52:H55"/>
    <mergeCell ref="E56:E59"/>
    <mergeCell ref="F56:H59"/>
    <mergeCell ref="E60:E63"/>
    <mergeCell ref="F60:H63"/>
    <mergeCell ref="AW61:AW64"/>
    <mergeCell ref="AW65:AW68"/>
    <mergeCell ref="A15:B18"/>
    <mergeCell ref="C15:C18"/>
    <mergeCell ref="D15:E18"/>
    <mergeCell ref="F15:F18"/>
    <mergeCell ref="A19:B22"/>
    <mergeCell ref="C19:C22"/>
    <mergeCell ref="D19:E22"/>
    <mergeCell ref="F19:F22"/>
  </mergeCells>
  <conditionalFormatting sqref="F39:F42">
    <cfRule type="containsText" dxfId="55" priority="13" operator="containsText" text="Bad shape">
      <formula>NOT(ISERROR(SEARCH("Bad shape",F39)))</formula>
    </cfRule>
    <cfRule type="containsText" dxfId="54" priority="14" operator="containsText" text="Fit shape">
      <formula>NOT(ISERROR(SEARCH("Fit shape",F39)))</formula>
    </cfRule>
  </conditionalFormatting>
  <conditionalFormatting sqref="AE39:AE42">
    <cfRule type="containsText" dxfId="53" priority="11" operator="containsText" text="Bad shape">
      <formula>NOT(ISERROR(SEARCH("Bad shape",AE39)))</formula>
    </cfRule>
    <cfRule type="containsText" dxfId="52" priority="12" operator="containsText" text="Fit shape">
      <formula>NOT(ISERROR(SEARCH("Fit shape",AE39)))</formula>
    </cfRule>
  </conditionalFormatting>
  <conditionalFormatting sqref="BD39:BD42">
    <cfRule type="containsText" dxfId="51" priority="9" operator="containsText" text="Bad shape">
      <formula>NOT(ISERROR(SEARCH("Bad shape",BD39)))</formula>
    </cfRule>
    <cfRule type="containsText" dxfId="50" priority="10" operator="containsText" text="Fit shape">
      <formula>NOT(ISERROR(SEARCH("Fit shape",BD39)))</formula>
    </cfRule>
  </conditionalFormatting>
  <conditionalFormatting sqref="CC39:CC42">
    <cfRule type="containsText" dxfId="49" priority="7" operator="containsText" text="Bad shape">
      <formula>NOT(ISERROR(SEARCH("Bad shape",CC39)))</formula>
    </cfRule>
    <cfRule type="containsText" dxfId="48" priority="8" operator="containsText" text="Fit shape">
      <formula>NOT(ISERROR(SEARCH("Fit shape",CC39)))</formula>
    </cfRule>
  </conditionalFormatting>
  <conditionalFormatting sqref="DB39:DB42">
    <cfRule type="containsText" dxfId="47" priority="5" operator="containsText" text="Bad shape">
      <formula>NOT(ISERROR(SEARCH("Bad shape",DB39)))</formula>
    </cfRule>
    <cfRule type="containsText" dxfId="46" priority="6" operator="containsText" text="Fit shape">
      <formula>NOT(ISERROR(SEARCH("Fit shape",DB39)))</formula>
    </cfRule>
  </conditionalFormatting>
  <conditionalFormatting sqref="EA39:EA42">
    <cfRule type="containsText" dxfId="45" priority="3" operator="containsText" text="Bad shape">
      <formula>NOT(ISERROR(SEARCH("Bad shape",EA39)))</formula>
    </cfRule>
    <cfRule type="containsText" dxfId="44" priority="4" operator="containsText" text="Fit shape">
      <formula>NOT(ISERROR(SEARCH("Fit shape",EA39)))</formula>
    </cfRule>
  </conditionalFormatting>
  <conditionalFormatting sqref="EZ39:EZ42">
    <cfRule type="containsText" dxfId="43" priority="1" operator="containsText" text="Bad shape">
      <formula>NOT(ISERROR(SEARCH("Bad shape",EZ39)))</formula>
    </cfRule>
    <cfRule type="containsText" dxfId="42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sqref="I13:J30 AH13:AI30 BG13:BH30 CF13:CG30 DE13:DF30 ED13:EE30 FC13:FD30" xr:uid="{37DE12C8-4EC0-4CBE-A8D0-28D2904C4A4D}">
      <formula1>EXERCISES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7974E139-0179-4ACA-BFFB-F5A2F7C930BD}">
      <formula1>DINNER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28F63B31-C725-4400-BBB6-3ECFCD73E317}">
      <formula1>LUNCH</formula1>
    </dataValidation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1B473ECF-2203-46B6-B55F-C96F79F48B2A}">
      <formula1>BREAKFAST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49E2-7284-46AA-BC9D-25695B1E5F31}">
  <dimension ref="A1:FS78"/>
  <sheetViews>
    <sheetView topLeftCell="DU1" zoomScale="60" zoomScaleNormal="60" workbookViewId="0">
      <selection activeCell="EX3" sqref="EX3:EX4"/>
    </sheetView>
  </sheetViews>
  <sheetFormatPr defaultRowHeight="15"/>
  <cols>
    <col min="3" max="3" width="35" customWidth="1"/>
    <col min="4" max="4" width="16.140625" customWidth="1"/>
    <col min="5" max="5" width="27.28515625" customWidth="1"/>
    <col min="6" max="6" width="17.85546875" customWidth="1"/>
    <col min="10" max="10" width="18.5703125" customWidth="1"/>
    <col min="11" max="11" width="15.28515625" customWidth="1"/>
    <col min="12" max="12" width="10.7109375" customWidth="1"/>
    <col min="13" max="13" width="11.140625" customWidth="1"/>
    <col min="15" max="15" width="15.42578125" customWidth="1"/>
    <col min="16" max="16" width="6.42578125" customWidth="1"/>
    <col min="17" max="17" width="15.285156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42" t="s">
        <v>40</v>
      </c>
      <c r="C3" s="43"/>
      <c r="D3" s="46">
        <v>162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2" t="s">
        <v>40</v>
      </c>
      <c r="AB3" s="43"/>
      <c r="AC3" s="46">
        <v>162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42" t="s">
        <v>40</v>
      </c>
      <c r="BA3" s="43"/>
      <c r="BB3" s="46">
        <v>162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2" t="s">
        <v>40</v>
      </c>
      <c r="BZ3" s="43"/>
      <c r="CA3" s="46">
        <v>162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2" t="s">
        <v>40</v>
      </c>
      <c r="CY3" s="43"/>
      <c r="CZ3" s="46">
        <v>162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42" t="s">
        <v>40</v>
      </c>
      <c r="DX3" s="43"/>
      <c r="DY3" s="46">
        <v>162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42" t="s">
        <v>40</v>
      </c>
      <c r="EW3" s="43"/>
      <c r="EX3" s="46">
        <v>162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.75" thickBot="1">
      <c r="A4" s="2"/>
      <c r="B4" s="44"/>
      <c r="C4" s="45"/>
      <c r="D4" s="4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4"/>
      <c r="AB4" s="45"/>
      <c r="AC4" s="47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4"/>
      <c r="BA4" s="45"/>
      <c r="BB4" s="4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4"/>
      <c r="BZ4" s="45"/>
      <c r="CA4" s="47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4"/>
      <c r="CY4" s="45"/>
      <c r="CZ4" s="47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44"/>
      <c r="DX4" s="45"/>
      <c r="DY4" s="47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4"/>
      <c r="EW4" s="45"/>
      <c r="EX4" s="47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.7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4.45" customHeight="1">
      <c r="A9" s="48" t="s">
        <v>41</v>
      </c>
      <c r="B9" s="49"/>
      <c r="C9" s="49"/>
      <c r="D9" s="49"/>
      <c r="E9" s="49"/>
      <c r="F9" s="50"/>
      <c r="G9" s="15"/>
      <c r="H9" s="15"/>
      <c r="I9" s="42" t="s">
        <v>42</v>
      </c>
      <c r="J9" s="62"/>
      <c r="K9" s="62"/>
      <c r="L9" s="62"/>
      <c r="M9" s="62"/>
      <c r="N9" s="62"/>
      <c r="O9" s="62"/>
      <c r="P9" s="62"/>
      <c r="Q9" s="62"/>
      <c r="R9" s="63"/>
      <c r="S9" s="2"/>
      <c r="T9" s="2"/>
      <c r="U9" s="2"/>
      <c r="V9" s="2"/>
      <c r="W9" s="2"/>
      <c r="X9" s="2"/>
      <c r="Y9" s="2"/>
      <c r="Z9" s="48" t="s">
        <v>43</v>
      </c>
      <c r="AA9" s="49"/>
      <c r="AB9" s="49"/>
      <c r="AC9" s="49"/>
      <c r="AD9" s="49"/>
      <c r="AE9" s="50"/>
      <c r="AF9" s="15"/>
      <c r="AG9" s="15"/>
      <c r="AH9" s="42" t="s">
        <v>44</v>
      </c>
      <c r="AI9" s="62"/>
      <c r="AJ9" s="62"/>
      <c r="AK9" s="62"/>
      <c r="AL9" s="62"/>
      <c r="AM9" s="62"/>
      <c r="AN9" s="62"/>
      <c r="AO9" s="62"/>
      <c r="AP9" s="62"/>
      <c r="AQ9" s="63"/>
      <c r="AR9" s="2"/>
      <c r="AS9" s="2"/>
      <c r="AT9" s="2"/>
      <c r="AU9" s="2"/>
      <c r="AV9" s="2"/>
      <c r="AW9" s="2"/>
      <c r="AX9" s="2"/>
      <c r="AY9" s="48" t="s">
        <v>45</v>
      </c>
      <c r="AZ9" s="49"/>
      <c r="BA9" s="49"/>
      <c r="BB9" s="49"/>
      <c r="BC9" s="49"/>
      <c r="BD9" s="50"/>
      <c r="BE9" s="15"/>
      <c r="BF9" s="15"/>
      <c r="BG9" s="42" t="s">
        <v>46</v>
      </c>
      <c r="BH9" s="62"/>
      <c r="BI9" s="62"/>
      <c r="BJ9" s="62"/>
      <c r="BK9" s="62"/>
      <c r="BL9" s="62"/>
      <c r="BM9" s="62"/>
      <c r="BN9" s="62"/>
      <c r="BO9" s="62"/>
      <c r="BP9" s="63"/>
      <c r="BQ9" s="2"/>
      <c r="BR9" s="2"/>
      <c r="BS9" s="2"/>
      <c r="BT9" s="2"/>
      <c r="BU9" s="2"/>
      <c r="BV9" s="2"/>
      <c r="BW9" s="2"/>
      <c r="BX9" s="48" t="s">
        <v>47</v>
      </c>
      <c r="BY9" s="49"/>
      <c r="BZ9" s="49"/>
      <c r="CA9" s="49"/>
      <c r="CB9" s="49"/>
      <c r="CC9" s="50"/>
      <c r="CD9" s="15"/>
      <c r="CE9" s="15"/>
      <c r="CF9" s="42" t="s">
        <v>48</v>
      </c>
      <c r="CG9" s="62"/>
      <c r="CH9" s="62"/>
      <c r="CI9" s="62"/>
      <c r="CJ9" s="62"/>
      <c r="CK9" s="62"/>
      <c r="CL9" s="62"/>
      <c r="CM9" s="62"/>
      <c r="CN9" s="62"/>
      <c r="CO9" s="63"/>
      <c r="CP9" s="2"/>
      <c r="CQ9" s="2"/>
      <c r="CR9" s="2"/>
      <c r="CS9" s="2"/>
      <c r="CT9" s="2"/>
      <c r="CU9" s="2"/>
      <c r="CV9" s="2"/>
      <c r="CW9" s="48" t="s">
        <v>49</v>
      </c>
      <c r="CX9" s="49"/>
      <c r="CY9" s="49"/>
      <c r="CZ9" s="49"/>
      <c r="DA9" s="49"/>
      <c r="DB9" s="50"/>
      <c r="DC9" s="15"/>
      <c r="DD9" s="15"/>
      <c r="DE9" s="42" t="s">
        <v>50</v>
      </c>
      <c r="DF9" s="62"/>
      <c r="DG9" s="62"/>
      <c r="DH9" s="62"/>
      <c r="DI9" s="62"/>
      <c r="DJ9" s="62"/>
      <c r="DK9" s="62"/>
      <c r="DL9" s="62"/>
      <c r="DM9" s="62"/>
      <c r="DN9" s="63"/>
      <c r="DO9" s="2"/>
      <c r="DP9" s="2"/>
      <c r="DQ9" s="2"/>
      <c r="DR9" s="2"/>
      <c r="DS9" s="2"/>
      <c r="DT9" s="2"/>
      <c r="DU9" s="2"/>
      <c r="DV9" s="48" t="s">
        <v>51</v>
      </c>
      <c r="DW9" s="49"/>
      <c r="DX9" s="49"/>
      <c r="DY9" s="49"/>
      <c r="DZ9" s="49"/>
      <c r="EA9" s="50"/>
      <c r="EB9" s="15"/>
      <c r="EC9" s="15"/>
      <c r="ED9" s="42" t="s">
        <v>52</v>
      </c>
      <c r="EE9" s="62"/>
      <c r="EF9" s="62"/>
      <c r="EG9" s="62"/>
      <c r="EH9" s="62"/>
      <c r="EI9" s="62"/>
      <c r="EJ9" s="62"/>
      <c r="EK9" s="62"/>
      <c r="EL9" s="62"/>
      <c r="EM9" s="63"/>
      <c r="EN9" s="2"/>
      <c r="EO9" s="2"/>
      <c r="EP9" s="2"/>
      <c r="EQ9" s="2"/>
      <c r="ER9" s="2"/>
      <c r="ES9" s="2"/>
      <c r="ET9" s="2"/>
      <c r="EU9" s="48" t="s">
        <v>53</v>
      </c>
      <c r="EV9" s="49"/>
      <c r="EW9" s="49"/>
      <c r="EX9" s="49"/>
      <c r="EY9" s="49"/>
      <c r="EZ9" s="50"/>
      <c r="FA9" s="15"/>
      <c r="FB9" s="15"/>
      <c r="FC9" s="42" t="s">
        <v>54</v>
      </c>
      <c r="FD9" s="62"/>
      <c r="FE9" s="62"/>
      <c r="FF9" s="62"/>
      <c r="FG9" s="62"/>
      <c r="FH9" s="62"/>
      <c r="FI9" s="62"/>
      <c r="FJ9" s="62"/>
      <c r="FK9" s="62"/>
      <c r="FL9" s="63"/>
      <c r="FM9" s="2"/>
      <c r="FN9" s="2"/>
      <c r="FO9" s="2"/>
      <c r="FP9" s="2"/>
      <c r="FQ9" s="2"/>
      <c r="FR9" s="2"/>
      <c r="FS9" s="2"/>
    </row>
    <row r="10" spans="1:175" ht="15" customHeight="1" thickBot="1">
      <c r="A10" s="51"/>
      <c r="B10" s="52"/>
      <c r="C10" s="52"/>
      <c r="D10" s="52"/>
      <c r="E10" s="52"/>
      <c r="F10" s="53"/>
      <c r="G10" s="15"/>
      <c r="H10" s="15"/>
      <c r="I10" s="64"/>
      <c r="J10" s="65"/>
      <c r="K10" s="65"/>
      <c r="L10" s="65"/>
      <c r="M10" s="65"/>
      <c r="N10" s="65"/>
      <c r="O10" s="65"/>
      <c r="P10" s="65"/>
      <c r="Q10" s="65"/>
      <c r="R10" s="66"/>
      <c r="S10" s="2"/>
      <c r="T10" s="2"/>
      <c r="U10" s="2"/>
      <c r="V10" s="2"/>
      <c r="W10" s="2"/>
      <c r="X10" s="2"/>
      <c r="Y10" s="2"/>
      <c r="Z10" s="51"/>
      <c r="AA10" s="52"/>
      <c r="AB10" s="52"/>
      <c r="AC10" s="52"/>
      <c r="AD10" s="52"/>
      <c r="AE10" s="53"/>
      <c r="AF10" s="15"/>
      <c r="AG10" s="15"/>
      <c r="AH10" s="64"/>
      <c r="AI10" s="65"/>
      <c r="AJ10" s="65"/>
      <c r="AK10" s="65"/>
      <c r="AL10" s="65"/>
      <c r="AM10" s="65"/>
      <c r="AN10" s="65"/>
      <c r="AO10" s="65"/>
      <c r="AP10" s="65"/>
      <c r="AQ10" s="66"/>
      <c r="AR10" s="2"/>
      <c r="AS10" s="2"/>
      <c r="AT10" s="2"/>
      <c r="AU10" s="2"/>
      <c r="AV10" s="2"/>
      <c r="AW10" s="2"/>
      <c r="AX10" s="2"/>
      <c r="AY10" s="51"/>
      <c r="AZ10" s="52"/>
      <c r="BA10" s="52"/>
      <c r="BB10" s="52"/>
      <c r="BC10" s="52"/>
      <c r="BD10" s="53"/>
      <c r="BE10" s="15"/>
      <c r="BF10" s="15"/>
      <c r="BG10" s="64"/>
      <c r="BH10" s="65"/>
      <c r="BI10" s="65"/>
      <c r="BJ10" s="65"/>
      <c r="BK10" s="65"/>
      <c r="BL10" s="65"/>
      <c r="BM10" s="65"/>
      <c r="BN10" s="65"/>
      <c r="BO10" s="65"/>
      <c r="BP10" s="66"/>
      <c r="BQ10" s="2"/>
      <c r="BR10" s="2"/>
      <c r="BS10" s="2"/>
      <c r="BT10" s="2"/>
      <c r="BU10" s="2"/>
      <c r="BV10" s="2"/>
      <c r="BW10" s="2"/>
      <c r="BX10" s="51"/>
      <c r="BY10" s="52"/>
      <c r="BZ10" s="52"/>
      <c r="CA10" s="52"/>
      <c r="CB10" s="52"/>
      <c r="CC10" s="53"/>
      <c r="CD10" s="15"/>
      <c r="CE10" s="15"/>
      <c r="CF10" s="64"/>
      <c r="CG10" s="65"/>
      <c r="CH10" s="65"/>
      <c r="CI10" s="65"/>
      <c r="CJ10" s="65"/>
      <c r="CK10" s="65"/>
      <c r="CL10" s="65"/>
      <c r="CM10" s="65"/>
      <c r="CN10" s="65"/>
      <c r="CO10" s="66"/>
      <c r="CP10" s="2"/>
      <c r="CQ10" s="2"/>
      <c r="CR10" s="2"/>
      <c r="CS10" s="2"/>
      <c r="CT10" s="2"/>
      <c r="CU10" s="2"/>
      <c r="CV10" s="2"/>
      <c r="CW10" s="51"/>
      <c r="CX10" s="52"/>
      <c r="CY10" s="52"/>
      <c r="CZ10" s="52"/>
      <c r="DA10" s="52"/>
      <c r="DB10" s="53"/>
      <c r="DC10" s="15"/>
      <c r="DD10" s="15"/>
      <c r="DE10" s="64"/>
      <c r="DF10" s="65"/>
      <c r="DG10" s="65"/>
      <c r="DH10" s="65"/>
      <c r="DI10" s="65"/>
      <c r="DJ10" s="65"/>
      <c r="DK10" s="65"/>
      <c r="DL10" s="65"/>
      <c r="DM10" s="65"/>
      <c r="DN10" s="66"/>
      <c r="DO10" s="2"/>
      <c r="DP10" s="2"/>
      <c r="DQ10" s="2"/>
      <c r="DR10" s="2"/>
      <c r="DS10" s="2"/>
      <c r="DT10" s="2"/>
      <c r="DU10" s="2"/>
      <c r="DV10" s="51"/>
      <c r="DW10" s="52"/>
      <c r="DX10" s="52"/>
      <c r="DY10" s="52"/>
      <c r="DZ10" s="52"/>
      <c r="EA10" s="53"/>
      <c r="EB10" s="15"/>
      <c r="EC10" s="15"/>
      <c r="ED10" s="64"/>
      <c r="EE10" s="65"/>
      <c r="EF10" s="65"/>
      <c r="EG10" s="65"/>
      <c r="EH10" s="65"/>
      <c r="EI10" s="65"/>
      <c r="EJ10" s="65"/>
      <c r="EK10" s="65"/>
      <c r="EL10" s="65"/>
      <c r="EM10" s="66"/>
      <c r="EN10" s="2"/>
      <c r="EO10" s="2"/>
      <c r="EP10" s="2"/>
      <c r="EQ10" s="2"/>
      <c r="ER10" s="2"/>
      <c r="ES10" s="2"/>
      <c r="ET10" s="2"/>
      <c r="EU10" s="51"/>
      <c r="EV10" s="52"/>
      <c r="EW10" s="52"/>
      <c r="EX10" s="52"/>
      <c r="EY10" s="52"/>
      <c r="EZ10" s="53"/>
      <c r="FA10" s="15"/>
      <c r="FB10" s="15"/>
      <c r="FC10" s="64"/>
      <c r="FD10" s="65"/>
      <c r="FE10" s="65"/>
      <c r="FF10" s="65"/>
      <c r="FG10" s="65"/>
      <c r="FH10" s="65"/>
      <c r="FI10" s="65"/>
      <c r="FJ10" s="65"/>
      <c r="FK10" s="65"/>
      <c r="FL10" s="66"/>
      <c r="FM10" s="2"/>
      <c r="FN10" s="2"/>
      <c r="FO10" s="2"/>
      <c r="FP10" s="2"/>
      <c r="FQ10" s="2"/>
      <c r="FR10" s="2"/>
      <c r="FS10" s="2"/>
    </row>
    <row r="11" spans="1:175" ht="15.75">
      <c r="A11" s="67" t="s">
        <v>1</v>
      </c>
      <c r="B11" s="68"/>
      <c r="C11" s="73" t="s">
        <v>6</v>
      </c>
      <c r="D11" s="67" t="s">
        <v>55</v>
      </c>
      <c r="E11" s="68"/>
      <c r="F11" s="76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67" t="s">
        <v>1</v>
      </c>
      <c r="AA11" s="68"/>
      <c r="AB11" s="73" t="s">
        <v>7</v>
      </c>
      <c r="AC11" s="67" t="s">
        <v>55</v>
      </c>
      <c r="AD11" s="68"/>
      <c r="AE11" s="76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67" t="s">
        <v>1</v>
      </c>
      <c r="AZ11" s="68"/>
      <c r="BA11" s="73" t="s">
        <v>9</v>
      </c>
      <c r="BB11" s="67" t="s">
        <v>55</v>
      </c>
      <c r="BC11" s="68"/>
      <c r="BD11" s="76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67" t="s">
        <v>1</v>
      </c>
      <c r="BY11" s="68"/>
      <c r="BZ11" s="73" t="s">
        <v>11</v>
      </c>
      <c r="CA11" s="67" t="s">
        <v>55</v>
      </c>
      <c r="CB11" s="68"/>
      <c r="CC11" s="76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67" t="s">
        <v>1</v>
      </c>
      <c r="CX11" s="68"/>
      <c r="CY11" s="73" t="s">
        <v>13</v>
      </c>
      <c r="CZ11" s="67" t="s">
        <v>55</v>
      </c>
      <c r="DA11" s="68"/>
      <c r="DB11" s="76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67" t="s">
        <v>1</v>
      </c>
      <c r="DW11" s="68"/>
      <c r="DX11" s="73" t="s">
        <v>6</v>
      </c>
      <c r="DY11" s="67" t="s">
        <v>55</v>
      </c>
      <c r="DZ11" s="68"/>
      <c r="EA11" s="76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67" t="s">
        <v>1</v>
      </c>
      <c r="EV11" s="68"/>
      <c r="EW11" s="73" t="s">
        <v>6</v>
      </c>
      <c r="EX11" s="67" t="s">
        <v>55</v>
      </c>
      <c r="EY11" s="68"/>
      <c r="EZ11" s="76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69"/>
      <c r="B12" s="70"/>
      <c r="C12" s="74"/>
      <c r="D12" s="69"/>
      <c r="E12" s="70"/>
      <c r="F12" s="77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69"/>
      <c r="AA12" s="70"/>
      <c r="AB12" s="74"/>
      <c r="AC12" s="69"/>
      <c r="AD12" s="70"/>
      <c r="AE12" s="77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69"/>
      <c r="AZ12" s="70"/>
      <c r="BA12" s="74"/>
      <c r="BB12" s="69"/>
      <c r="BC12" s="70"/>
      <c r="BD12" s="77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69"/>
      <c r="BY12" s="70"/>
      <c r="BZ12" s="74"/>
      <c r="CA12" s="69"/>
      <c r="CB12" s="70"/>
      <c r="CC12" s="77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69"/>
      <c r="CX12" s="70"/>
      <c r="CY12" s="74"/>
      <c r="CZ12" s="69"/>
      <c r="DA12" s="70"/>
      <c r="DB12" s="77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69"/>
      <c r="DW12" s="70"/>
      <c r="DX12" s="74"/>
      <c r="DY12" s="69"/>
      <c r="DZ12" s="70"/>
      <c r="EA12" s="77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69"/>
      <c r="EV12" s="70"/>
      <c r="EW12" s="74"/>
      <c r="EX12" s="69"/>
      <c r="EY12" s="70"/>
      <c r="EZ12" s="77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75">
      <c r="A13" s="69"/>
      <c r="B13" s="70"/>
      <c r="C13" s="74"/>
      <c r="D13" s="69"/>
      <c r="E13" s="70"/>
      <c r="F13" s="77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891</v>
      </c>
      <c r="P13" s="21"/>
      <c r="Q13" s="20">
        <f>M13*O13</f>
        <v>1782</v>
      </c>
      <c r="R13" s="21"/>
      <c r="S13" s="2"/>
      <c r="T13" s="2"/>
      <c r="U13" s="2"/>
      <c r="V13" s="2"/>
      <c r="W13" s="2"/>
      <c r="X13" s="2"/>
      <c r="Y13" s="2"/>
      <c r="Z13" s="69"/>
      <c r="AA13" s="70"/>
      <c r="AB13" s="74"/>
      <c r="AC13" s="69"/>
      <c r="AD13" s="70"/>
      <c r="AE13" s="77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891</v>
      </c>
      <c r="AO13" s="21"/>
      <c r="AP13" s="20">
        <f>AL13*AN13</f>
        <v>1782</v>
      </c>
      <c r="AQ13" s="21"/>
      <c r="AR13" s="2"/>
      <c r="AS13" s="2"/>
      <c r="AT13" s="2"/>
      <c r="AU13" s="2"/>
      <c r="AV13" s="2"/>
      <c r="AW13" s="2"/>
      <c r="AX13" s="2"/>
      <c r="AY13" s="69"/>
      <c r="AZ13" s="70"/>
      <c r="BA13" s="74"/>
      <c r="BB13" s="69"/>
      <c r="BC13" s="70"/>
      <c r="BD13" s="77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891</v>
      </c>
      <c r="BN13" s="21"/>
      <c r="BO13" s="20">
        <f>BK13*BM13</f>
        <v>1782</v>
      </c>
      <c r="BP13" s="21"/>
      <c r="BQ13" s="2"/>
      <c r="BR13" s="2"/>
      <c r="BS13" s="2"/>
      <c r="BT13" s="2"/>
      <c r="BU13" s="2"/>
      <c r="BV13" s="2"/>
      <c r="BW13" s="2"/>
      <c r="BX13" s="69"/>
      <c r="BY13" s="70"/>
      <c r="BZ13" s="74"/>
      <c r="CA13" s="69"/>
      <c r="CB13" s="70"/>
      <c r="CC13" s="77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891</v>
      </c>
      <c r="CM13" s="21"/>
      <c r="CN13" s="20">
        <f>CJ13*CL13</f>
        <v>1782</v>
      </c>
      <c r="CO13" s="21"/>
      <c r="CP13" s="2"/>
      <c r="CQ13" s="2"/>
      <c r="CR13" s="2"/>
      <c r="CS13" s="2"/>
      <c r="CT13" s="2"/>
      <c r="CU13" s="2"/>
      <c r="CV13" s="2"/>
      <c r="CW13" s="69"/>
      <c r="CX13" s="70"/>
      <c r="CY13" s="74"/>
      <c r="CZ13" s="69"/>
      <c r="DA13" s="70"/>
      <c r="DB13" s="77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891</v>
      </c>
      <c r="DL13" s="21"/>
      <c r="DM13" s="20">
        <f>DI13*DK13</f>
        <v>1782</v>
      </c>
      <c r="DN13" s="21"/>
      <c r="DO13" s="2"/>
      <c r="DP13" s="2"/>
      <c r="DQ13" s="2"/>
      <c r="DR13" s="2"/>
      <c r="DS13" s="2"/>
      <c r="DT13" s="2"/>
      <c r="DU13" s="2"/>
      <c r="DV13" s="69"/>
      <c r="DW13" s="70"/>
      <c r="DX13" s="74"/>
      <c r="DY13" s="69"/>
      <c r="DZ13" s="70"/>
      <c r="EA13" s="77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891</v>
      </c>
      <c r="EK13" s="21"/>
      <c r="EL13" s="20">
        <f>EH13*EJ13</f>
        <v>1782</v>
      </c>
      <c r="EM13" s="21"/>
      <c r="EN13" s="2"/>
      <c r="EO13" s="2"/>
      <c r="EP13" s="2"/>
      <c r="EQ13" s="2"/>
      <c r="ER13" s="2"/>
      <c r="ES13" s="2"/>
      <c r="ET13" s="2"/>
      <c r="EU13" s="69"/>
      <c r="EV13" s="70"/>
      <c r="EW13" s="74"/>
      <c r="EX13" s="69"/>
      <c r="EY13" s="70"/>
      <c r="EZ13" s="77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891</v>
      </c>
      <c r="FJ13" s="21"/>
      <c r="FK13" s="20">
        <f>FG13*FI13</f>
        <v>1782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71"/>
      <c r="B14" s="72"/>
      <c r="C14" s="75"/>
      <c r="D14" s="71"/>
      <c r="E14" s="72"/>
      <c r="F14" s="78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71"/>
      <c r="AA14" s="72"/>
      <c r="AB14" s="75"/>
      <c r="AC14" s="71"/>
      <c r="AD14" s="72"/>
      <c r="AE14" s="78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71"/>
      <c r="AZ14" s="72"/>
      <c r="BA14" s="75"/>
      <c r="BB14" s="71"/>
      <c r="BC14" s="72"/>
      <c r="BD14" s="78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71"/>
      <c r="BY14" s="72"/>
      <c r="BZ14" s="75"/>
      <c r="CA14" s="71"/>
      <c r="CB14" s="72"/>
      <c r="CC14" s="78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71"/>
      <c r="CX14" s="72"/>
      <c r="CY14" s="75"/>
      <c r="CZ14" s="71"/>
      <c r="DA14" s="72"/>
      <c r="DB14" s="78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71"/>
      <c r="DW14" s="72"/>
      <c r="DX14" s="75"/>
      <c r="DY14" s="71"/>
      <c r="DZ14" s="72"/>
      <c r="EA14" s="78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71"/>
      <c r="EV14" s="72"/>
      <c r="EW14" s="75"/>
      <c r="EX14" s="71"/>
      <c r="EY14" s="72"/>
      <c r="EZ14" s="78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67" t="s">
        <v>15</v>
      </c>
      <c r="B15" s="68"/>
      <c r="C15" s="73" t="s">
        <v>18</v>
      </c>
      <c r="D15" s="67" t="s">
        <v>55</v>
      </c>
      <c r="E15" s="68"/>
      <c r="F15" s="76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67" t="s">
        <v>15</v>
      </c>
      <c r="AA15" s="68"/>
      <c r="AB15" s="73" t="s">
        <v>20</v>
      </c>
      <c r="AC15" s="67" t="s">
        <v>55</v>
      </c>
      <c r="AD15" s="68"/>
      <c r="AE15" s="76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67" t="s">
        <v>15</v>
      </c>
      <c r="AZ15" s="68"/>
      <c r="BA15" s="73" t="s">
        <v>22</v>
      </c>
      <c r="BB15" s="67" t="s">
        <v>55</v>
      </c>
      <c r="BC15" s="68"/>
      <c r="BD15" s="76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67" t="s">
        <v>15</v>
      </c>
      <c r="BY15" s="68"/>
      <c r="BZ15" s="73" t="s">
        <v>24</v>
      </c>
      <c r="CA15" s="67" t="s">
        <v>55</v>
      </c>
      <c r="CB15" s="68"/>
      <c r="CC15" s="76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67" t="s">
        <v>15</v>
      </c>
      <c r="CX15" s="68"/>
      <c r="CY15" s="73" t="s">
        <v>26</v>
      </c>
      <c r="CZ15" s="67" t="s">
        <v>55</v>
      </c>
      <c r="DA15" s="68"/>
      <c r="DB15" s="76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67" t="s">
        <v>15</v>
      </c>
      <c r="DW15" s="68"/>
      <c r="DX15" s="73" t="s">
        <v>18</v>
      </c>
      <c r="DY15" s="67" t="s">
        <v>55</v>
      </c>
      <c r="DZ15" s="68"/>
      <c r="EA15" s="76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67" t="s">
        <v>15</v>
      </c>
      <c r="EV15" s="68"/>
      <c r="EW15" s="73" t="s">
        <v>18</v>
      </c>
      <c r="EX15" s="67" t="s">
        <v>55</v>
      </c>
      <c r="EY15" s="68"/>
      <c r="EZ15" s="76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75">
      <c r="A16" s="69"/>
      <c r="B16" s="70"/>
      <c r="C16" s="74"/>
      <c r="D16" s="69"/>
      <c r="E16" s="70"/>
      <c r="F16" s="77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1296</v>
      </c>
      <c r="P16" s="21"/>
      <c r="Q16" s="20">
        <f>M16*O16</f>
        <v>1296</v>
      </c>
      <c r="R16" s="21"/>
      <c r="S16" s="2"/>
      <c r="T16" s="2"/>
      <c r="U16" s="2"/>
      <c r="V16" s="2"/>
      <c r="W16" s="2"/>
      <c r="X16" s="2"/>
      <c r="Y16" s="2"/>
      <c r="Z16" s="69"/>
      <c r="AA16" s="70"/>
      <c r="AB16" s="74"/>
      <c r="AC16" s="69"/>
      <c r="AD16" s="70"/>
      <c r="AE16" s="77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1296</v>
      </c>
      <c r="AO16" s="21"/>
      <c r="AP16" s="20">
        <f>AL16*AN16</f>
        <v>1296</v>
      </c>
      <c r="AQ16" s="21"/>
      <c r="AR16" s="2"/>
      <c r="AS16" s="2"/>
      <c r="AT16" s="2"/>
      <c r="AU16" s="2"/>
      <c r="AV16" s="2"/>
      <c r="AW16" s="2"/>
      <c r="AX16" s="2"/>
      <c r="AY16" s="69"/>
      <c r="AZ16" s="70"/>
      <c r="BA16" s="74"/>
      <c r="BB16" s="69"/>
      <c r="BC16" s="70"/>
      <c r="BD16" s="77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1296</v>
      </c>
      <c r="BN16" s="21"/>
      <c r="BO16" s="20">
        <f>BK16*BM16</f>
        <v>1296</v>
      </c>
      <c r="BP16" s="21"/>
      <c r="BQ16" s="2"/>
      <c r="BR16" s="2"/>
      <c r="BS16" s="2"/>
      <c r="BT16" s="2"/>
      <c r="BU16" s="2"/>
      <c r="BV16" s="2"/>
      <c r="BW16" s="2"/>
      <c r="BX16" s="69"/>
      <c r="BY16" s="70"/>
      <c r="BZ16" s="74"/>
      <c r="CA16" s="69"/>
      <c r="CB16" s="70"/>
      <c r="CC16" s="77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1296</v>
      </c>
      <c r="CM16" s="21"/>
      <c r="CN16" s="20">
        <f>CJ16*CL16</f>
        <v>1296</v>
      </c>
      <c r="CO16" s="21"/>
      <c r="CP16" s="2"/>
      <c r="CQ16" s="2"/>
      <c r="CR16" s="2"/>
      <c r="CS16" s="2"/>
      <c r="CT16" s="2"/>
      <c r="CU16" s="2"/>
      <c r="CV16" s="2"/>
      <c r="CW16" s="69"/>
      <c r="CX16" s="70"/>
      <c r="CY16" s="74"/>
      <c r="CZ16" s="69"/>
      <c r="DA16" s="70"/>
      <c r="DB16" s="77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1296</v>
      </c>
      <c r="DL16" s="21"/>
      <c r="DM16" s="20">
        <f>DI16*DK16</f>
        <v>1296</v>
      </c>
      <c r="DN16" s="21"/>
      <c r="DO16" s="2"/>
      <c r="DP16" s="2"/>
      <c r="DQ16" s="2"/>
      <c r="DR16" s="2"/>
      <c r="DS16" s="2"/>
      <c r="DT16" s="2"/>
      <c r="DU16" s="2"/>
      <c r="DV16" s="69"/>
      <c r="DW16" s="70"/>
      <c r="DX16" s="74"/>
      <c r="DY16" s="69"/>
      <c r="DZ16" s="70"/>
      <c r="EA16" s="77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1296</v>
      </c>
      <c r="EK16" s="21"/>
      <c r="EL16" s="20">
        <f>EH16*EJ16</f>
        <v>1296</v>
      </c>
      <c r="EM16" s="21"/>
      <c r="EN16" s="2"/>
      <c r="EO16" s="2"/>
      <c r="EP16" s="2"/>
      <c r="EQ16" s="2"/>
      <c r="ER16" s="2"/>
      <c r="ES16" s="2"/>
      <c r="ET16" s="2"/>
      <c r="EU16" s="69"/>
      <c r="EV16" s="70"/>
      <c r="EW16" s="74"/>
      <c r="EX16" s="69"/>
      <c r="EY16" s="70"/>
      <c r="EZ16" s="77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1296</v>
      </c>
      <c r="FJ16" s="21"/>
      <c r="FK16" s="20">
        <f>FG16*FI16</f>
        <v>1296</v>
      </c>
      <c r="FL16" s="21"/>
      <c r="FM16" s="2"/>
      <c r="FN16" s="2"/>
      <c r="FO16" s="2"/>
      <c r="FP16" s="2"/>
      <c r="FQ16" s="2"/>
      <c r="FR16" s="2"/>
      <c r="FS16" s="2"/>
    </row>
    <row r="17" spans="1:175" ht="15.75">
      <c r="A17" s="69"/>
      <c r="B17" s="70"/>
      <c r="C17" s="74"/>
      <c r="D17" s="69"/>
      <c r="E17" s="70"/>
      <c r="F17" s="77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69"/>
      <c r="AA17" s="70"/>
      <c r="AB17" s="74"/>
      <c r="AC17" s="69"/>
      <c r="AD17" s="70"/>
      <c r="AE17" s="77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69"/>
      <c r="AZ17" s="70"/>
      <c r="BA17" s="74"/>
      <c r="BB17" s="69"/>
      <c r="BC17" s="70"/>
      <c r="BD17" s="77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69"/>
      <c r="BY17" s="70"/>
      <c r="BZ17" s="74"/>
      <c r="CA17" s="69"/>
      <c r="CB17" s="70"/>
      <c r="CC17" s="77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69"/>
      <c r="CX17" s="70"/>
      <c r="CY17" s="74"/>
      <c r="CZ17" s="69"/>
      <c r="DA17" s="70"/>
      <c r="DB17" s="77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69"/>
      <c r="DW17" s="70"/>
      <c r="DX17" s="74"/>
      <c r="DY17" s="69"/>
      <c r="DZ17" s="70"/>
      <c r="EA17" s="77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69"/>
      <c r="EV17" s="70"/>
      <c r="EW17" s="74"/>
      <c r="EX17" s="69"/>
      <c r="EY17" s="70"/>
      <c r="EZ17" s="77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71"/>
      <c r="B18" s="72"/>
      <c r="C18" s="75"/>
      <c r="D18" s="71"/>
      <c r="E18" s="72"/>
      <c r="F18" s="78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71"/>
      <c r="AA18" s="72"/>
      <c r="AB18" s="75"/>
      <c r="AC18" s="71"/>
      <c r="AD18" s="72"/>
      <c r="AE18" s="78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71"/>
      <c r="AZ18" s="72"/>
      <c r="BA18" s="75"/>
      <c r="BB18" s="71"/>
      <c r="BC18" s="72"/>
      <c r="BD18" s="78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71"/>
      <c r="BY18" s="72"/>
      <c r="BZ18" s="75"/>
      <c r="CA18" s="71"/>
      <c r="CB18" s="72"/>
      <c r="CC18" s="78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71"/>
      <c r="CX18" s="72"/>
      <c r="CY18" s="75"/>
      <c r="CZ18" s="71"/>
      <c r="DA18" s="72"/>
      <c r="DB18" s="78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71"/>
      <c r="DW18" s="72"/>
      <c r="DX18" s="75"/>
      <c r="DY18" s="71"/>
      <c r="DZ18" s="72"/>
      <c r="EA18" s="78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71"/>
      <c r="EV18" s="72"/>
      <c r="EW18" s="75"/>
      <c r="EX18" s="71"/>
      <c r="EY18" s="72"/>
      <c r="EZ18" s="78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75">
      <c r="A19" s="67" t="s">
        <v>27</v>
      </c>
      <c r="B19" s="68"/>
      <c r="C19" s="73" t="s">
        <v>28</v>
      </c>
      <c r="D19" s="67" t="s">
        <v>55</v>
      </c>
      <c r="E19" s="68"/>
      <c r="F19" s="76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648</v>
      </c>
      <c r="P19" s="21"/>
      <c r="Q19" s="20">
        <f>M19*O19</f>
        <v>648</v>
      </c>
      <c r="R19" s="21"/>
      <c r="S19" s="2"/>
      <c r="T19" s="2"/>
      <c r="U19" s="2"/>
      <c r="V19" s="2"/>
      <c r="W19" s="2"/>
      <c r="X19" s="2"/>
      <c r="Y19" s="2"/>
      <c r="Z19" s="67" t="s">
        <v>27</v>
      </c>
      <c r="AA19" s="68"/>
      <c r="AB19" s="73" t="s">
        <v>29</v>
      </c>
      <c r="AC19" s="67" t="s">
        <v>55</v>
      </c>
      <c r="AD19" s="68"/>
      <c r="AE19" s="76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648</v>
      </c>
      <c r="AO19" s="21"/>
      <c r="AP19" s="20">
        <f>AL19*AN19</f>
        <v>648</v>
      </c>
      <c r="AQ19" s="21"/>
      <c r="AR19" s="2"/>
      <c r="AS19" s="2"/>
      <c r="AT19" s="2"/>
      <c r="AU19" s="2"/>
      <c r="AV19" s="2"/>
      <c r="AW19" s="2"/>
      <c r="AX19" s="2"/>
      <c r="AY19" s="67" t="s">
        <v>27</v>
      </c>
      <c r="AZ19" s="68"/>
      <c r="BA19" s="73" t="s">
        <v>30</v>
      </c>
      <c r="BB19" s="67" t="s">
        <v>55</v>
      </c>
      <c r="BC19" s="68"/>
      <c r="BD19" s="76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648</v>
      </c>
      <c r="BN19" s="21"/>
      <c r="BO19" s="20">
        <f>BK19*BM19</f>
        <v>648</v>
      </c>
      <c r="BP19" s="21"/>
      <c r="BQ19" s="2"/>
      <c r="BR19" s="2"/>
      <c r="BS19" s="2"/>
      <c r="BT19" s="2"/>
      <c r="BU19" s="2"/>
      <c r="BV19" s="2"/>
      <c r="BW19" s="2"/>
      <c r="BX19" s="67" t="s">
        <v>27</v>
      </c>
      <c r="BY19" s="68"/>
      <c r="BZ19" s="73" t="s">
        <v>31</v>
      </c>
      <c r="CA19" s="67" t="s">
        <v>55</v>
      </c>
      <c r="CB19" s="68"/>
      <c r="CC19" s="76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648</v>
      </c>
      <c r="CM19" s="21"/>
      <c r="CN19" s="20">
        <f>CJ19*CL19</f>
        <v>648</v>
      </c>
      <c r="CO19" s="21"/>
      <c r="CP19" s="2"/>
      <c r="CQ19" s="2"/>
      <c r="CR19" s="2"/>
      <c r="CS19" s="2"/>
      <c r="CT19" s="2"/>
      <c r="CU19" s="2"/>
      <c r="CV19" s="2"/>
      <c r="CW19" s="67" t="s">
        <v>27</v>
      </c>
      <c r="CX19" s="68"/>
      <c r="CY19" s="73" t="s">
        <v>32</v>
      </c>
      <c r="CZ19" s="67" t="s">
        <v>55</v>
      </c>
      <c r="DA19" s="68"/>
      <c r="DB19" s="76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648</v>
      </c>
      <c r="DL19" s="21"/>
      <c r="DM19" s="20">
        <f>DI19*DK19</f>
        <v>648</v>
      </c>
      <c r="DN19" s="21"/>
      <c r="DO19" s="2"/>
      <c r="DP19" s="2"/>
      <c r="DQ19" s="2"/>
      <c r="DR19" s="2"/>
      <c r="DS19" s="2"/>
      <c r="DT19" s="2"/>
      <c r="DU19" s="2"/>
      <c r="DV19" s="67" t="s">
        <v>27</v>
      </c>
      <c r="DW19" s="68"/>
      <c r="DX19" s="73" t="s">
        <v>28</v>
      </c>
      <c r="DY19" s="67" t="s">
        <v>55</v>
      </c>
      <c r="DZ19" s="68"/>
      <c r="EA19" s="76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648</v>
      </c>
      <c r="EK19" s="21"/>
      <c r="EL19" s="20">
        <f>EH19*EJ19</f>
        <v>648</v>
      </c>
      <c r="EM19" s="21"/>
      <c r="EN19" s="2"/>
      <c r="EO19" s="2"/>
      <c r="EP19" s="2"/>
      <c r="EQ19" s="2"/>
      <c r="ER19" s="2"/>
      <c r="ES19" s="2"/>
      <c r="ET19" s="2"/>
      <c r="EU19" s="67" t="s">
        <v>27</v>
      </c>
      <c r="EV19" s="68"/>
      <c r="EW19" s="73" t="s">
        <v>28</v>
      </c>
      <c r="EX19" s="67" t="s">
        <v>55</v>
      </c>
      <c r="EY19" s="68"/>
      <c r="EZ19" s="76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648</v>
      </c>
      <c r="FJ19" s="21"/>
      <c r="FK19" s="20">
        <f>FG19*FI19</f>
        <v>648</v>
      </c>
      <c r="FL19" s="21"/>
      <c r="FM19" s="2"/>
      <c r="FN19" s="2"/>
      <c r="FO19" s="2"/>
      <c r="FP19" s="2"/>
      <c r="FQ19" s="2"/>
      <c r="FR19" s="2"/>
      <c r="FS19" s="2"/>
    </row>
    <row r="20" spans="1:175" ht="15.75">
      <c r="A20" s="69"/>
      <c r="B20" s="70"/>
      <c r="C20" s="74"/>
      <c r="D20" s="69"/>
      <c r="E20" s="70"/>
      <c r="F20" s="77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69"/>
      <c r="AA20" s="70"/>
      <c r="AB20" s="74"/>
      <c r="AC20" s="69"/>
      <c r="AD20" s="70"/>
      <c r="AE20" s="77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69"/>
      <c r="AZ20" s="70"/>
      <c r="BA20" s="74"/>
      <c r="BB20" s="69"/>
      <c r="BC20" s="70"/>
      <c r="BD20" s="77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69"/>
      <c r="BY20" s="70"/>
      <c r="BZ20" s="74"/>
      <c r="CA20" s="69"/>
      <c r="CB20" s="70"/>
      <c r="CC20" s="77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69"/>
      <c r="CX20" s="70"/>
      <c r="CY20" s="74"/>
      <c r="CZ20" s="69"/>
      <c r="DA20" s="70"/>
      <c r="DB20" s="77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69"/>
      <c r="DW20" s="70"/>
      <c r="DX20" s="74"/>
      <c r="DY20" s="69"/>
      <c r="DZ20" s="70"/>
      <c r="EA20" s="77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69"/>
      <c r="EV20" s="70"/>
      <c r="EW20" s="74"/>
      <c r="EX20" s="69"/>
      <c r="EY20" s="70"/>
      <c r="EZ20" s="77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69"/>
      <c r="B21" s="70"/>
      <c r="C21" s="74"/>
      <c r="D21" s="69"/>
      <c r="E21" s="70"/>
      <c r="F21" s="77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69"/>
      <c r="AA21" s="70"/>
      <c r="AB21" s="74"/>
      <c r="AC21" s="69"/>
      <c r="AD21" s="70"/>
      <c r="AE21" s="77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69"/>
      <c r="AZ21" s="70"/>
      <c r="BA21" s="74"/>
      <c r="BB21" s="69"/>
      <c r="BC21" s="70"/>
      <c r="BD21" s="77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69"/>
      <c r="BY21" s="70"/>
      <c r="BZ21" s="74"/>
      <c r="CA21" s="69"/>
      <c r="CB21" s="70"/>
      <c r="CC21" s="77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69"/>
      <c r="CX21" s="70"/>
      <c r="CY21" s="74"/>
      <c r="CZ21" s="69"/>
      <c r="DA21" s="70"/>
      <c r="DB21" s="77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69"/>
      <c r="DW21" s="70"/>
      <c r="DX21" s="74"/>
      <c r="DY21" s="69"/>
      <c r="DZ21" s="70"/>
      <c r="EA21" s="77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69"/>
      <c r="EV21" s="70"/>
      <c r="EW21" s="74"/>
      <c r="EX21" s="69"/>
      <c r="EY21" s="70"/>
      <c r="EZ21" s="77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71"/>
      <c r="B22" s="72"/>
      <c r="C22" s="75"/>
      <c r="D22" s="71"/>
      <c r="E22" s="72"/>
      <c r="F22" s="78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1587.6000000000001</v>
      </c>
      <c r="P22" s="21"/>
      <c r="Q22" s="20">
        <f>M22*O22</f>
        <v>1587.6000000000001</v>
      </c>
      <c r="R22" s="21"/>
      <c r="S22" s="2"/>
      <c r="T22" s="2"/>
      <c r="U22" s="2"/>
      <c r="V22" s="2"/>
      <c r="W22" s="2"/>
      <c r="X22" s="2"/>
      <c r="Y22" s="2"/>
      <c r="Z22" s="71"/>
      <c r="AA22" s="72"/>
      <c r="AB22" s="75"/>
      <c r="AC22" s="71"/>
      <c r="AD22" s="72"/>
      <c r="AE22" s="78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1587.6000000000001</v>
      </c>
      <c r="AO22" s="21"/>
      <c r="AP22" s="20">
        <f>AL22*AN22</f>
        <v>1587.6000000000001</v>
      </c>
      <c r="AQ22" s="21"/>
      <c r="AR22" s="2"/>
      <c r="AS22" s="2"/>
      <c r="AT22" s="2"/>
      <c r="AU22" s="2"/>
      <c r="AV22" s="2"/>
      <c r="AW22" s="2"/>
      <c r="AX22" s="2"/>
      <c r="AY22" s="71"/>
      <c r="AZ22" s="72"/>
      <c r="BA22" s="75"/>
      <c r="BB22" s="71"/>
      <c r="BC22" s="72"/>
      <c r="BD22" s="78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1587.6000000000001</v>
      </c>
      <c r="BN22" s="21"/>
      <c r="BO22" s="20">
        <f>BK22*BM22</f>
        <v>1587.6000000000001</v>
      </c>
      <c r="BP22" s="21"/>
      <c r="BQ22" s="2"/>
      <c r="BR22" s="2"/>
      <c r="BS22" s="2"/>
      <c r="BT22" s="2"/>
      <c r="BU22" s="2"/>
      <c r="BV22" s="2"/>
      <c r="BW22" s="2"/>
      <c r="BX22" s="71"/>
      <c r="BY22" s="72"/>
      <c r="BZ22" s="75"/>
      <c r="CA22" s="71"/>
      <c r="CB22" s="72"/>
      <c r="CC22" s="78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1587.6000000000001</v>
      </c>
      <c r="CM22" s="21"/>
      <c r="CN22" s="20">
        <f>CJ22*CL22</f>
        <v>1587.6000000000001</v>
      </c>
      <c r="CO22" s="21"/>
      <c r="CP22" s="2"/>
      <c r="CQ22" s="2"/>
      <c r="CR22" s="2"/>
      <c r="CS22" s="2"/>
      <c r="CT22" s="2"/>
      <c r="CU22" s="2"/>
      <c r="CV22" s="2"/>
      <c r="CW22" s="71"/>
      <c r="CX22" s="72"/>
      <c r="CY22" s="75"/>
      <c r="CZ22" s="71"/>
      <c r="DA22" s="72"/>
      <c r="DB22" s="78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1587.6000000000001</v>
      </c>
      <c r="DL22" s="21"/>
      <c r="DM22" s="20">
        <f>DI22*DK22</f>
        <v>1587.6000000000001</v>
      </c>
      <c r="DN22" s="21"/>
      <c r="DO22" s="2"/>
      <c r="DP22" s="2"/>
      <c r="DQ22" s="2"/>
      <c r="DR22" s="2"/>
      <c r="DS22" s="2"/>
      <c r="DT22" s="2"/>
      <c r="DU22" s="2"/>
      <c r="DV22" s="71"/>
      <c r="DW22" s="72"/>
      <c r="DX22" s="75"/>
      <c r="DY22" s="71"/>
      <c r="DZ22" s="72"/>
      <c r="EA22" s="78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1587.6000000000001</v>
      </c>
      <c r="EK22" s="21"/>
      <c r="EL22" s="20">
        <f>EH22*EJ22</f>
        <v>1587.6000000000001</v>
      </c>
      <c r="EM22" s="21"/>
      <c r="EN22" s="2"/>
      <c r="EO22" s="2"/>
      <c r="EP22" s="2"/>
      <c r="EQ22" s="2"/>
      <c r="ER22" s="2"/>
      <c r="ES22" s="2"/>
      <c r="ET22" s="2"/>
      <c r="EU22" s="71"/>
      <c r="EV22" s="72"/>
      <c r="EW22" s="75"/>
      <c r="EX22" s="71"/>
      <c r="EY22" s="72"/>
      <c r="EZ22" s="78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1587.6000000000001</v>
      </c>
      <c r="FJ22" s="21"/>
      <c r="FK22" s="20">
        <f>FG22*FI22</f>
        <v>1587.6000000000001</v>
      </c>
      <c r="FL22" s="21"/>
      <c r="FM22" s="2"/>
      <c r="FN22" s="2"/>
      <c r="FO22" s="2"/>
      <c r="FP22" s="2"/>
      <c r="FQ22" s="2"/>
      <c r="FR22" s="2"/>
      <c r="FS22" s="2"/>
    </row>
    <row r="23" spans="1:175" ht="15.7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7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1620</v>
      </c>
      <c r="P25" s="21"/>
      <c r="Q25" s="20">
        <f>M25*O25</f>
        <v>3240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1620</v>
      </c>
      <c r="AO25" s="21"/>
      <c r="AP25" s="20">
        <f>AL25*AN25</f>
        <v>3240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1620</v>
      </c>
      <c r="BN25" s="21"/>
      <c r="BO25" s="20">
        <f>BK25*BM25</f>
        <v>3240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1620</v>
      </c>
      <c r="CM25" s="21"/>
      <c r="CN25" s="20">
        <f>CJ25*CL25</f>
        <v>3240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1620</v>
      </c>
      <c r="DL25" s="21"/>
      <c r="DM25" s="20">
        <f>DI25*DK25</f>
        <v>3240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1620</v>
      </c>
      <c r="EK25" s="21"/>
      <c r="EL25" s="20">
        <f>EH25*EJ25</f>
        <v>3240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1620</v>
      </c>
      <c r="FJ25" s="21"/>
      <c r="FK25" s="20">
        <f>FG25*FI25</f>
        <v>3240</v>
      </c>
      <c r="FL25" s="21"/>
      <c r="FM25" s="2"/>
      <c r="FN25" s="2"/>
      <c r="FO25" s="2"/>
      <c r="FP25" s="2"/>
      <c r="FQ25" s="2"/>
      <c r="FR25" s="2"/>
      <c r="FS25" s="2"/>
    </row>
    <row r="26" spans="1:175" ht="15.7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7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1620</v>
      </c>
      <c r="P28" s="21"/>
      <c r="Q28" s="20">
        <f>M28*O28</f>
        <v>1620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1620</v>
      </c>
      <c r="AO28" s="21"/>
      <c r="AP28" s="20">
        <f>AL28*AN28</f>
        <v>1620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1620</v>
      </c>
      <c r="BN28" s="21"/>
      <c r="BO28" s="20">
        <f>BK28*BM28</f>
        <v>1620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1620</v>
      </c>
      <c r="CM28" s="21"/>
      <c r="CN28" s="20">
        <f>CJ28*CL28</f>
        <v>1620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1620</v>
      </c>
      <c r="DL28" s="21"/>
      <c r="DM28" s="20">
        <f>DI28*DK28</f>
        <v>1620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1620</v>
      </c>
      <c r="EK28" s="21"/>
      <c r="EL28" s="20">
        <f>EH28*EJ28</f>
        <v>1620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1620</v>
      </c>
      <c r="FJ28" s="21"/>
      <c r="FK28" s="20">
        <f>FG28*FI28</f>
        <v>1620</v>
      </c>
      <c r="FL28" s="21"/>
      <c r="FM28" s="2"/>
      <c r="FN28" s="2"/>
      <c r="FO28" s="2"/>
      <c r="FP28" s="2"/>
      <c r="FQ28" s="2"/>
      <c r="FR28" s="2"/>
      <c r="FS28" s="2"/>
    </row>
    <row r="29" spans="1:175" ht="15.7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75">
      <c r="A33" s="2"/>
      <c r="B33" s="2"/>
      <c r="C33" s="48" t="s">
        <v>61</v>
      </c>
      <c r="D33" s="49"/>
      <c r="E33" s="49"/>
      <c r="F33" s="50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8" t="s">
        <v>62</v>
      </c>
      <c r="AC33" s="49"/>
      <c r="AD33" s="49"/>
      <c r="AE33" s="50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48" t="s">
        <v>63</v>
      </c>
      <c r="BB33" s="49"/>
      <c r="BC33" s="49"/>
      <c r="BD33" s="50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8" t="s">
        <v>64</v>
      </c>
      <c r="CA33" s="49"/>
      <c r="CB33" s="49"/>
      <c r="CC33" s="50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48" t="s">
        <v>65</v>
      </c>
      <c r="CZ33" s="49"/>
      <c r="DA33" s="49"/>
      <c r="DB33" s="50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48" t="s">
        <v>66</v>
      </c>
      <c r="DY33" s="49"/>
      <c r="DZ33" s="49"/>
      <c r="EA33" s="50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48" t="s">
        <v>67</v>
      </c>
      <c r="EX33" s="49"/>
      <c r="EY33" s="49"/>
      <c r="EZ33" s="50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9.5" thickBot="1">
      <c r="A34" s="2"/>
      <c r="B34" s="2"/>
      <c r="C34" s="51"/>
      <c r="D34" s="52"/>
      <c r="E34" s="52"/>
      <c r="F34" s="53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51"/>
      <c r="AC34" s="52"/>
      <c r="AD34" s="52"/>
      <c r="AE34" s="53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51"/>
      <c r="BB34" s="52"/>
      <c r="BC34" s="52"/>
      <c r="BD34" s="53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1"/>
      <c r="CA34" s="52"/>
      <c r="CB34" s="52"/>
      <c r="CC34" s="53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51"/>
      <c r="CZ34" s="52"/>
      <c r="DA34" s="52"/>
      <c r="DB34" s="53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51"/>
      <c r="DY34" s="52"/>
      <c r="DZ34" s="52"/>
      <c r="EA34" s="53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51"/>
      <c r="EX34" s="52"/>
      <c r="EY34" s="52"/>
      <c r="EZ34" s="53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54" t="s">
        <v>68</v>
      </c>
      <c r="D35" s="54">
        <f>F11+F15+F19</f>
        <v>1110</v>
      </c>
      <c r="E35" s="54" t="s">
        <v>69</v>
      </c>
      <c r="F35" s="54">
        <f>D35-D39</f>
        <v>-9063.6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54" t="s">
        <v>68</v>
      </c>
      <c r="AC35" s="54">
        <f>AE11+AE15+AE19</f>
        <v>1165</v>
      </c>
      <c r="AD35" s="54" t="s">
        <v>69</v>
      </c>
      <c r="AE35" s="54">
        <f>AC35-AC39</f>
        <v>-9008.6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54" t="s">
        <v>68</v>
      </c>
      <c r="BB35" s="54">
        <f>BD11+BD15+BD19</f>
        <v>1270</v>
      </c>
      <c r="BC35" s="54" t="s">
        <v>69</v>
      </c>
      <c r="BD35" s="54">
        <f>BB35-BB39</f>
        <v>-8903.6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4" t="s">
        <v>68</v>
      </c>
      <c r="CA35" s="54">
        <f>CC11+CC15+CC19</f>
        <v>1170</v>
      </c>
      <c r="CB35" s="54" t="s">
        <v>69</v>
      </c>
      <c r="CC35" s="54">
        <f>CA35-CA39</f>
        <v>-9003.6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54" t="s">
        <v>68</v>
      </c>
      <c r="CZ35" s="54">
        <f>DB11+DB15+DB19</f>
        <v>1120</v>
      </c>
      <c r="DA35" s="54" t="s">
        <v>69</v>
      </c>
      <c r="DB35" s="54">
        <f>CZ35-CZ39</f>
        <v>-9053.6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54" t="s">
        <v>68</v>
      </c>
      <c r="DY35" s="54">
        <f>EA11+EA15+EA19</f>
        <v>1110</v>
      </c>
      <c r="DZ35" s="54" t="s">
        <v>69</v>
      </c>
      <c r="EA35" s="54">
        <f>DY35-DY39</f>
        <v>-9063.6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54" t="s">
        <v>68</v>
      </c>
      <c r="EX35" s="54">
        <f>EZ11+EZ15+EZ19</f>
        <v>1110</v>
      </c>
      <c r="EY35" s="54" t="s">
        <v>69</v>
      </c>
      <c r="EZ35" s="54">
        <f>EX35-EX39</f>
        <v>-9063.6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54"/>
      <c r="D36" s="54"/>
      <c r="E36" s="54"/>
      <c r="F36" s="54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54"/>
      <c r="AC36" s="54"/>
      <c r="AD36" s="54"/>
      <c r="AE36" s="54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54"/>
      <c r="BB36" s="54"/>
      <c r="BC36" s="54"/>
      <c r="BD36" s="54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4"/>
      <c r="CA36" s="54"/>
      <c r="CB36" s="54"/>
      <c r="CC36" s="54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54"/>
      <c r="CZ36" s="54"/>
      <c r="DA36" s="54"/>
      <c r="DB36" s="54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54"/>
      <c r="DY36" s="54"/>
      <c r="DZ36" s="54"/>
      <c r="EA36" s="54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54"/>
      <c r="EX36" s="54"/>
      <c r="EY36" s="54"/>
      <c r="EZ36" s="54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54"/>
      <c r="D37" s="54"/>
      <c r="E37" s="54"/>
      <c r="F37" s="54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4"/>
      <c r="AC37" s="54"/>
      <c r="AD37" s="54"/>
      <c r="AE37" s="54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54"/>
      <c r="BB37" s="54"/>
      <c r="BC37" s="54"/>
      <c r="BD37" s="54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4"/>
      <c r="CA37" s="54"/>
      <c r="CB37" s="54"/>
      <c r="CC37" s="54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54"/>
      <c r="CZ37" s="54"/>
      <c r="DA37" s="54"/>
      <c r="DB37" s="54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54"/>
      <c r="DY37" s="54"/>
      <c r="DZ37" s="54"/>
      <c r="EA37" s="54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54"/>
      <c r="EX37" s="54"/>
      <c r="EY37" s="54"/>
      <c r="EZ37" s="54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55"/>
      <c r="D38" s="55"/>
      <c r="E38" s="55"/>
      <c r="F38" s="55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55"/>
      <c r="AC38" s="55"/>
      <c r="AD38" s="55"/>
      <c r="AE38" s="55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55"/>
      <c r="BB38" s="55"/>
      <c r="BC38" s="55"/>
      <c r="BD38" s="55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5"/>
      <c r="CA38" s="55"/>
      <c r="CB38" s="55"/>
      <c r="CC38" s="55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55"/>
      <c r="CZ38" s="55"/>
      <c r="DA38" s="55"/>
      <c r="DB38" s="55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55"/>
      <c r="DY38" s="55"/>
      <c r="DZ38" s="55"/>
      <c r="EA38" s="55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55"/>
      <c r="EX38" s="55"/>
      <c r="EY38" s="55"/>
      <c r="EZ38" s="55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54" t="s">
        <v>70</v>
      </c>
      <c r="D39" s="54">
        <f>SUM(Q13:Q28)</f>
        <v>10173.6</v>
      </c>
      <c r="E39" s="54" t="s">
        <v>71</v>
      </c>
      <c r="F39" s="54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54" t="s">
        <v>70</v>
      </c>
      <c r="AC39" s="54">
        <f>SUM(AP13:AP28)</f>
        <v>10173.6</v>
      </c>
      <c r="AD39" s="54" t="s">
        <v>71</v>
      </c>
      <c r="AE39" s="54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54" t="s">
        <v>70</v>
      </c>
      <c r="BB39" s="54">
        <f>SUM(BO13:BO28)</f>
        <v>10173.6</v>
      </c>
      <c r="BC39" s="54" t="s">
        <v>71</v>
      </c>
      <c r="BD39" s="54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4" t="s">
        <v>70</v>
      </c>
      <c r="CA39" s="54">
        <f>SUM(CN13:CN28)</f>
        <v>10173.6</v>
      </c>
      <c r="CB39" s="54" t="s">
        <v>71</v>
      </c>
      <c r="CC39" s="54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54" t="s">
        <v>70</v>
      </c>
      <c r="CZ39" s="54">
        <f>SUM(DM13:DM28)</f>
        <v>10173.6</v>
      </c>
      <c r="DA39" s="54" t="s">
        <v>71</v>
      </c>
      <c r="DB39" s="54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54" t="s">
        <v>70</v>
      </c>
      <c r="DY39" s="54">
        <f>SUM(EL13:EL28)</f>
        <v>10173.6</v>
      </c>
      <c r="DZ39" s="54" t="s">
        <v>71</v>
      </c>
      <c r="EA39" s="54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54" t="s">
        <v>70</v>
      </c>
      <c r="EX39" s="54">
        <f>SUM(FK13:FK28)</f>
        <v>10173.6</v>
      </c>
      <c r="EY39" s="54" t="s">
        <v>71</v>
      </c>
      <c r="EZ39" s="54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54"/>
      <c r="D40" s="54"/>
      <c r="E40" s="54"/>
      <c r="F40" s="54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54"/>
      <c r="AC40" s="54"/>
      <c r="AD40" s="54"/>
      <c r="AE40" s="54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54"/>
      <c r="BB40" s="54"/>
      <c r="BC40" s="54"/>
      <c r="BD40" s="54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4"/>
      <c r="CA40" s="54"/>
      <c r="CB40" s="54"/>
      <c r="CC40" s="54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54"/>
      <c r="CZ40" s="54"/>
      <c r="DA40" s="54"/>
      <c r="DB40" s="54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54"/>
      <c r="DY40" s="54"/>
      <c r="DZ40" s="54"/>
      <c r="EA40" s="54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54"/>
      <c r="EX40" s="54"/>
      <c r="EY40" s="54"/>
      <c r="EZ40" s="54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54"/>
      <c r="D41" s="54"/>
      <c r="E41" s="54"/>
      <c r="F41" s="54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4"/>
      <c r="AC41" s="54"/>
      <c r="AD41" s="54"/>
      <c r="AE41" s="54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54"/>
      <c r="BB41" s="54"/>
      <c r="BC41" s="54"/>
      <c r="BD41" s="54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4"/>
      <c r="CA41" s="54"/>
      <c r="CB41" s="54"/>
      <c r="CC41" s="54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54"/>
      <c r="CZ41" s="54"/>
      <c r="DA41" s="54"/>
      <c r="DB41" s="54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54"/>
      <c r="DY41" s="54"/>
      <c r="DZ41" s="54"/>
      <c r="EA41" s="54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54"/>
      <c r="EX41" s="54"/>
      <c r="EY41" s="54"/>
      <c r="EZ41" s="54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55"/>
      <c r="D42" s="55"/>
      <c r="E42" s="55"/>
      <c r="F42" s="55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5"/>
      <c r="AC42" s="55"/>
      <c r="AD42" s="55"/>
      <c r="AE42" s="55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55"/>
      <c r="BB42" s="55"/>
      <c r="BC42" s="55"/>
      <c r="BD42" s="55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5"/>
      <c r="CA42" s="55"/>
      <c r="CB42" s="55"/>
      <c r="CC42" s="55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5"/>
      <c r="CZ42" s="55"/>
      <c r="DA42" s="55"/>
      <c r="DB42" s="55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55"/>
      <c r="DY42" s="55"/>
      <c r="DZ42" s="55"/>
      <c r="EA42" s="55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55"/>
      <c r="EX42" s="55"/>
      <c r="EY42" s="55"/>
      <c r="EZ42" s="55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.7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48" t="s">
        <v>72</v>
      </c>
      <c r="F50" s="49"/>
      <c r="G50" s="49"/>
      <c r="H50" s="50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79"/>
      <c r="BD50" s="79"/>
      <c r="BE50" s="79"/>
      <c r="BF50" s="79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56" t="s">
        <v>72</v>
      </c>
      <c r="CC50" s="57"/>
      <c r="CD50" s="57"/>
      <c r="CE50" s="58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56" t="s">
        <v>72</v>
      </c>
      <c r="DB50" s="57"/>
      <c r="DC50" s="57"/>
      <c r="DD50" s="58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56" t="s">
        <v>72</v>
      </c>
      <c r="EA50" s="57"/>
      <c r="EB50" s="57"/>
      <c r="EC50" s="58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56" t="s">
        <v>72</v>
      </c>
      <c r="EZ50" s="57"/>
      <c r="FA50" s="57"/>
      <c r="FB50" s="58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51"/>
      <c r="F51" s="52"/>
      <c r="G51" s="52"/>
      <c r="H51" s="53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79"/>
      <c r="BD51" s="79"/>
      <c r="BE51" s="79"/>
      <c r="BF51" s="79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59"/>
      <c r="CC51" s="60"/>
      <c r="CD51" s="60"/>
      <c r="CE51" s="61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59"/>
      <c r="DB51" s="60"/>
      <c r="DC51" s="60"/>
      <c r="DD51" s="61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59"/>
      <c r="EA51" s="60"/>
      <c r="EB51" s="60"/>
      <c r="EC51" s="61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59"/>
      <c r="EZ51" s="60"/>
      <c r="FA51" s="60"/>
      <c r="FB51" s="61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54" t="s">
        <v>68</v>
      </c>
      <c r="F52" s="67">
        <f>F35+AE35+BD35+CC35+DB35+EA35+EZ35</f>
        <v>-63160.2</v>
      </c>
      <c r="G52" s="80"/>
      <c r="H52" s="8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36"/>
      <c r="BD52" s="36"/>
      <c r="BE52" s="36"/>
      <c r="BF52" s="3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40" t="s">
        <v>68</v>
      </c>
      <c r="CC52" s="37"/>
      <c r="CD52" s="38"/>
      <c r="CE52" s="38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40" t="s">
        <v>68</v>
      </c>
      <c r="DB52" s="37"/>
      <c r="DC52" s="38"/>
      <c r="DD52" s="38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0" t="s">
        <v>68</v>
      </c>
      <c r="EA52" s="37"/>
      <c r="EB52" s="38"/>
      <c r="EC52" s="38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40" t="s">
        <v>68</v>
      </c>
      <c r="EZ52" s="37"/>
      <c r="FA52" s="38"/>
      <c r="FB52" s="38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54"/>
      <c r="F53" s="69"/>
      <c r="G53" s="81"/>
      <c r="H53" s="8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36"/>
      <c r="BD53" s="36"/>
      <c r="BE53" s="36"/>
      <c r="BF53" s="3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40"/>
      <c r="CC53" s="39"/>
      <c r="CD53" s="36"/>
      <c r="CE53" s="36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40"/>
      <c r="DB53" s="39"/>
      <c r="DC53" s="36"/>
      <c r="DD53" s="36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40"/>
      <c r="EA53" s="39"/>
      <c r="EB53" s="36"/>
      <c r="EC53" s="36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40"/>
      <c r="EZ53" s="39"/>
      <c r="FA53" s="36"/>
      <c r="FB53" s="36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54"/>
      <c r="F54" s="69"/>
      <c r="G54" s="81"/>
      <c r="H54" s="8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6"/>
      <c r="BD54" s="36"/>
      <c r="BE54" s="36"/>
      <c r="BF54" s="3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40"/>
      <c r="CC54" s="39"/>
      <c r="CD54" s="36"/>
      <c r="CE54" s="36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40"/>
      <c r="DB54" s="39"/>
      <c r="DC54" s="36"/>
      <c r="DD54" s="36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40"/>
      <c r="EA54" s="39"/>
      <c r="EB54" s="36"/>
      <c r="EC54" s="36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40"/>
      <c r="EZ54" s="39"/>
      <c r="FA54" s="36"/>
      <c r="FB54" s="36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55"/>
      <c r="F55" s="69"/>
      <c r="G55" s="81"/>
      <c r="H55" s="8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6"/>
      <c r="BD55" s="36"/>
      <c r="BE55" s="36"/>
      <c r="BF55" s="3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41"/>
      <c r="CC55" s="39"/>
      <c r="CD55" s="36"/>
      <c r="CE55" s="36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41"/>
      <c r="DB55" s="39"/>
      <c r="DC55" s="36"/>
      <c r="DD55" s="36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41"/>
      <c r="EA55" s="39"/>
      <c r="EB55" s="36"/>
      <c r="EC55" s="36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41"/>
      <c r="EZ55" s="39"/>
      <c r="FA55" s="36"/>
      <c r="FB55" s="36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54" t="s">
        <v>70</v>
      </c>
      <c r="F56" s="67">
        <f>D39+AC39+BB39+CA39+CZ39+DY39+EX39</f>
        <v>71215.199999999997</v>
      </c>
      <c r="G56" s="80"/>
      <c r="H56" s="8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36"/>
      <c r="BD56" s="36"/>
      <c r="BE56" s="36"/>
      <c r="BF56" s="3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40" t="s">
        <v>70</v>
      </c>
      <c r="CC56" s="37"/>
      <c r="CD56" s="38"/>
      <c r="CE56" s="38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40" t="s">
        <v>70</v>
      </c>
      <c r="DB56" s="37"/>
      <c r="DC56" s="38"/>
      <c r="DD56" s="38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40" t="s">
        <v>70</v>
      </c>
      <c r="EA56" s="37"/>
      <c r="EB56" s="38"/>
      <c r="EC56" s="38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40" t="s">
        <v>70</v>
      </c>
      <c r="EZ56" s="37"/>
      <c r="FA56" s="38"/>
      <c r="FB56" s="38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54"/>
      <c r="F57" s="69"/>
      <c r="G57" s="81"/>
      <c r="H57" s="8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36"/>
      <c r="BD57" s="36"/>
      <c r="BE57" s="36"/>
      <c r="BF57" s="3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40"/>
      <c r="CC57" s="39"/>
      <c r="CD57" s="36"/>
      <c r="CE57" s="36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40"/>
      <c r="DB57" s="39"/>
      <c r="DC57" s="36"/>
      <c r="DD57" s="36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40"/>
      <c r="EA57" s="39"/>
      <c r="EB57" s="36"/>
      <c r="EC57" s="36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40"/>
      <c r="EZ57" s="39"/>
      <c r="FA57" s="36"/>
      <c r="FB57" s="36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54"/>
      <c r="F58" s="69"/>
      <c r="G58" s="81"/>
      <c r="H58" s="8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36"/>
      <c r="BD58" s="36"/>
      <c r="BE58" s="36"/>
      <c r="BF58" s="3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40"/>
      <c r="CC58" s="39"/>
      <c r="CD58" s="36"/>
      <c r="CE58" s="36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40"/>
      <c r="DB58" s="39"/>
      <c r="DC58" s="36"/>
      <c r="DD58" s="36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40"/>
      <c r="EA58" s="39"/>
      <c r="EB58" s="36"/>
      <c r="EC58" s="36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40"/>
      <c r="EZ58" s="39"/>
      <c r="FA58" s="36"/>
      <c r="FB58" s="36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55"/>
      <c r="F59" s="69"/>
      <c r="G59" s="81"/>
      <c r="H59" s="8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6"/>
      <c r="BD59" s="36"/>
      <c r="BE59" s="36"/>
      <c r="BF59" s="3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41"/>
      <c r="CC59" s="39"/>
      <c r="CD59" s="36"/>
      <c r="CE59" s="36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41"/>
      <c r="DB59" s="39"/>
      <c r="DC59" s="36"/>
      <c r="DD59" s="36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41"/>
      <c r="EA59" s="39"/>
      <c r="EB59" s="36"/>
      <c r="EC59" s="36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41"/>
      <c r="EZ59" s="39"/>
      <c r="FA59" s="36"/>
      <c r="FB59" s="36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54" t="s">
        <v>73</v>
      </c>
      <c r="F60" s="67">
        <f>F56-F52</f>
        <v>134375.4</v>
      </c>
      <c r="G60" s="80"/>
      <c r="H60" s="8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6"/>
      <c r="BD60" s="36"/>
      <c r="BE60" s="36"/>
      <c r="BF60" s="3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40" t="s">
        <v>73</v>
      </c>
      <c r="CC60" s="37"/>
      <c r="CD60" s="38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40" t="s">
        <v>73</v>
      </c>
      <c r="DB60" s="37"/>
      <c r="DC60" s="38"/>
      <c r="DD60" s="38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40" t="s">
        <v>73</v>
      </c>
      <c r="EA60" s="37"/>
      <c r="EB60" s="38"/>
      <c r="EC60" s="38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40" t="s">
        <v>73</v>
      </c>
      <c r="EZ60" s="37"/>
      <c r="FA60" s="38"/>
      <c r="FB60" s="38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54"/>
      <c r="F61" s="69"/>
      <c r="G61" s="81"/>
      <c r="H61" s="8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36"/>
      <c r="BD61" s="36"/>
      <c r="BE61" s="36"/>
      <c r="BF61" s="3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40"/>
      <c r="CC61" s="39"/>
      <c r="CD61" s="36"/>
      <c r="CE61" s="36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40"/>
      <c r="DB61" s="39"/>
      <c r="DC61" s="36"/>
      <c r="DD61" s="36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40"/>
      <c r="EA61" s="39"/>
      <c r="EB61" s="36"/>
      <c r="EC61" s="36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40"/>
      <c r="EZ61" s="39"/>
      <c r="FA61" s="36"/>
      <c r="FB61" s="36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54"/>
      <c r="F62" s="69"/>
      <c r="G62" s="81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36"/>
      <c r="BD62" s="36"/>
      <c r="BE62" s="36"/>
      <c r="BF62" s="3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40"/>
      <c r="CC62" s="39"/>
      <c r="CD62" s="36"/>
      <c r="CE62" s="36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40"/>
      <c r="DB62" s="39"/>
      <c r="DC62" s="36"/>
      <c r="DD62" s="36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40"/>
      <c r="EA62" s="39"/>
      <c r="EB62" s="36"/>
      <c r="EC62" s="36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40"/>
      <c r="EZ62" s="39"/>
      <c r="FA62" s="36"/>
      <c r="FB62" s="36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55"/>
      <c r="F63" s="69"/>
      <c r="G63" s="81"/>
      <c r="H63" s="8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36"/>
      <c r="BD63" s="36"/>
      <c r="BE63" s="36"/>
      <c r="BF63" s="3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41"/>
      <c r="CC63" s="39"/>
      <c r="CD63" s="36"/>
      <c r="CE63" s="36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41"/>
      <c r="DB63" s="39"/>
      <c r="DC63" s="36"/>
      <c r="DD63" s="36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41"/>
      <c r="EA63" s="39"/>
      <c r="EB63" s="36"/>
      <c r="EC63" s="36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41"/>
      <c r="EZ63" s="39"/>
      <c r="FA63" s="36"/>
      <c r="FB63" s="36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54" t="s">
        <v>74</v>
      </c>
      <c r="F64" s="67">
        <f>(F60)/7700</f>
        <v>17.451350649350648</v>
      </c>
      <c r="G64" s="80"/>
      <c r="H64" s="8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36"/>
      <c r="BA64" s="2"/>
      <c r="BB64" s="2"/>
      <c r="BC64" s="36"/>
      <c r="BD64" s="36"/>
      <c r="BE64" s="36"/>
      <c r="BF64" s="3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40" t="s">
        <v>74</v>
      </c>
      <c r="CC64" s="37"/>
      <c r="CD64" s="38"/>
      <c r="CE64" s="38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40" t="s">
        <v>74</v>
      </c>
      <c r="DB64" s="37"/>
      <c r="DC64" s="38"/>
      <c r="DD64" s="38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40" t="s">
        <v>74</v>
      </c>
      <c r="EA64" s="37"/>
      <c r="EB64" s="38"/>
      <c r="EC64" s="38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40" t="s">
        <v>74</v>
      </c>
      <c r="EZ64" s="37"/>
      <c r="FA64" s="38"/>
      <c r="FB64" s="38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54"/>
      <c r="F65" s="69"/>
      <c r="G65" s="81"/>
      <c r="H65" s="8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36"/>
      <c r="BA65" s="2"/>
      <c r="BB65" s="2"/>
      <c r="BC65" s="36"/>
      <c r="BD65" s="36"/>
      <c r="BE65" s="36"/>
      <c r="BF65" s="3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40"/>
      <c r="CC65" s="39"/>
      <c r="CD65" s="36"/>
      <c r="CE65" s="36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40"/>
      <c r="DB65" s="39"/>
      <c r="DC65" s="36"/>
      <c r="DD65" s="36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40"/>
      <c r="EA65" s="39"/>
      <c r="EB65" s="36"/>
      <c r="EC65" s="36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40"/>
      <c r="EZ65" s="39"/>
      <c r="FA65" s="36"/>
      <c r="FB65" s="36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54"/>
      <c r="F66" s="69"/>
      <c r="G66" s="81"/>
      <c r="H66" s="8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36"/>
      <c r="BA66" s="2"/>
      <c r="BB66" s="2"/>
      <c r="BC66" s="36"/>
      <c r="BD66" s="36"/>
      <c r="BE66" s="36"/>
      <c r="BF66" s="3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40"/>
      <c r="CC66" s="39"/>
      <c r="CD66" s="36"/>
      <c r="CE66" s="36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40"/>
      <c r="DB66" s="39"/>
      <c r="DC66" s="36"/>
      <c r="DD66" s="36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40"/>
      <c r="EA66" s="39"/>
      <c r="EB66" s="36"/>
      <c r="EC66" s="36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40"/>
      <c r="EZ66" s="39"/>
      <c r="FA66" s="36"/>
      <c r="FB66" s="36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55"/>
      <c r="F67" s="69"/>
      <c r="G67" s="81"/>
      <c r="H67" s="8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36"/>
      <c r="BA67" s="2"/>
      <c r="BB67" s="2"/>
      <c r="BC67" s="36"/>
      <c r="BD67" s="36"/>
      <c r="BE67" s="36"/>
      <c r="BF67" s="3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41"/>
      <c r="CC67" s="39"/>
      <c r="CD67" s="36"/>
      <c r="CE67" s="36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41"/>
      <c r="DB67" s="39"/>
      <c r="DC67" s="36"/>
      <c r="DD67" s="36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41"/>
      <c r="EA67" s="39"/>
      <c r="EB67" s="36"/>
      <c r="EC67" s="36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41"/>
      <c r="EZ67" s="39"/>
      <c r="FA67" s="36"/>
      <c r="FB67" s="36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54" t="s">
        <v>80</v>
      </c>
      <c r="F68" s="67">
        <f>D3-F64</f>
        <v>144.54864935064936</v>
      </c>
      <c r="G68" s="80"/>
      <c r="H68" s="8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36"/>
      <c r="BA68" s="2"/>
      <c r="BB68" s="2"/>
      <c r="BC68" s="36"/>
      <c r="BD68" s="36"/>
      <c r="BE68" s="36"/>
      <c r="BF68" s="3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40" t="s">
        <v>75</v>
      </c>
      <c r="CC68" s="37"/>
      <c r="CD68" s="38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40" t="s">
        <v>75</v>
      </c>
      <c r="DB68" s="37"/>
      <c r="DC68" s="38"/>
      <c r="DD68" s="38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40" t="s">
        <v>75</v>
      </c>
      <c r="EA68" s="37"/>
      <c r="EB68" s="38"/>
      <c r="EC68" s="38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40" t="s">
        <v>75</v>
      </c>
      <c r="EZ68" s="37"/>
      <c r="FA68" s="38"/>
      <c r="FB68" s="38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54"/>
      <c r="F69" s="69"/>
      <c r="G69" s="81"/>
      <c r="H69" s="8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36"/>
      <c r="BA69" s="2"/>
      <c r="BB69" s="2"/>
      <c r="BC69" s="36"/>
      <c r="BD69" s="36"/>
      <c r="BE69" s="36"/>
      <c r="BF69" s="3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40"/>
      <c r="CC69" s="39"/>
      <c r="CD69" s="36"/>
      <c r="CE69" s="36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40"/>
      <c r="DB69" s="39"/>
      <c r="DC69" s="36"/>
      <c r="DD69" s="36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40"/>
      <c r="EA69" s="39"/>
      <c r="EB69" s="36"/>
      <c r="EC69" s="36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40"/>
      <c r="EZ69" s="39"/>
      <c r="FA69" s="36"/>
      <c r="FB69" s="36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54"/>
      <c r="F70" s="69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36"/>
      <c r="BA70" s="2"/>
      <c r="BB70" s="2"/>
      <c r="BC70" s="36"/>
      <c r="BD70" s="36"/>
      <c r="BE70" s="36"/>
      <c r="BF70" s="3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40"/>
      <c r="CC70" s="39"/>
      <c r="CD70" s="36"/>
      <c r="CE70" s="36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40"/>
      <c r="DB70" s="39"/>
      <c r="DC70" s="36"/>
      <c r="DD70" s="36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40"/>
      <c r="EA70" s="39"/>
      <c r="EB70" s="36"/>
      <c r="EC70" s="36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40"/>
      <c r="EZ70" s="39"/>
      <c r="FA70" s="36"/>
      <c r="FB70" s="36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55"/>
      <c r="F71" s="69"/>
      <c r="G71" s="81"/>
      <c r="H71" s="8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36"/>
      <c r="BA71" s="2"/>
      <c r="BB71" s="2"/>
      <c r="BC71" s="36"/>
      <c r="BD71" s="36"/>
      <c r="BE71" s="36"/>
      <c r="BF71" s="3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41"/>
      <c r="CC71" s="39"/>
      <c r="CD71" s="36"/>
      <c r="CE71" s="36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41"/>
      <c r="DB71" s="39"/>
      <c r="DC71" s="36"/>
      <c r="DD71" s="36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41"/>
      <c r="EA71" s="39"/>
      <c r="EB71" s="36"/>
      <c r="EC71" s="36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41"/>
      <c r="EZ71" s="39"/>
      <c r="FA71" s="36"/>
      <c r="FB71" s="36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54" t="s">
        <v>81</v>
      </c>
      <c r="F72" s="67">
        <f>148.95/(1.6^2)</f>
        <v>58.183593749999986</v>
      </c>
      <c r="G72" s="80"/>
      <c r="H72" s="8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6"/>
      <c r="BD72" s="36"/>
      <c r="BE72" s="36"/>
      <c r="BF72" s="3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40" t="s">
        <v>76</v>
      </c>
      <c r="CC72" s="37"/>
      <c r="CD72" s="38"/>
      <c r="CE72" s="38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40" t="s">
        <v>76</v>
      </c>
      <c r="DB72" s="37"/>
      <c r="DC72" s="38"/>
      <c r="DD72" s="38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40" t="s">
        <v>76</v>
      </c>
      <c r="EA72" s="37"/>
      <c r="EB72" s="38"/>
      <c r="EC72" s="38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40" t="s">
        <v>76</v>
      </c>
      <c r="EZ72" s="37"/>
      <c r="FA72" s="38"/>
      <c r="FB72" s="38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54"/>
      <c r="F73" s="69"/>
      <c r="G73" s="81"/>
      <c r="H73" s="8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6"/>
      <c r="BD73" s="36"/>
      <c r="BE73" s="36"/>
      <c r="BF73" s="3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40"/>
      <c r="CC73" s="39"/>
      <c r="CD73" s="36"/>
      <c r="CE73" s="36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40"/>
      <c r="DB73" s="39"/>
      <c r="DC73" s="36"/>
      <c r="DD73" s="36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40"/>
      <c r="EA73" s="39"/>
      <c r="EB73" s="36"/>
      <c r="EC73" s="36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40"/>
      <c r="EZ73" s="39"/>
      <c r="FA73" s="36"/>
      <c r="FB73" s="36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54"/>
      <c r="F74" s="69"/>
      <c r="G74" s="81"/>
      <c r="H74" s="8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6"/>
      <c r="BD74" s="36"/>
      <c r="BE74" s="36"/>
      <c r="BF74" s="3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40"/>
      <c r="CC74" s="39"/>
      <c r="CD74" s="36"/>
      <c r="CE74" s="36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40"/>
      <c r="DB74" s="39"/>
      <c r="DC74" s="36"/>
      <c r="DD74" s="36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40"/>
      <c r="EA74" s="39"/>
      <c r="EB74" s="36"/>
      <c r="EC74" s="36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40"/>
      <c r="EZ74" s="39"/>
      <c r="FA74" s="36"/>
      <c r="FB74" s="36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55"/>
      <c r="F75" s="69"/>
      <c r="G75" s="81"/>
      <c r="H75" s="8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6"/>
      <c r="BD75" s="36"/>
      <c r="BE75" s="36"/>
      <c r="BF75" s="3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41"/>
      <c r="CC75" s="39"/>
      <c r="CD75" s="36"/>
      <c r="CE75" s="36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41"/>
      <c r="DB75" s="39"/>
      <c r="DC75" s="36"/>
      <c r="DD75" s="36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41"/>
      <c r="EA75" s="39"/>
      <c r="EB75" s="36"/>
      <c r="EC75" s="36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41"/>
      <c r="EZ75" s="39"/>
      <c r="FA75" s="36"/>
      <c r="FB75" s="36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5"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B3:C4"/>
    <mergeCell ref="D3:D4"/>
    <mergeCell ref="A9:F10"/>
    <mergeCell ref="E64:E67"/>
    <mergeCell ref="F64:H67"/>
    <mergeCell ref="E68:E71"/>
    <mergeCell ref="F68:H71"/>
    <mergeCell ref="E72:E75"/>
    <mergeCell ref="F72:H75"/>
    <mergeCell ref="E60:E63"/>
    <mergeCell ref="F60:H63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E50:H51"/>
    <mergeCell ref="E52:E55"/>
    <mergeCell ref="F52:H55"/>
    <mergeCell ref="E56:E59"/>
    <mergeCell ref="AZ64:AZ67"/>
    <mergeCell ref="AZ68:AZ71"/>
    <mergeCell ref="I9:R10"/>
    <mergeCell ref="A11:B14"/>
    <mergeCell ref="C11:C14"/>
    <mergeCell ref="D11:E14"/>
    <mergeCell ref="F11:F14"/>
    <mergeCell ref="A15:B18"/>
    <mergeCell ref="C15:C18"/>
    <mergeCell ref="D15:E18"/>
    <mergeCell ref="F15:F18"/>
    <mergeCell ref="A19:B22"/>
    <mergeCell ref="C19:C22"/>
    <mergeCell ref="D19:E22"/>
    <mergeCell ref="F19:F22"/>
    <mergeCell ref="F56:H59"/>
  </mergeCells>
  <conditionalFormatting sqref="F39:F42">
    <cfRule type="containsText" dxfId="41" priority="13" operator="containsText" text="Bad shape">
      <formula>NOT(ISERROR(SEARCH("Bad shape",F39)))</formula>
    </cfRule>
    <cfRule type="containsText" dxfId="40" priority="14" operator="containsText" text="Fit shape">
      <formula>NOT(ISERROR(SEARCH("Fit shape",F39)))</formula>
    </cfRule>
  </conditionalFormatting>
  <conditionalFormatting sqref="AE39:AE42">
    <cfRule type="containsText" dxfId="39" priority="11" operator="containsText" text="Bad shape">
      <formula>NOT(ISERROR(SEARCH("Bad shape",AE39)))</formula>
    </cfRule>
    <cfRule type="containsText" dxfId="38" priority="12" operator="containsText" text="Fit shape">
      <formula>NOT(ISERROR(SEARCH("Fit shape",AE39)))</formula>
    </cfRule>
  </conditionalFormatting>
  <conditionalFormatting sqref="BD39:BD42">
    <cfRule type="containsText" dxfId="37" priority="9" operator="containsText" text="Bad shape">
      <formula>NOT(ISERROR(SEARCH("Bad shape",BD39)))</formula>
    </cfRule>
    <cfRule type="containsText" dxfId="36" priority="10" operator="containsText" text="Fit shape">
      <formula>NOT(ISERROR(SEARCH("Fit shape",BD39)))</formula>
    </cfRule>
  </conditionalFormatting>
  <conditionalFormatting sqref="CC39:CC42">
    <cfRule type="containsText" dxfId="35" priority="7" operator="containsText" text="Bad shape">
      <formula>NOT(ISERROR(SEARCH("Bad shape",CC39)))</formula>
    </cfRule>
    <cfRule type="containsText" dxfId="34" priority="8" operator="containsText" text="Fit shape">
      <formula>NOT(ISERROR(SEARCH("Fit shape",CC39)))</formula>
    </cfRule>
  </conditionalFormatting>
  <conditionalFormatting sqref="DB39:DB42">
    <cfRule type="containsText" dxfId="33" priority="5" operator="containsText" text="Bad shape">
      <formula>NOT(ISERROR(SEARCH("Bad shape",DB39)))</formula>
    </cfRule>
    <cfRule type="containsText" dxfId="32" priority="6" operator="containsText" text="Fit shape">
      <formula>NOT(ISERROR(SEARCH("Fit shape",DB39)))</formula>
    </cfRule>
  </conditionalFormatting>
  <conditionalFormatting sqref="EA39:EA42">
    <cfRule type="containsText" dxfId="31" priority="3" operator="containsText" text="Bad shape">
      <formula>NOT(ISERROR(SEARCH("Bad shape",EA39)))</formula>
    </cfRule>
    <cfRule type="containsText" dxfId="30" priority="4" operator="containsText" text="Fit shape">
      <formula>NOT(ISERROR(SEARCH("Fit shape",EA39)))</formula>
    </cfRule>
  </conditionalFormatting>
  <conditionalFormatting sqref="EZ39:EZ42">
    <cfRule type="containsText" dxfId="29" priority="1" operator="containsText" text="Bad shape">
      <formula>NOT(ISERROR(SEARCH("Bad shape",EZ39)))</formula>
    </cfRule>
    <cfRule type="containsText" dxfId="28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A645BBDC-37CC-47B2-BDFE-4E90EA4D2143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5016AD5B-6D18-4E8E-B3BC-4BEAECBDECEF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2DB00C70-42A2-4C9D-80EC-8D6376245B6E}">
      <formula1>DINNER</formula1>
    </dataValidation>
    <dataValidation type="list" allowBlank="1" showInputMessage="1" showErrorMessage="1" sqref="I13:J30 AH13:AI30 BG13:BH30 CF13:CG30 DE13:DF30 ED13:EE30 FC13:FD30" xr:uid="{00283460-121D-419C-A74A-8D2923775F32}">
      <formula1>EXERCISES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B68-2105-4B6B-A348-3402EE42758C}">
  <dimension ref="A1:FS78"/>
  <sheetViews>
    <sheetView topLeftCell="DW1" zoomScale="50" zoomScaleNormal="50" workbookViewId="0">
      <selection activeCell="EX3" sqref="EX3:EX4"/>
    </sheetView>
  </sheetViews>
  <sheetFormatPr defaultRowHeight="15"/>
  <cols>
    <col min="3" max="3" width="32.140625" customWidth="1"/>
    <col min="4" max="4" width="20.5703125" customWidth="1"/>
    <col min="5" max="5" width="20.140625" customWidth="1"/>
    <col min="6" max="6" width="14.140625" customWidth="1"/>
    <col min="10" max="10" width="19" customWidth="1"/>
    <col min="12" max="12" width="11.5703125" customWidth="1"/>
    <col min="14" max="14" width="8.85546875" customWidth="1"/>
    <col min="16" max="16" width="12.42578125" customWidth="1"/>
    <col min="18" max="18" width="14.1406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 ht="14.45" customHeight="1">
      <c r="A3" s="2"/>
      <c r="B3" s="42" t="s">
        <v>40</v>
      </c>
      <c r="C3" s="43"/>
      <c r="D3" s="46">
        <v>110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2" t="s">
        <v>40</v>
      </c>
      <c r="AB3" s="43"/>
      <c r="AC3" s="46">
        <v>110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42" t="s">
        <v>40</v>
      </c>
      <c r="BA3" s="43"/>
      <c r="BB3" s="46">
        <v>110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2" t="s">
        <v>40</v>
      </c>
      <c r="BZ3" s="43"/>
      <c r="CA3" s="46">
        <v>110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2" t="s">
        <v>40</v>
      </c>
      <c r="CY3" s="43"/>
      <c r="CZ3" s="46">
        <v>110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42" t="s">
        <v>40</v>
      </c>
      <c r="DX3" s="43"/>
      <c r="DY3" s="46">
        <v>110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42" t="s">
        <v>40</v>
      </c>
      <c r="EW3" s="43"/>
      <c r="EX3" s="46">
        <v>110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.75" thickBot="1">
      <c r="A4" s="2"/>
      <c r="B4" s="44"/>
      <c r="C4" s="45"/>
      <c r="D4" s="4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4"/>
      <c r="AB4" s="45"/>
      <c r="AC4" s="47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4"/>
      <c r="BA4" s="45"/>
      <c r="BB4" s="4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4"/>
      <c r="BZ4" s="45"/>
      <c r="CA4" s="47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4"/>
      <c r="CY4" s="45"/>
      <c r="CZ4" s="47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44"/>
      <c r="DX4" s="45"/>
      <c r="DY4" s="47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4"/>
      <c r="EW4" s="45"/>
      <c r="EX4" s="47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.7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 ht="14.45" customHeight="1">
      <c r="A9" s="48" t="s">
        <v>41</v>
      </c>
      <c r="B9" s="49"/>
      <c r="C9" s="49"/>
      <c r="D9" s="49"/>
      <c r="E9" s="49"/>
      <c r="F9" s="50"/>
      <c r="G9" s="15"/>
      <c r="H9" s="15"/>
      <c r="I9" s="42" t="s">
        <v>42</v>
      </c>
      <c r="J9" s="62"/>
      <c r="K9" s="62"/>
      <c r="L9" s="62"/>
      <c r="M9" s="62"/>
      <c r="N9" s="62"/>
      <c r="O9" s="62"/>
      <c r="P9" s="62"/>
      <c r="Q9" s="62"/>
      <c r="R9" s="63"/>
      <c r="S9" s="2"/>
      <c r="T9" s="2"/>
      <c r="U9" s="2"/>
      <c r="V9" s="2"/>
      <c r="W9" s="2"/>
      <c r="X9" s="2"/>
      <c r="Y9" s="2"/>
      <c r="Z9" s="48" t="s">
        <v>43</v>
      </c>
      <c r="AA9" s="49"/>
      <c r="AB9" s="49"/>
      <c r="AC9" s="49"/>
      <c r="AD9" s="49"/>
      <c r="AE9" s="50"/>
      <c r="AF9" s="15"/>
      <c r="AG9" s="15"/>
      <c r="AH9" s="42" t="s">
        <v>44</v>
      </c>
      <c r="AI9" s="62"/>
      <c r="AJ9" s="62"/>
      <c r="AK9" s="62"/>
      <c r="AL9" s="62"/>
      <c r="AM9" s="62"/>
      <c r="AN9" s="62"/>
      <c r="AO9" s="62"/>
      <c r="AP9" s="62"/>
      <c r="AQ9" s="63"/>
      <c r="AR9" s="2"/>
      <c r="AS9" s="2"/>
      <c r="AT9" s="2"/>
      <c r="AU9" s="2"/>
      <c r="AV9" s="2"/>
      <c r="AW9" s="2"/>
      <c r="AX9" s="2"/>
      <c r="AY9" s="48" t="s">
        <v>45</v>
      </c>
      <c r="AZ9" s="49"/>
      <c r="BA9" s="49"/>
      <c r="BB9" s="49"/>
      <c r="BC9" s="49"/>
      <c r="BD9" s="50"/>
      <c r="BE9" s="15"/>
      <c r="BF9" s="15"/>
      <c r="BG9" s="42" t="s">
        <v>46</v>
      </c>
      <c r="BH9" s="62"/>
      <c r="BI9" s="62"/>
      <c r="BJ9" s="62"/>
      <c r="BK9" s="62"/>
      <c r="BL9" s="62"/>
      <c r="BM9" s="62"/>
      <c r="BN9" s="62"/>
      <c r="BO9" s="62"/>
      <c r="BP9" s="63"/>
      <c r="BQ9" s="2"/>
      <c r="BR9" s="2"/>
      <c r="BS9" s="2"/>
      <c r="BT9" s="2"/>
      <c r="BU9" s="2"/>
      <c r="BV9" s="2"/>
      <c r="BW9" s="2"/>
      <c r="BX9" s="48" t="s">
        <v>47</v>
      </c>
      <c r="BY9" s="49"/>
      <c r="BZ9" s="49"/>
      <c r="CA9" s="49"/>
      <c r="CB9" s="49"/>
      <c r="CC9" s="50"/>
      <c r="CD9" s="15"/>
      <c r="CE9" s="15"/>
      <c r="CF9" s="42" t="s">
        <v>48</v>
      </c>
      <c r="CG9" s="62"/>
      <c r="CH9" s="62"/>
      <c r="CI9" s="62"/>
      <c r="CJ9" s="62"/>
      <c r="CK9" s="62"/>
      <c r="CL9" s="62"/>
      <c r="CM9" s="62"/>
      <c r="CN9" s="62"/>
      <c r="CO9" s="63"/>
      <c r="CP9" s="2"/>
      <c r="CQ9" s="2"/>
      <c r="CR9" s="2"/>
      <c r="CS9" s="2"/>
      <c r="CT9" s="2"/>
      <c r="CU9" s="2"/>
      <c r="CV9" s="2"/>
      <c r="CW9" s="48" t="s">
        <v>49</v>
      </c>
      <c r="CX9" s="49"/>
      <c r="CY9" s="49"/>
      <c r="CZ9" s="49"/>
      <c r="DA9" s="49"/>
      <c r="DB9" s="50"/>
      <c r="DC9" s="15"/>
      <c r="DD9" s="15"/>
      <c r="DE9" s="42" t="s">
        <v>50</v>
      </c>
      <c r="DF9" s="62"/>
      <c r="DG9" s="62"/>
      <c r="DH9" s="62"/>
      <c r="DI9" s="62"/>
      <c r="DJ9" s="62"/>
      <c r="DK9" s="62"/>
      <c r="DL9" s="62"/>
      <c r="DM9" s="62"/>
      <c r="DN9" s="63"/>
      <c r="DO9" s="2"/>
      <c r="DP9" s="2"/>
      <c r="DQ9" s="2"/>
      <c r="DR9" s="2"/>
      <c r="DS9" s="2"/>
      <c r="DT9" s="2"/>
      <c r="DU9" s="2"/>
      <c r="DV9" s="48" t="s">
        <v>51</v>
      </c>
      <c r="DW9" s="49"/>
      <c r="DX9" s="49"/>
      <c r="DY9" s="49"/>
      <c r="DZ9" s="49"/>
      <c r="EA9" s="50"/>
      <c r="EB9" s="15"/>
      <c r="EC9" s="15"/>
      <c r="ED9" s="42" t="s">
        <v>52</v>
      </c>
      <c r="EE9" s="62"/>
      <c r="EF9" s="62"/>
      <c r="EG9" s="62"/>
      <c r="EH9" s="62"/>
      <c r="EI9" s="62"/>
      <c r="EJ9" s="62"/>
      <c r="EK9" s="62"/>
      <c r="EL9" s="62"/>
      <c r="EM9" s="63"/>
      <c r="EN9" s="2"/>
      <c r="EO9" s="2"/>
      <c r="EP9" s="2"/>
      <c r="EQ9" s="2"/>
      <c r="ER9" s="2"/>
      <c r="ES9" s="2"/>
      <c r="ET9" s="2"/>
      <c r="EU9" s="48" t="s">
        <v>53</v>
      </c>
      <c r="EV9" s="49"/>
      <c r="EW9" s="49"/>
      <c r="EX9" s="49"/>
      <c r="EY9" s="49"/>
      <c r="EZ9" s="50"/>
      <c r="FA9" s="15"/>
      <c r="FB9" s="15"/>
      <c r="FC9" s="42" t="s">
        <v>54</v>
      </c>
      <c r="FD9" s="62"/>
      <c r="FE9" s="62"/>
      <c r="FF9" s="62"/>
      <c r="FG9" s="62"/>
      <c r="FH9" s="62"/>
      <c r="FI9" s="62"/>
      <c r="FJ9" s="62"/>
      <c r="FK9" s="62"/>
      <c r="FL9" s="63"/>
      <c r="FM9" s="2"/>
      <c r="FN9" s="2"/>
      <c r="FO9" s="2"/>
      <c r="FP9" s="2"/>
      <c r="FQ9" s="2"/>
      <c r="FR9" s="2"/>
      <c r="FS9" s="2"/>
    </row>
    <row r="10" spans="1:175" ht="15" customHeight="1" thickBot="1">
      <c r="A10" s="51"/>
      <c r="B10" s="52"/>
      <c r="C10" s="52"/>
      <c r="D10" s="52"/>
      <c r="E10" s="52"/>
      <c r="F10" s="53"/>
      <c r="G10" s="15"/>
      <c r="H10" s="15"/>
      <c r="I10" s="64"/>
      <c r="J10" s="65"/>
      <c r="K10" s="65"/>
      <c r="L10" s="65"/>
      <c r="M10" s="65"/>
      <c r="N10" s="65"/>
      <c r="O10" s="65"/>
      <c r="P10" s="65"/>
      <c r="Q10" s="65"/>
      <c r="R10" s="66"/>
      <c r="S10" s="2"/>
      <c r="T10" s="2"/>
      <c r="U10" s="2"/>
      <c r="V10" s="2"/>
      <c r="W10" s="2"/>
      <c r="X10" s="2"/>
      <c r="Y10" s="2"/>
      <c r="Z10" s="51"/>
      <c r="AA10" s="52"/>
      <c r="AB10" s="52"/>
      <c r="AC10" s="52"/>
      <c r="AD10" s="52"/>
      <c r="AE10" s="53"/>
      <c r="AF10" s="15"/>
      <c r="AG10" s="15"/>
      <c r="AH10" s="64"/>
      <c r="AI10" s="65"/>
      <c r="AJ10" s="65"/>
      <c r="AK10" s="65"/>
      <c r="AL10" s="65"/>
      <c r="AM10" s="65"/>
      <c r="AN10" s="65"/>
      <c r="AO10" s="65"/>
      <c r="AP10" s="65"/>
      <c r="AQ10" s="66"/>
      <c r="AR10" s="2"/>
      <c r="AS10" s="2"/>
      <c r="AT10" s="2"/>
      <c r="AU10" s="2"/>
      <c r="AV10" s="2"/>
      <c r="AW10" s="2"/>
      <c r="AX10" s="2"/>
      <c r="AY10" s="51"/>
      <c r="AZ10" s="52"/>
      <c r="BA10" s="52"/>
      <c r="BB10" s="52"/>
      <c r="BC10" s="52"/>
      <c r="BD10" s="53"/>
      <c r="BE10" s="15"/>
      <c r="BF10" s="15"/>
      <c r="BG10" s="64"/>
      <c r="BH10" s="65"/>
      <c r="BI10" s="65"/>
      <c r="BJ10" s="65"/>
      <c r="BK10" s="65"/>
      <c r="BL10" s="65"/>
      <c r="BM10" s="65"/>
      <c r="BN10" s="65"/>
      <c r="BO10" s="65"/>
      <c r="BP10" s="66"/>
      <c r="BQ10" s="2"/>
      <c r="BR10" s="2"/>
      <c r="BS10" s="2"/>
      <c r="BT10" s="2"/>
      <c r="BU10" s="2"/>
      <c r="BV10" s="2"/>
      <c r="BW10" s="2"/>
      <c r="BX10" s="51"/>
      <c r="BY10" s="52"/>
      <c r="BZ10" s="52"/>
      <c r="CA10" s="52"/>
      <c r="CB10" s="52"/>
      <c r="CC10" s="53"/>
      <c r="CD10" s="15"/>
      <c r="CE10" s="15"/>
      <c r="CF10" s="64"/>
      <c r="CG10" s="65"/>
      <c r="CH10" s="65"/>
      <c r="CI10" s="65"/>
      <c r="CJ10" s="65"/>
      <c r="CK10" s="65"/>
      <c r="CL10" s="65"/>
      <c r="CM10" s="65"/>
      <c r="CN10" s="65"/>
      <c r="CO10" s="66"/>
      <c r="CP10" s="2"/>
      <c r="CQ10" s="2"/>
      <c r="CR10" s="2"/>
      <c r="CS10" s="2"/>
      <c r="CT10" s="2"/>
      <c r="CU10" s="2"/>
      <c r="CV10" s="2"/>
      <c r="CW10" s="51"/>
      <c r="CX10" s="52"/>
      <c r="CY10" s="52"/>
      <c r="CZ10" s="52"/>
      <c r="DA10" s="52"/>
      <c r="DB10" s="53"/>
      <c r="DC10" s="15"/>
      <c r="DD10" s="15"/>
      <c r="DE10" s="64"/>
      <c r="DF10" s="65"/>
      <c r="DG10" s="65"/>
      <c r="DH10" s="65"/>
      <c r="DI10" s="65"/>
      <c r="DJ10" s="65"/>
      <c r="DK10" s="65"/>
      <c r="DL10" s="65"/>
      <c r="DM10" s="65"/>
      <c r="DN10" s="66"/>
      <c r="DO10" s="2"/>
      <c r="DP10" s="2"/>
      <c r="DQ10" s="2"/>
      <c r="DR10" s="2"/>
      <c r="DS10" s="2"/>
      <c r="DT10" s="2"/>
      <c r="DU10" s="2"/>
      <c r="DV10" s="51"/>
      <c r="DW10" s="52"/>
      <c r="DX10" s="52"/>
      <c r="DY10" s="52"/>
      <c r="DZ10" s="52"/>
      <c r="EA10" s="53"/>
      <c r="EB10" s="15"/>
      <c r="EC10" s="15"/>
      <c r="ED10" s="64"/>
      <c r="EE10" s="65"/>
      <c r="EF10" s="65"/>
      <c r="EG10" s="65"/>
      <c r="EH10" s="65"/>
      <c r="EI10" s="65"/>
      <c r="EJ10" s="65"/>
      <c r="EK10" s="65"/>
      <c r="EL10" s="65"/>
      <c r="EM10" s="66"/>
      <c r="EN10" s="2"/>
      <c r="EO10" s="2"/>
      <c r="EP10" s="2"/>
      <c r="EQ10" s="2"/>
      <c r="ER10" s="2"/>
      <c r="ES10" s="2"/>
      <c r="ET10" s="2"/>
      <c r="EU10" s="51"/>
      <c r="EV10" s="52"/>
      <c r="EW10" s="52"/>
      <c r="EX10" s="52"/>
      <c r="EY10" s="52"/>
      <c r="EZ10" s="53"/>
      <c r="FA10" s="15"/>
      <c r="FB10" s="15"/>
      <c r="FC10" s="64"/>
      <c r="FD10" s="65"/>
      <c r="FE10" s="65"/>
      <c r="FF10" s="65"/>
      <c r="FG10" s="65"/>
      <c r="FH10" s="65"/>
      <c r="FI10" s="65"/>
      <c r="FJ10" s="65"/>
      <c r="FK10" s="65"/>
      <c r="FL10" s="66"/>
      <c r="FM10" s="2"/>
      <c r="FN10" s="2"/>
      <c r="FO10" s="2"/>
      <c r="FP10" s="2"/>
      <c r="FQ10" s="2"/>
      <c r="FR10" s="2"/>
      <c r="FS10" s="2"/>
    </row>
    <row r="11" spans="1:175" ht="15.75">
      <c r="A11" s="67" t="s">
        <v>1</v>
      </c>
      <c r="B11" s="68"/>
      <c r="C11" s="73" t="s">
        <v>6</v>
      </c>
      <c r="D11" s="67" t="s">
        <v>55</v>
      </c>
      <c r="E11" s="68"/>
      <c r="F11" s="76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67" t="s">
        <v>1</v>
      </c>
      <c r="AA11" s="68"/>
      <c r="AB11" s="73" t="s">
        <v>7</v>
      </c>
      <c r="AC11" s="67" t="s">
        <v>55</v>
      </c>
      <c r="AD11" s="68"/>
      <c r="AE11" s="76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67" t="s">
        <v>1</v>
      </c>
      <c r="AZ11" s="68"/>
      <c r="BA11" s="73" t="s">
        <v>9</v>
      </c>
      <c r="BB11" s="67" t="s">
        <v>55</v>
      </c>
      <c r="BC11" s="68"/>
      <c r="BD11" s="76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67" t="s">
        <v>1</v>
      </c>
      <c r="BY11" s="68"/>
      <c r="BZ11" s="73" t="s">
        <v>11</v>
      </c>
      <c r="CA11" s="67" t="s">
        <v>55</v>
      </c>
      <c r="CB11" s="68"/>
      <c r="CC11" s="76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67" t="s">
        <v>1</v>
      </c>
      <c r="CX11" s="68"/>
      <c r="CY11" s="73" t="s">
        <v>13</v>
      </c>
      <c r="CZ11" s="67" t="s">
        <v>55</v>
      </c>
      <c r="DA11" s="68"/>
      <c r="DB11" s="76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67" t="s">
        <v>1</v>
      </c>
      <c r="DW11" s="68"/>
      <c r="DX11" s="73" t="s">
        <v>6</v>
      </c>
      <c r="DY11" s="67" t="s">
        <v>55</v>
      </c>
      <c r="DZ11" s="68"/>
      <c r="EA11" s="76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67" t="s">
        <v>1</v>
      </c>
      <c r="EV11" s="68"/>
      <c r="EW11" s="73" t="s">
        <v>6</v>
      </c>
      <c r="EX11" s="67" t="s">
        <v>55</v>
      </c>
      <c r="EY11" s="68"/>
      <c r="EZ11" s="76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69"/>
      <c r="B12" s="70"/>
      <c r="C12" s="74"/>
      <c r="D12" s="69"/>
      <c r="E12" s="70"/>
      <c r="F12" s="77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69"/>
      <c r="AA12" s="70"/>
      <c r="AB12" s="74"/>
      <c r="AC12" s="69"/>
      <c r="AD12" s="70"/>
      <c r="AE12" s="77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69"/>
      <c r="AZ12" s="70"/>
      <c r="BA12" s="74"/>
      <c r="BB12" s="69"/>
      <c r="BC12" s="70"/>
      <c r="BD12" s="77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69"/>
      <c r="BY12" s="70"/>
      <c r="BZ12" s="74"/>
      <c r="CA12" s="69"/>
      <c r="CB12" s="70"/>
      <c r="CC12" s="77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69"/>
      <c r="CX12" s="70"/>
      <c r="CY12" s="74"/>
      <c r="CZ12" s="69"/>
      <c r="DA12" s="70"/>
      <c r="DB12" s="77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69"/>
      <c r="DW12" s="70"/>
      <c r="DX12" s="74"/>
      <c r="DY12" s="69"/>
      <c r="DZ12" s="70"/>
      <c r="EA12" s="77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69"/>
      <c r="EV12" s="70"/>
      <c r="EW12" s="74"/>
      <c r="EX12" s="69"/>
      <c r="EY12" s="70"/>
      <c r="EZ12" s="77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75">
      <c r="A13" s="69"/>
      <c r="B13" s="70"/>
      <c r="C13" s="74"/>
      <c r="D13" s="69"/>
      <c r="E13" s="70"/>
      <c r="F13" s="77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605</v>
      </c>
      <c r="P13" s="21"/>
      <c r="Q13" s="20">
        <f>M13*O13</f>
        <v>1210</v>
      </c>
      <c r="R13" s="21"/>
      <c r="S13" s="2"/>
      <c r="T13" s="2"/>
      <c r="U13" s="2"/>
      <c r="V13" s="2"/>
      <c r="W13" s="2"/>
      <c r="X13" s="2"/>
      <c r="Y13" s="2"/>
      <c r="Z13" s="69"/>
      <c r="AA13" s="70"/>
      <c r="AB13" s="74"/>
      <c r="AC13" s="69"/>
      <c r="AD13" s="70"/>
      <c r="AE13" s="77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605</v>
      </c>
      <c r="AO13" s="21"/>
      <c r="AP13" s="20">
        <f>AL13*AN13</f>
        <v>1210</v>
      </c>
      <c r="AQ13" s="21"/>
      <c r="AR13" s="2"/>
      <c r="AS13" s="2"/>
      <c r="AT13" s="2"/>
      <c r="AU13" s="2"/>
      <c r="AV13" s="2"/>
      <c r="AW13" s="2"/>
      <c r="AX13" s="2"/>
      <c r="AY13" s="69"/>
      <c r="AZ13" s="70"/>
      <c r="BA13" s="74"/>
      <c r="BB13" s="69"/>
      <c r="BC13" s="70"/>
      <c r="BD13" s="77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605</v>
      </c>
      <c r="BN13" s="21"/>
      <c r="BO13" s="20">
        <f>BK13*BM13</f>
        <v>1210</v>
      </c>
      <c r="BP13" s="21"/>
      <c r="BQ13" s="2"/>
      <c r="BR13" s="2"/>
      <c r="BS13" s="2"/>
      <c r="BT13" s="2"/>
      <c r="BU13" s="2"/>
      <c r="BV13" s="2"/>
      <c r="BW13" s="2"/>
      <c r="BX13" s="69"/>
      <c r="BY13" s="70"/>
      <c r="BZ13" s="74"/>
      <c r="CA13" s="69"/>
      <c r="CB13" s="70"/>
      <c r="CC13" s="77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605</v>
      </c>
      <c r="CM13" s="21"/>
      <c r="CN13" s="20">
        <f>CJ13*CL13</f>
        <v>1210</v>
      </c>
      <c r="CO13" s="21"/>
      <c r="CP13" s="2"/>
      <c r="CQ13" s="2"/>
      <c r="CR13" s="2"/>
      <c r="CS13" s="2"/>
      <c r="CT13" s="2"/>
      <c r="CU13" s="2"/>
      <c r="CV13" s="2"/>
      <c r="CW13" s="69"/>
      <c r="CX13" s="70"/>
      <c r="CY13" s="74"/>
      <c r="CZ13" s="69"/>
      <c r="DA13" s="70"/>
      <c r="DB13" s="77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605</v>
      </c>
      <c r="DL13" s="21"/>
      <c r="DM13" s="20">
        <f>DI13*DK13</f>
        <v>1210</v>
      </c>
      <c r="DN13" s="21"/>
      <c r="DO13" s="2"/>
      <c r="DP13" s="2"/>
      <c r="DQ13" s="2"/>
      <c r="DR13" s="2"/>
      <c r="DS13" s="2"/>
      <c r="DT13" s="2"/>
      <c r="DU13" s="2"/>
      <c r="DV13" s="69"/>
      <c r="DW13" s="70"/>
      <c r="DX13" s="74"/>
      <c r="DY13" s="69"/>
      <c r="DZ13" s="70"/>
      <c r="EA13" s="77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605</v>
      </c>
      <c r="EK13" s="21"/>
      <c r="EL13" s="20">
        <f>EH13*EJ13</f>
        <v>1210</v>
      </c>
      <c r="EM13" s="21"/>
      <c r="EN13" s="2"/>
      <c r="EO13" s="2"/>
      <c r="EP13" s="2"/>
      <c r="EQ13" s="2"/>
      <c r="ER13" s="2"/>
      <c r="ES13" s="2"/>
      <c r="ET13" s="2"/>
      <c r="EU13" s="69"/>
      <c r="EV13" s="70"/>
      <c r="EW13" s="74"/>
      <c r="EX13" s="69"/>
      <c r="EY13" s="70"/>
      <c r="EZ13" s="77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605</v>
      </c>
      <c r="FJ13" s="21"/>
      <c r="FK13" s="20">
        <f>FG13*FI13</f>
        <v>1210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71"/>
      <c r="B14" s="72"/>
      <c r="C14" s="75"/>
      <c r="D14" s="71"/>
      <c r="E14" s="72"/>
      <c r="F14" s="78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71"/>
      <c r="AA14" s="72"/>
      <c r="AB14" s="75"/>
      <c r="AC14" s="71"/>
      <c r="AD14" s="72"/>
      <c r="AE14" s="78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71"/>
      <c r="AZ14" s="72"/>
      <c r="BA14" s="75"/>
      <c r="BB14" s="71"/>
      <c r="BC14" s="72"/>
      <c r="BD14" s="78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71"/>
      <c r="BY14" s="72"/>
      <c r="BZ14" s="75"/>
      <c r="CA14" s="71"/>
      <c r="CB14" s="72"/>
      <c r="CC14" s="78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71"/>
      <c r="CX14" s="72"/>
      <c r="CY14" s="75"/>
      <c r="CZ14" s="71"/>
      <c r="DA14" s="72"/>
      <c r="DB14" s="78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71"/>
      <c r="DW14" s="72"/>
      <c r="DX14" s="75"/>
      <c r="DY14" s="71"/>
      <c r="DZ14" s="72"/>
      <c r="EA14" s="78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71"/>
      <c r="EV14" s="72"/>
      <c r="EW14" s="75"/>
      <c r="EX14" s="71"/>
      <c r="EY14" s="72"/>
      <c r="EZ14" s="78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67" t="s">
        <v>15</v>
      </c>
      <c r="B15" s="68"/>
      <c r="C15" s="73" t="s">
        <v>18</v>
      </c>
      <c r="D15" s="67" t="s">
        <v>55</v>
      </c>
      <c r="E15" s="68"/>
      <c r="F15" s="76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67" t="s">
        <v>15</v>
      </c>
      <c r="AA15" s="68"/>
      <c r="AB15" s="73" t="s">
        <v>20</v>
      </c>
      <c r="AC15" s="67" t="s">
        <v>55</v>
      </c>
      <c r="AD15" s="68"/>
      <c r="AE15" s="76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67" t="s">
        <v>15</v>
      </c>
      <c r="AZ15" s="68"/>
      <c r="BA15" s="73" t="s">
        <v>22</v>
      </c>
      <c r="BB15" s="67" t="s">
        <v>55</v>
      </c>
      <c r="BC15" s="68"/>
      <c r="BD15" s="76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67" t="s">
        <v>15</v>
      </c>
      <c r="BY15" s="68"/>
      <c r="BZ15" s="73" t="s">
        <v>24</v>
      </c>
      <c r="CA15" s="67" t="s">
        <v>55</v>
      </c>
      <c r="CB15" s="68"/>
      <c r="CC15" s="76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67" t="s">
        <v>15</v>
      </c>
      <c r="CX15" s="68"/>
      <c r="CY15" s="73" t="s">
        <v>26</v>
      </c>
      <c r="CZ15" s="67" t="s">
        <v>55</v>
      </c>
      <c r="DA15" s="68"/>
      <c r="DB15" s="76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67" t="s">
        <v>15</v>
      </c>
      <c r="DW15" s="68"/>
      <c r="DX15" s="73" t="s">
        <v>18</v>
      </c>
      <c r="DY15" s="67" t="s">
        <v>55</v>
      </c>
      <c r="DZ15" s="68"/>
      <c r="EA15" s="76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67" t="s">
        <v>15</v>
      </c>
      <c r="EV15" s="68"/>
      <c r="EW15" s="73" t="s">
        <v>18</v>
      </c>
      <c r="EX15" s="67" t="s">
        <v>55</v>
      </c>
      <c r="EY15" s="68"/>
      <c r="EZ15" s="76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75">
      <c r="A16" s="69"/>
      <c r="B16" s="70"/>
      <c r="C16" s="74"/>
      <c r="D16" s="69"/>
      <c r="E16" s="70"/>
      <c r="F16" s="77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880</v>
      </c>
      <c r="P16" s="21"/>
      <c r="Q16" s="20">
        <f>M16*O16</f>
        <v>880</v>
      </c>
      <c r="R16" s="21"/>
      <c r="S16" s="2"/>
      <c r="T16" s="2"/>
      <c r="U16" s="2"/>
      <c r="V16" s="2"/>
      <c r="W16" s="2"/>
      <c r="X16" s="2"/>
      <c r="Y16" s="2"/>
      <c r="Z16" s="69"/>
      <c r="AA16" s="70"/>
      <c r="AB16" s="74"/>
      <c r="AC16" s="69"/>
      <c r="AD16" s="70"/>
      <c r="AE16" s="77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880</v>
      </c>
      <c r="AO16" s="21"/>
      <c r="AP16" s="20">
        <f>AL16*AN16</f>
        <v>880</v>
      </c>
      <c r="AQ16" s="21"/>
      <c r="AR16" s="2"/>
      <c r="AS16" s="2"/>
      <c r="AT16" s="2"/>
      <c r="AU16" s="2"/>
      <c r="AV16" s="2"/>
      <c r="AW16" s="2"/>
      <c r="AX16" s="2"/>
      <c r="AY16" s="69"/>
      <c r="AZ16" s="70"/>
      <c r="BA16" s="74"/>
      <c r="BB16" s="69"/>
      <c r="BC16" s="70"/>
      <c r="BD16" s="77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880</v>
      </c>
      <c r="BN16" s="21"/>
      <c r="BO16" s="20">
        <f>BK16*BM16</f>
        <v>880</v>
      </c>
      <c r="BP16" s="21"/>
      <c r="BQ16" s="2"/>
      <c r="BR16" s="2"/>
      <c r="BS16" s="2"/>
      <c r="BT16" s="2"/>
      <c r="BU16" s="2"/>
      <c r="BV16" s="2"/>
      <c r="BW16" s="2"/>
      <c r="BX16" s="69"/>
      <c r="BY16" s="70"/>
      <c r="BZ16" s="74"/>
      <c r="CA16" s="69"/>
      <c r="CB16" s="70"/>
      <c r="CC16" s="77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880</v>
      </c>
      <c r="CM16" s="21"/>
      <c r="CN16" s="20">
        <f>CJ16*CL16</f>
        <v>880</v>
      </c>
      <c r="CO16" s="21"/>
      <c r="CP16" s="2"/>
      <c r="CQ16" s="2"/>
      <c r="CR16" s="2"/>
      <c r="CS16" s="2"/>
      <c r="CT16" s="2"/>
      <c r="CU16" s="2"/>
      <c r="CV16" s="2"/>
      <c r="CW16" s="69"/>
      <c r="CX16" s="70"/>
      <c r="CY16" s="74"/>
      <c r="CZ16" s="69"/>
      <c r="DA16" s="70"/>
      <c r="DB16" s="77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880</v>
      </c>
      <c r="DL16" s="21"/>
      <c r="DM16" s="20">
        <f>DI16*DK16</f>
        <v>880</v>
      </c>
      <c r="DN16" s="21"/>
      <c r="DO16" s="2"/>
      <c r="DP16" s="2"/>
      <c r="DQ16" s="2"/>
      <c r="DR16" s="2"/>
      <c r="DS16" s="2"/>
      <c r="DT16" s="2"/>
      <c r="DU16" s="2"/>
      <c r="DV16" s="69"/>
      <c r="DW16" s="70"/>
      <c r="DX16" s="74"/>
      <c r="DY16" s="69"/>
      <c r="DZ16" s="70"/>
      <c r="EA16" s="77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880</v>
      </c>
      <c r="EK16" s="21"/>
      <c r="EL16" s="20">
        <f>EH16*EJ16</f>
        <v>880</v>
      </c>
      <c r="EM16" s="21"/>
      <c r="EN16" s="2"/>
      <c r="EO16" s="2"/>
      <c r="EP16" s="2"/>
      <c r="EQ16" s="2"/>
      <c r="ER16" s="2"/>
      <c r="ES16" s="2"/>
      <c r="ET16" s="2"/>
      <c r="EU16" s="69"/>
      <c r="EV16" s="70"/>
      <c r="EW16" s="74"/>
      <c r="EX16" s="69"/>
      <c r="EY16" s="70"/>
      <c r="EZ16" s="77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880</v>
      </c>
      <c r="FJ16" s="21"/>
      <c r="FK16" s="20">
        <f>FG16*FI16</f>
        <v>880</v>
      </c>
      <c r="FL16" s="21"/>
      <c r="FM16" s="2"/>
      <c r="FN16" s="2"/>
      <c r="FO16" s="2"/>
      <c r="FP16" s="2"/>
      <c r="FQ16" s="2"/>
      <c r="FR16" s="2"/>
      <c r="FS16" s="2"/>
    </row>
    <row r="17" spans="1:175" ht="15.75">
      <c r="A17" s="69"/>
      <c r="B17" s="70"/>
      <c r="C17" s="74"/>
      <c r="D17" s="69"/>
      <c r="E17" s="70"/>
      <c r="F17" s="77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69"/>
      <c r="AA17" s="70"/>
      <c r="AB17" s="74"/>
      <c r="AC17" s="69"/>
      <c r="AD17" s="70"/>
      <c r="AE17" s="77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69"/>
      <c r="AZ17" s="70"/>
      <c r="BA17" s="74"/>
      <c r="BB17" s="69"/>
      <c r="BC17" s="70"/>
      <c r="BD17" s="77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69"/>
      <c r="BY17" s="70"/>
      <c r="BZ17" s="74"/>
      <c r="CA17" s="69"/>
      <c r="CB17" s="70"/>
      <c r="CC17" s="77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69"/>
      <c r="CX17" s="70"/>
      <c r="CY17" s="74"/>
      <c r="CZ17" s="69"/>
      <c r="DA17" s="70"/>
      <c r="DB17" s="77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69"/>
      <c r="DW17" s="70"/>
      <c r="DX17" s="74"/>
      <c r="DY17" s="69"/>
      <c r="DZ17" s="70"/>
      <c r="EA17" s="77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69"/>
      <c r="EV17" s="70"/>
      <c r="EW17" s="74"/>
      <c r="EX17" s="69"/>
      <c r="EY17" s="70"/>
      <c r="EZ17" s="77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71"/>
      <c r="B18" s="72"/>
      <c r="C18" s="75"/>
      <c r="D18" s="71"/>
      <c r="E18" s="72"/>
      <c r="F18" s="78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71"/>
      <c r="AA18" s="72"/>
      <c r="AB18" s="75"/>
      <c r="AC18" s="71"/>
      <c r="AD18" s="72"/>
      <c r="AE18" s="78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71"/>
      <c r="AZ18" s="72"/>
      <c r="BA18" s="75"/>
      <c r="BB18" s="71"/>
      <c r="BC18" s="72"/>
      <c r="BD18" s="78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71"/>
      <c r="BY18" s="72"/>
      <c r="BZ18" s="75"/>
      <c r="CA18" s="71"/>
      <c r="CB18" s="72"/>
      <c r="CC18" s="78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71"/>
      <c r="CX18" s="72"/>
      <c r="CY18" s="75"/>
      <c r="CZ18" s="71"/>
      <c r="DA18" s="72"/>
      <c r="DB18" s="78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71"/>
      <c r="DW18" s="72"/>
      <c r="DX18" s="75"/>
      <c r="DY18" s="71"/>
      <c r="DZ18" s="72"/>
      <c r="EA18" s="78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71"/>
      <c r="EV18" s="72"/>
      <c r="EW18" s="75"/>
      <c r="EX18" s="71"/>
      <c r="EY18" s="72"/>
      <c r="EZ18" s="78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75">
      <c r="A19" s="67" t="s">
        <v>27</v>
      </c>
      <c r="B19" s="68"/>
      <c r="C19" s="73" t="s">
        <v>28</v>
      </c>
      <c r="D19" s="67" t="s">
        <v>55</v>
      </c>
      <c r="E19" s="68"/>
      <c r="F19" s="76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440</v>
      </c>
      <c r="P19" s="21"/>
      <c r="Q19" s="20">
        <f>M19*O19</f>
        <v>440</v>
      </c>
      <c r="R19" s="21"/>
      <c r="S19" s="2"/>
      <c r="T19" s="2"/>
      <c r="U19" s="2"/>
      <c r="V19" s="2"/>
      <c r="W19" s="2"/>
      <c r="X19" s="2"/>
      <c r="Y19" s="2"/>
      <c r="Z19" s="67" t="s">
        <v>27</v>
      </c>
      <c r="AA19" s="68"/>
      <c r="AB19" s="73" t="s">
        <v>29</v>
      </c>
      <c r="AC19" s="67" t="s">
        <v>55</v>
      </c>
      <c r="AD19" s="68"/>
      <c r="AE19" s="76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440</v>
      </c>
      <c r="AO19" s="21"/>
      <c r="AP19" s="20">
        <f>AL19*AN19</f>
        <v>440</v>
      </c>
      <c r="AQ19" s="21"/>
      <c r="AR19" s="2"/>
      <c r="AS19" s="2"/>
      <c r="AT19" s="2"/>
      <c r="AU19" s="2"/>
      <c r="AV19" s="2"/>
      <c r="AW19" s="2"/>
      <c r="AX19" s="2"/>
      <c r="AY19" s="67" t="s">
        <v>27</v>
      </c>
      <c r="AZ19" s="68"/>
      <c r="BA19" s="73" t="s">
        <v>30</v>
      </c>
      <c r="BB19" s="67" t="s">
        <v>55</v>
      </c>
      <c r="BC19" s="68"/>
      <c r="BD19" s="76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440</v>
      </c>
      <c r="BN19" s="21"/>
      <c r="BO19" s="20">
        <f>BK19*BM19</f>
        <v>440</v>
      </c>
      <c r="BP19" s="21"/>
      <c r="BQ19" s="2"/>
      <c r="BR19" s="2"/>
      <c r="BS19" s="2"/>
      <c r="BT19" s="2"/>
      <c r="BU19" s="2"/>
      <c r="BV19" s="2"/>
      <c r="BW19" s="2"/>
      <c r="BX19" s="67" t="s">
        <v>27</v>
      </c>
      <c r="BY19" s="68"/>
      <c r="BZ19" s="73" t="s">
        <v>31</v>
      </c>
      <c r="CA19" s="67" t="s">
        <v>55</v>
      </c>
      <c r="CB19" s="68"/>
      <c r="CC19" s="76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440</v>
      </c>
      <c r="CM19" s="21"/>
      <c r="CN19" s="20">
        <f>CJ19*CL19</f>
        <v>440</v>
      </c>
      <c r="CO19" s="21"/>
      <c r="CP19" s="2"/>
      <c r="CQ19" s="2"/>
      <c r="CR19" s="2"/>
      <c r="CS19" s="2"/>
      <c r="CT19" s="2"/>
      <c r="CU19" s="2"/>
      <c r="CV19" s="2"/>
      <c r="CW19" s="67" t="s">
        <v>27</v>
      </c>
      <c r="CX19" s="68"/>
      <c r="CY19" s="73" t="s">
        <v>32</v>
      </c>
      <c r="CZ19" s="67" t="s">
        <v>55</v>
      </c>
      <c r="DA19" s="68"/>
      <c r="DB19" s="76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440</v>
      </c>
      <c r="DL19" s="21"/>
      <c r="DM19" s="20">
        <f>DI19*DK19</f>
        <v>440</v>
      </c>
      <c r="DN19" s="21"/>
      <c r="DO19" s="2"/>
      <c r="DP19" s="2"/>
      <c r="DQ19" s="2"/>
      <c r="DR19" s="2"/>
      <c r="DS19" s="2"/>
      <c r="DT19" s="2"/>
      <c r="DU19" s="2"/>
      <c r="DV19" s="67" t="s">
        <v>27</v>
      </c>
      <c r="DW19" s="68"/>
      <c r="DX19" s="73" t="s">
        <v>28</v>
      </c>
      <c r="DY19" s="67" t="s">
        <v>55</v>
      </c>
      <c r="DZ19" s="68"/>
      <c r="EA19" s="76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440</v>
      </c>
      <c r="EK19" s="21"/>
      <c r="EL19" s="20">
        <f>EH19*EJ19</f>
        <v>440</v>
      </c>
      <c r="EM19" s="21"/>
      <c r="EN19" s="2"/>
      <c r="EO19" s="2"/>
      <c r="EP19" s="2"/>
      <c r="EQ19" s="2"/>
      <c r="ER19" s="2"/>
      <c r="ES19" s="2"/>
      <c r="ET19" s="2"/>
      <c r="EU19" s="67" t="s">
        <v>27</v>
      </c>
      <c r="EV19" s="68"/>
      <c r="EW19" s="73" t="s">
        <v>28</v>
      </c>
      <c r="EX19" s="67" t="s">
        <v>55</v>
      </c>
      <c r="EY19" s="68"/>
      <c r="EZ19" s="76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440</v>
      </c>
      <c r="FJ19" s="21"/>
      <c r="FK19" s="20">
        <f>FG19*FI19</f>
        <v>440</v>
      </c>
      <c r="FL19" s="21"/>
      <c r="FM19" s="2"/>
      <c r="FN19" s="2"/>
      <c r="FO19" s="2"/>
      <c r="FP19" s="2"/>
      <c r="FQ19" s="2"/>
      <c r="FR19" s="2"/>
      <c r="FS19" s="2"/>
    </row>
    <row r="20" spans="1:175" ht="15.75">
      <c r="A20" s="69"/>
      <c r="B20" s="70"/>
      <c r="C20" s="74"/>
      <c r="D20" s="69"/>
      <c r="E20" s="70"/>
      <c r="F20" s="77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69"/>
      <c r="AA20" s="70"/>
      <c r="AB20" s="74"/>
      <c r="AC20" s="69"/>
      <c r="AD20" s="70"/>
      <c r="AE20" s="77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69"/>
      <c r="AZ20" s="70"/>
      <c r="BA20" s="74"/>
      <c r="BB20" s="69"/>
      <c r="BC20" s="70"/>
      <c r="BD20" s="77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69"/>
      <c r="BY20" s="70"/>
      <c r="BZ20" s="74"/>
      <c r="CA20" s="69"/>
      <c r="CB20" s="70"/>
      <c r="CC20" s="77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69"/>
      <c r="CX20" s="70"/>
      <c r="CY20" s="74"/>
      <c r="CZ20" s="69"/>
      <c r="DA20" s="70"/>
      <c r="DB20" s="77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69"/>
      <c r="DW20" s="70"/>
      <c r="DX20" s="74"/>
      <c r="DY20" s="69"/>
      <c r="DZ20" s="70"/>
      <c r="EA20" s="77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69"/>
      <c r="EV20" s="70"/>
      <c r="EW20" s="74"/>
      <c r="EX20" s="69"/>
      <c r="EY20" s="70"/>
      <c r="EZ20" s="77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69"/>
      <c r="B21" s="70"/>
      <c r="C21" s="74"/>
      <c r="D21" s="69"/>
      <c r="E21" s="70"/>
      <c r="F21" s="77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69"/>
      <c r="AA21" s="70"/>
      <c r="AB21" s="74"/>
      <c r="AC21" s="69"/>
      <c r="AD21" s="70"/>
      <c r="AE21" s="77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69"/>
      <c r="AZ21" s="70"/>
      <c r="BA21" s="74"/>
      <c r="BB21" s="69"/>
      <c r="BC21" s="70"/>
      <c r="BD21" s="77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69"/>
      <c r="BY21" s="70"/>
      <c r="BZ21" s="74"/>
      <c r="CA21" s="69"/>
      <c r="CB21" s="70"/>
      <c r="CC21" s="77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69"/>
      <c r="CX21" s="70"/>
      <c r="CY21" s="74"/>
      <c r="CZ21" s="69"/>
      <c r="DA21" s="70"/>
      <c r="DB21" s="77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69"/>
      <c r="DW21" s="70"/>
      <c r="DX21" s="74"/>
      <c r="DY21" s="69"/>
      <c r="DZ21" s="70"/>
      <c r="EA21" s="77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69"/>
      <c r="EV21" s="70"/>
      <c r="EW21" s="74"/>
      <c r="EX21" s="69"/>
      <c r="EY21" s="70"/>
      <c r="EZ21" s="77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71"/>
      <c r="B22" s="72"/>
      <c r="C22" s="75"/>
      <c r="D22" s="71"/>
      <c r="E22" s="72"/>
      <c r="F22" s="78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1078</v>
      </c>
      <c r="P22" s="21"/>
      <c r="Q22" s="20">
        <f>M22*O22</f>
        <v>1078</v>
      </c>
      <c r="R22" s="21"/>
      <c r="S22" s="2"/>
      <c r="T22" s="2"/>
      <c r="U22" s="2"/>
      <c r="V22" s="2"/>
      <c r="W22" s="2"/>
      <c r="X22" s="2"/>
      <c r="Y22" s="2"/>
      <c r="Z22" s="71"/>
      <c r="AA22" s="72"/>
      <c r="AB22" s="75"/>
      <c r="AC22" s="71"/>
      <c r="AD22" s="72"/>
      <c r="AE22" s="78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1078</v>
      </c>
      <c r="AO22" s="21"/>
      <c r="AP22" s="20">
        <f>AL22*AN22</f>
        <v>1078</v>
      </c>
      <c r="AQ22" s="21"/>
      <c r="AR22" s="2"/>
      <c r="AS22" s="2"/>
      <c r="AT22" s="2"/>
      <c r="AU22" s="2"/>
      <c r="AV22" s="2"/>
      <c r="AW22" s="2"/>
      <c r="AX22" s="2"/>
      <c r="AY22" s="71"/>
      <c r="AZ22" s="72"/>
      <c r="BA22" s="75"/>
      <c r="BB22" s="71"/>
      <c r="BC22" s="72"/>
      <c r="BD22" s="78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1078</v>
      </c>
      <c r="BN22" s="21"/>
      <c r="BO22" s="20">
        <f>BK22*BM22</f>
        <v>1078</v>
      </c>
      <c r="BP22" s="21"/>
      <c r="BQ22" s="2"/>
      <c r="BR22" s="2"/>
      <c r="BS22" s="2"/>
      <c r="BT22" s="2"/>
      <c r="BU22" s="2"/>
      <c r="BV22" s="2"/>
      <c r="BW22" s="2"/>
      <c r="BX22" s="71"/>
      <c r="BY22" s="72"/>
      <c r="BZ22" s="75"/>
      <c r="CA22" s="71"/>
      <c r="CB22" s="72"/>
      <c r="CC22" s="78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1078</v>
      </c>
      <c r="CM22" s="21"/>
      <c r="CN22" s="20">
        <f>CJ22*CL22</f>
        <v>1078</v>
      </c>
      <c r="CO22" s="21"/>
      <c r="CP22" s="2"/>
      <c r="CQ22" s="2"/>
      <c r="CR22" s="2"/>
      <c r="CS22" s="2"/>
      <c r="CT22" s="2"/>
      <c r="CU22" s="2"/>
      <c r="CV22" s="2"/>
      <c r="CW22" s="71"/>
      <c r="CX22" s="72"/>
      <c r="CY22" s="75"/>
      <c r="CZ22" s="71"/>
      <c r="DA22" s="72"/>
      <c r="DB22" s="78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1078</v>
      </c>
      <c r="DL22" s="21"/>
      <c r="DM22" s="20">
        <f>DI22*DK22</f>
        <v>1078</v>
      </c>
      <c r="DN22" s="21"/>
      <c r="DO22" s="2"/>
      <c r="DP22" s="2"/>
      <c r="DQ22" s="2"/>
      <c r="DR22" s="2"/>
      <c r="DS22" s="2"/>
      <c r="DT22" s="2"/>
      <c r="DU22" s="2"/>
      <c r="DV22" s="71"/>
      <c r="DW22" s="72"/>
      <c r="DX22" s="75"/>
      <c r="DY22" s="71"/>
      <c r="DZ22" s="72"/>
      <c r="EA22" s="78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1078</v>
      </c>
      <c r="EK22" s="21"/>
      <c r="EL22" s="20">
        <f>EH22*EJ22</f>
        <v>1078</v>
      </c>
      <c r="EM22" s="21"/>
      <c r="EN22" s="2"/>
      <c r="EO22" s="2"/>
      <c r="EP22" s="2"/>
      <c r="EQ22" s="2"/>
      <c r="ER22" s="2"/>
      <c r="ES22" s="2"/>
      <c r="ET22" s="2"/>
      <c r="EU22" s="71"/>
      <c r="EV22" s="72"/>
      <c r="EW22" s="75"/>
      <c r="EX22" s="71"/>
      <c r="EY22" s="72"/>
      <c r="EZ22" s="78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1078</v>
      </c>
      <c r="FJ22" s="21"/>
      <c r="FK22" s="20">
        <f>FG22*FI22</f>
        <v>1078</v>
      </c>
      <c r="FL22" s="21"/>
      <c r="FM22" s="2"/>
      <c r="FN22" s="2"/>
      <c r="FO22" s="2"/>
      <c r="FP22" s="2"/>
      <c r="FQ22" s="2"/>
      <c r="FR22" s="2"/>
      <c r="FS22" s="2"/>
    </row>
    <row r="23" spans="1:175" ht="15.7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7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1100</v>
      </c>
      <c r="P25" s="21"/>
      <c r="Q25" s="20">
        <f>M25*O25</f>
        <v>2200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1100</v>
      </c>
      <c r="AO25" s="21"/>
      <c r="AP25" s="20">
        <f>AL25*AN25</f>
        <v>2200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1100</v>
      </c>
      <c r="BN25" s="21"/>
      <c r="BO25" s="20">
        <f>BK25*BM25</f>
        <v>2200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1100</v>
      </c>
      <c r="CM25" s="21"/>
      <c r="CN25" s="20">
        <f>CJ25*CL25</f>
        <v>2200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1100</v>
      </c>
      <c r="DL25" s="21"/>
      <c r="DM25" s="20">
        <f>DI25*DK25</f>
        <v>2200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1100</v>
      </c>
      <c r="EK25" s="21"/>
      <c r="EL25" s="20">
        <f>EH25*EJ25</f>
        <v>2200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1100</v>
      </c>
      <c r="FJ25" s="21"/>
      <c r="FK25" s="20">
        <f>FG25*FI25</f>
        <v>2200</v>
      </c>
      <c r="FL25" s="21"/>
      <c r="FM25" s="2"/>
      <c r="FN25" s="2"/>
      <c r="FO25" s="2"/>
      <c r="FP25" s="2"/>
      <c r="FQ25" s="2"/>
      <c r="FR25" s="2"/>
      <c r="FS25" s="2"/>
    </row>
    <row r="26" spans="1:175" ht="15.7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7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1100</v>
      </c>
      <c r="P28" s="21"/>
      <c r="Q28" s="20">
        <f>M28*O28</f>
        <v>1100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1100</v>
      </c>
      <c r="AO28" s="21"/>
      <c r="AP28" s="20">
        <f>AL28*AN28</f>
        <v>1100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1100</v>
      </c>
      <c r="BN28" s="21"/>
      <c r="BO28" s="20">
        <f>BK28*BM28</f>
        <v>1100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1100</v>
      </c>
      <c r="CM28" s="21"/>
      <c r="CN28" s="20">
        <f>CJ28*CL28</f>
        <v>1100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1100</v>
      </c>
      <c r="DL28" s="21"/>
      <c r="DM28" s="20">
        <f>DI28*DK28</f>
        <v>1100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1100</v>
      </c>
      <c r="EK28" s="21"/>
      <c r="EL28" s="20">
        <f>EH28*EJ28</f>
        <v>1100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1100</v>
      </c>
      <c r="FJ28" s="21"/>
      <c r="FK28" s="20">
        <f>FG28*FI28</f>
        <v>1100</v>
      </c>
      <c r="FL28" s="21"/>
      <c r="FM28" s="2"/>
      <c r="FN28" s="2"/>
      <c r="FO28" s="2"/>
      <c r="FP28" s="2"/>
      <c r="FQ28" s="2"/>
      <c r="FR28" s="2"/>
      <c r="FS28" s="2"/>
    </row>
    <row r="29" spans="1:175" ht="15.7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75">
      <c r="A33" s="2"/>
      <c r="B33" s="2"/>
      <c r="C33" s="48" t="s">
        <v>61</v>
      </c>
      <c r="D33" s="49"/>
      <c r="E33" s="49"/>
      <c r="F33" s="50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8" t="s">
        <v>62</v>
      </c>
      <c r="AC33" s="49"/>
      <c r="AD33" s="49"/>
      <c r="AE33" s="50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48" t="s">
        <v>63</v>
      </c>
      <c r="BB33" s="49"/>
      <c r="BC33" s="49"/>
      <c r="BD33" s="50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8" t="s">
        <v>64</v>
      </c>
      <c r="CA33" s="49"/>
      <c r="CB33" s="49"/>
      <c r="CC33" s="50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48" t="s">
        <v>65</v>
      </c>
      <c r="CZ33" s="49"/>
      <c r="DA33" s="49"/>
      <c r="DB33" s="50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48" t="s">
        <v>66</v>
      </c>
      <c r="DY33" s="49"/>
      <c r="DZ33" s="49"/>
      <c r="EA33" s="50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48" t="s">
        <v>67</v>
      </c>
      <c r="EX33" s="49"/>
      <c r="EY33" s="49"/>
      <c r="EZ33" s="50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9.5" thickBot="1">
      <c r="A34" s="2"/>
      <c r="B34" s="2"/>
      <c r="C34" s="51"/>
      <c r="D34" s="52"/>
      <c r="E34" s="52"/>
      <c r="F34" s="53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51"/>
      <c r="AC34" s="52"/>
      <c r="AD34" s="52"/>
      <c r="AE34" s="53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51"/>
      <c r="BB34" s="52"/>
      <c r="BC34" s="52"/>
      <c r="BD34" s="53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1"/>
      <c r="CA34" s="52"/>
      <c r="CB34" s="52"/>
      <c r="CC34" s="53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51"/>
      <c r="CZ34" s="52"/>
      <c r="DA34" s="52"/>
      <c r="DB34" s="53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51"/>
      <c r="DY34" s="52"/>
      <c r="DZ34" s="52"/>
      <c r="EA34" s="53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51"/>
      <c r="EX34" s="52"/>
      <c r="EY34" s="52"/>
      <c r="EZ34" s="53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 ht="14.45" customHeight="1">
      <c r="A35" s="2"/>
      <c r="B35" s="2"/>
      <c r="C35" s="54" t="s">
        <v>68</v>
      </c>
      <c r="D35" s="54">
        <f>F11+F15+F19</f>
        <v>1110</v>
      </c>
      <c r="E35" s="54" t="s">
        <v>69</v>
      </c>
      <c r="F35" s="54">
        <f>D35-D39</f>
        <v>-5798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54" t="s">
        <v>68</v>
      </c>
      <c r="AC35" s="54">
        <f>AE11+AE15+AE19</f>
        <v>1165</v>
      </c>
      <c r="AD35" s="54" t="s">
        <v>69</v>
      </c>
      <c r="AE35" s="54">
        <f>AC35-AC39</f>
        <v>-5743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54" t="s">
        <v>68</v>
      </c>
      <c r="BB35" s="54">
        <f>BD11+BD15+BD19</f>
        <v>1270</v>
      </c>
      <c r="BC35" s="54" t="s">
        <v>69</v>
      </c>
      <c r="BD35" s="54">
        <f>BB35-BB39</f>
        <v>-5638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4" t="s">
        <v>68</v>
      </c>
      <c r="CA35" s="54">
        <f>CC11+CC15+CC19</f>
        <v>1170</v>
      </c>
      <c r="CB35" s="54" t="s">
        <v>69</v>
      </c>
      <c r="CC35" s="54">
        <f>CA35-CA39</f>
        <v>-5738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54" t="s">
        <v>68</v>
      </c>
      <c r="CZ35" s="54">
        <f>DB11+DB15+DB19</f>
        <v>1120</v>
      </c>
      <c r="DA35" s="54" t="s">
        <v>69</v>
      </c>
      <c r="DB35" s="54">
        <f>CZ35-CZ39</f>
        <v>-5788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54" t="s">
        <v>68</v>
      </c>
      <c r="DY35" s="54">
        <f>EA11+EA15+EA19</f>
        <v>1110</v>
      </c>
      <c r="DZ35" s="54" t="s">
        <v>69</v>
      </c>
      <c r="EA35" s="54">
        <f>DY35-DY39</f>
        <v>-5798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54" t="s">
        <v>68</v>
      </c>
      <c r="EX35" s="54">
        <f>EZ11+EZ15+EZ19</f>
        <v>1110</v>
      </c>
      <c r="EY35" s="54" t="s">
        <v>69</v>
      </c>
      <c r="EZ35" s="54">
        <f>EX35-EX39</f>
        <v>-5798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 ht="14.45" customHeight="1">
      <c r="A36" s="2"/>
      <c r="B36" s="2"/>
      <c r="C36" s="54"/>
      <c r="D36" s="54"/>
      <c r="E36" s="54"/>
      <c r="F36" s="54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54"/>
      <c r="AC36" s="54"/>
      <c r="AD36" s="54"/>
      <c r="AE36" s="54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54"/>
      <c r="BB36" s="54"/>
      <c r="BC36" s="54"/>
      <c r="BD36" s="54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4"/>
      <c r="CA36" s="54"/>
      <c r="CB36" s="54"/>
      <c r="CC36" s="54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54"/>
      <c r="CZ36" s="54"/>
      <c r="DA36" s="54"/>
      <c r="DB36" s="54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54"/>
      <c r="DY36" s="54"/>
      <c r="DZ36" s="54"/>
      <c r="EA36" s="54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54"/>
      <c r="EX36" s="54"/>
      <c r="EY36" s="54"/>
      <c r="EZ36" s="54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 ht="14.45" customHeight="1">
      <c r="A37" s="2"/>
      <c r="B37" s="2"/>
      <c r="C37" s="54"/>
      <c r="D37" s="54"/>
      <c r="E37" s="54"/>
      <c r="F37" s="54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4"/>
      <c r="AC37" s="54"/>
      <c r="AD37" s="54"/>
      <c r="AE37" s="54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54"/>
      <c r="BB37" s="54"/>
      <c r="BC37" s="54"/>
      <c r="BD37" s="54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4"/>
      <c r="CA37" s="54"/>
      <c r="CB37" s="54"/>
      <c r="CC37" s="54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54"/>
      <c r="CZ37" s="54"/>
      <c r="DA37" s="54"/>
      <c r="DB37" s="54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54"/>
      <c r="DY37" s="54"/>
      <c r="DZ37" s="54"/>
      <c r="EA37" s="54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54"/>
      <c r="EX37" s="54"/>
      <c r="EY37" s="54"/>
      <c r="EZ37" s="54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" customHeight="1" thickBot="1">
      <c r="A38" s="2"/>
      <c r="B38" s="2"/>
      <c r="C38" s="55"/>
      <c r="D38" s="55"/>
      <c r="E38" s="55"/>
      <c r="F38" s="55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55"/>
      <c r="AC38" s="55"/>
      <c r="AD38" s="55"/>
      <c r="AE38" s="55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55"/>
      <c r="BB38" s="55"/>
      <c r="BC38" s="55"/>
      <c r="BD38" s="55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5"/>
      <c r="CA38" s="55"/>
      <c r="CB38" s="55"/>
      <c r="CC38" s="55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55"/>
      <c r="CZ38" s="55"/>
      <c r="DA38" s="55"/>
      <c r="DB38" s="55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55"/>
      <c r="DY38" s="55"/>
      <c r="DZ38" s="55"/>
      <c r="EA38" s="55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55"/>
      <c r="EX38" s="55"/>
      <c r="EY38" s="55"/>
      <c r="EZ38" s="55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 ht="14.45" customHeight="1">
      <c r="A39" s="2"/>
      <c r="B39" s="2"/>
      <c r="C39" s="54" t="s">
        <v>70</v>
      </c>
      <c r="D39" s="54">
        <f>SUM(Q13:Q28)</f>
        <v>6908</v>
      </c>
      <c r="E39" s="54" t="s">
        <v>71</v>
      </c>
      <c r="F39" s="54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54" t="s">
        <v>70</v>
      </c>
      <c r="AC39" s="54">
        <f>SUM(AP13:AP28)</f>
        <v>6908</v>
      </c>
      <c r="AD39" s="54" t="s">
        <v>71</v>
      </c>
      <c r="AE39" s="54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54" t="s">
        <v>70</v>
      </c>
      <c r="BB39" s="54">
        <f>SUM(BO13:BO28)</f>
        <v>6908</v>
      </c>
      <c r="BC39" s="54" t="s">
        <v>71</v>
      </c>
      <c r="BD39" s="54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4" t="s">
        <v>70</v>
      </c>
      <c r="CA39" s="54">
        <f>SUM(CN13:CN28)</f>
        <v>6908</v>
      </c>
      <c r="CB39" s="54" t="s">
        <v>71</v>
      </c>
      <c r="CC39" s="54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54" t="s">
        <v>70</v>
      </c>
      <c r="CZ39" s="54">
        <f>SUM(DM13:DM28)</f>
        <v>6908</v>
      </c>
      <c r="DA39" s="54" t="s">
        <v>71</v>
      </c>
      <c r="DB39" s="54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54" t="s">
        <v>70</v>
      </c>
      <c r="DY39" s="54">
        <f>SUM(EL13:EL28)</f>
        <v>6908</v>
      </c>
      <c r="DZ39" s="54" t="s">
        <v>71</v>
      </c>
      <c r="EA39" s="54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54" t="s">
        <v>70</v>
      </c>
      <c r="EX39" s="54">
        <f>SUM(FK13:FK28)</f>
        <v>6908</v>
      </c>
      <c r="EY39" s="54" t="s">
        <v>71</v>
      </c>
      <c r="EZ39" s="54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 ht="14.45" customHeight="1">
      <c r="A40" s="2"/>
      <c r="B40" s="2"/>
      <c r="C40" s="54"/>
      <c r="D40" s="54"/>
      <c r="E40" s="54"/>
      <c r="F40" s="54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54"/>
      <c r="AC40" s="54"/>
      <c r="AD40" s="54"/>
      <c r="AE40" s="54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54"/>
      <c r="BB40" s="54"/>
      <c r="BC40" s="54"/>
      <c r="BD40" s="54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4"/>
      <c r="CA40" s="54"/>
      <c r="CB40" s="54"/>
      <c r="CC40" s="54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54"/>
      <c r="CZ40" s="54"/>
      <c r="DA40" s="54"/>
      <c r="DB40" s="54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54"/>
      <c r="DY40" s="54"/>
      <c r="DZ40" s="54"/>
      <c r="EA40" s="54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54"/>
      <c r="EX40" s="54"/>
      <c r="EY40" s="54"/>
      <c r="EZ40" s="54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 ht="14.45" customHeight="1">
      <c r="A41" s="2"/>
      <c r="B41" s="2"/>
      <c r="C41" s="54"/>
      <c r="D41" s="54"/>
      <c r="E41" s="54"/>
      <c r="F41" s="54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4"/>
      <c r="AC41" s="54"/>
      <c r="AD41" s="54"/>
      <c r="AE41" s="54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54"/>
      <c r="BB41" s="54"/>
      <c r="BC41" s="54"/>
      <c r="BD41" s="54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4"/>
      <c r="CA41" s="54"/>
      <c r="CB41" s="54"/>
      <c r="CC41" s="54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54"/>
      <c r="CZ41" s="54"/>
      <c r="DA41" s="54"/>
      <c r="DB41" s="54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54"/>
      <c r="DY41" s="54"/>
      <c r="DZ41" s="54"/>
      <c r="EA41" s="54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54"/>
      <c r="EX41" s="54"/>
      <c r="EY41" s="54"/>
      <c r="EZ41" s="54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" customHeight="1" thickBot="1">
      <c r="A42" s="2"/>
      <c r="B42" s="2"/>
      <c r="C42" s="55"/>
      <c r="D42" s="55"/>
      <c r="E42" s="55"/>
      <c r="F42" s="55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5"/>
      <c r="AC42" s="55"/>
      <c r="AD42" s="55"/>
      <c r="AE42" s="55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55"/>
      <c r="BB42" s="55"/>
      <c r="BC42" s="55"/>
      <c r="BD42" s="55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5"/>
      <c r="CA42" s="55"/>
      <c r="CB42" s="55"/>
      <c r="CC42" s="55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5"/>
      <c r="CZ42" s="55"/>
      <c r="DA42" s="55"/>
      <c r="DB42" s="55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55"/>
      <c r="DY42" s="55"/>
      <c r="DZ42" s="55"/>
      <c r="EA42" s="55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55"/>
      <c r="EX42" s="55"/>
      <c r="EY42" s="55"/>
      <c r="EZ42" s="55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.7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4.45" customHeight="1">
      <c r="A50" s="2"/>
      <c r="B50" s="2"/>
      <c r="C50" s="2"/>
      <c r="D50" s="2"/>
      <c r="E50" s="48" t="s">
        <v>72</v>
      </c>
      <c r="F50" s="49"/>
      <c r="G50" s="49"/>
      <c r="H50" s="50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79"/>
      <c r="BD50" s="79"/>
      <c r="BE50" s="79"/>
      <c r="BF50" s="79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56" t="s">
        <v>72</v>
      </c>
      <c r="CC50" s="57"/>
      <c r="CD50" s="57"/>
      <c r="CE50" s="58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56" t="s">
        <v>72</v>
      </c>
      <c r="DB50" s="57"/>
      <c r="DC50" s="57"/>
      <c r="DD50" s="58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56" t="s">
        <v>72</v>
      </c>
      <c r="EA50" s="57"/>
      <c r="EB50" s="57"/>
      <c r="EC50" s="58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56" t="s">
        <v>72</v>
      </c>
      <c r="EZ50" s="57"/>
      <c r="FA50" s="57"/>
      <c r="FB50" s="58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5" customHeight="1" thickBot="1">
      <c r="A51" s="2"/>
      <c r="B51" s="2"/>
      <c r="C51" s="2"/>
      <c r="D51" s="2"/>
      <c r="E51" s="51"/>
      <c r="F51" s="52"/>
      <c r="G51" s="52"/>
      <c r="H51" s="53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79"/>
      <c r="BD51" s="79"/>
      <c r="BE51" s="79"/>
      <c r="BF51" s="79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59"/>
      <c r="CC51" s="60"/>
      <c r="CD51" s="60"/>
      <c r="CE51" s="61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59"/>
      <c r="DB51" s="60"/>
      <c r="DC51" s="60"/>
      <c r="DD51" s="61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59"/>
      <c r="EA51" s="60"/>
      <c r="EB51" s="60"/>
      <c r="EC51" s="61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59"/>
      <c r="EZ51" s="60"/>
      <c r="FA51" s="60"/>
      <c r="FB51" s="61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4.45" customHeight="1">
      <c r="A52" s="2"/>
      <c r="B52" s="2"/>
      <c r="C52" s="2"/>
      <c r="D52" s="2"/>
      <c r="E52" s="54" t="s">
        <v>68</v>
      </c>
      <c r="F52" s="67">
        <f>F35+AE35+BD35+CC35+DB35+EA35+EZ35</f>
        <v>-40301</v>
      </c>
      <c r="G52" s="80"/>
      <c r="H52" s="8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36"/>
      <c r="BD52" s="36"/>
      <c r="BE52" s="36"/>
      <c r="BF52" s="3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40" t="s">
        <v>68</v>
      </c>
      <c r="CC52" s="37"/>
      <c r="CD52" s="38"/>
      <c r="CE52" s="38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40" t="s">
        <v>68</v>
      </c>
      <c r="DB52" s="37"/>
      <c r="DC52" s="38"/>
      <c r="DD52" s="38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0" t="s">
        <v>68</v>
      </c>
      <c r="EA52" s="37"/>
      <c r="EB52" s="38"/>
      <c r="EC52" s="38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40" t="s">
        <v>68</v>
      </c>
      <c r="EZ52" s="37"/>
      <c r="FA52" s="38"/>
      <c r="FB52" s="38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4.45" customHeight="1">
      <c r="A53" s="2"/>
      <c r="B53" s="2"/>
      <c r="C53" s="2"/>
      <c r="D53" s="2"/>
      <c r="E53" s="54"/>
      <c r="F53" s="69"/>
      <c r="G53" s="81"/>
      <c r="H53" s="8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36"/>
      <c r="BD53" s="36"/>
      <c r="BE53" s="36"/>
      <c r="BF53" s="3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40"/>
      <c r="CC53" s="39"/>
      <c r="CD53" s="36"/>
      <c r="CE53" s="36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40"/>
      <c r="DB53" s="39"/>
      <c r="DC53" s="36"/>
      <c r="DD53" s="36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40"/>
      <c r="EA53" s="39"/>
      <c r="EB53" s="36"/>
      <c r="EC53" s="36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40"/>
      <c r="EZ53" s="39"/>
      <c r="FA53" s="36"/>
      <c r="FB53" s="36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4.45" customHeight="1">
      <c r="A54" s="2"/>
      <c r="B54" s="2"/>
      <c r="C54" s="2"/>
      <c r="D54" s="2"/>
      <c r="E54" s="54"/>
      <c r="F54" s="69"/>
      <c r="G54" s="81"/>
      <c r="H54" s="8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6"/>
      <c r="BD54" s="36"/>
      <c r="BE54" s="36"/>
      <c r="BF54" s="3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40"/>
      <c r="CC54" s="39"/>
      <c r="CD54" s="36"/>
      <c r="CE54" s="36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40"/>
      <c r="DB54" s="39"/>
      <c r="DC54" s="36"/>
      <c r="DD54" s="36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40"/>
      <c r="EA54" s="39"/>
      <c r="EB54" s="36"/>
      <c r="EC54" s="36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40"/>
      <c r="EZ54" s="39"/>
      <c r="FA54" s="36"/>
      <c r="FB54" s="36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5" customHeight="1" thickBot="1">
      <c r="A55" s="2"/>
      <c r="B55" s="2"/>
      <c r="C55" s="2"/>
      <c r="D55" s="2"/>
      <c r="E55" s="55"/>
      <c r="F55" s="69"/>
      <c r="G55" s="81"/>
      <c r="H55" s="8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6"/>
      <c r="BD55" s="36"/>
      <c r="BE55" s="36"/>
      <c r="BF55" s="3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41"/>
      <c r="CC55" s="39"/>
      <c r="CD55" s="36"/>
      <c r="CE55" s="36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41"/>
      <c r="DB55" s="39"/>
      <c r="DC55" s="36"/>
      <c r="DD55" s="36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41"/>
      <c r="EA55" s="39"/>
      <c r="EB55" s="36"/>
      <c r="EC55" s="36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41"/>
      <c r="EZ55" s="39"/>
      <c r="FA55" s="36"/>
      <c r="FB55" s="36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4.45" customHeight="1">
      <c r="A56" s="2"/>
      <c r="B56" s="2"/>
      <c r="C56" s="2"/>
      <c r="D56" s="2"/>
      <c r="E56" s="54" t="s">
        <v>70</v>
      </c>
      <c r="F56" s="67">
        <f>D39+AC39+BB39+CA39+CZ39+DY39+EX39</f>
        <v>48356</v>
      </c>
      <c r="G56" s="80"/>
      <c r="H56" s="8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36"/>
      <c r="BD56" s="36"/>
      <c r="BE56" s="36"/>
      <c r="BF56" s="3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40" t="s">
        <v>70</v>
      </c>
      <c r="CC56" s="37"/>
      <c r="CD56" s="38"/>
      <c r="CE56" s="38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40" t="s">
        <v>70</v>
      </c>
      <c r="DB56" s="37"/>
      <c r="DC56" s="38"/>
      <c r="DD56" s="38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40" t="s">
        <v>70</v>
      </c>
      <c r="EA56" s="37"/>
      <c r="EB56" s="38"/>
      <c r="EC56" s="38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40" t="s">
        <v>70</v>
      </c>
      <c r="EZ56" s="37"/>
      <c r="FA56" s="38"/>
      <c r="FB56" s="38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4.45" customHeight="1">
      <c r="A57" s="2"/>
      <c r="B57" s="2"/>
      <c r="C57" s="2"/>
      <c r="D57" s="2"/>
      <c r="E57" s="54"/>
      <c r="F57" s="69"/>
      <c r="G57" s="81"/>
      <c r="H57" s="8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36"/>
      <c r="BD57" s="36"/>
      <c r="BE57" s="36"/>
      <c r="BF57" s="3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40"/>
      <c r="CC57" s="39"/>
      <c r="CD57" s="36"/>
      <c r="CE57" s="36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40"/>
      <c r="DB57" s="39"/>
      <c r="DC57" s="36"/>
      <c r="DD57" s="36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40"/>
      <c r="EA57" s="39"/>
      <c r="EB57" s="36"/>
      <c r="EC57" s="36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40"/>
      <c r="EZ57" s="39"/>
      <c r="FA57" s="36"/>
      <c r="FB57" s="36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4.45" customHeight="1">
      <c r="A58" s="2"/>
      <c r="B58" s="2"/>
      <c r="C58" s="2"/>
      <c r="D58" s="2"/>
      <c r="E58" s="54"/>
      <c r="F58" s="69"/>
      <c r="G58" s="81"/>
      <c r="H58" s="8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36"/>
      <c r="BD58" s="36"/>
      <c r="BE58" s="36"/>
      <c r="BF58" s="3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40"/>
      <c r="CC58" s="39"/>
      <c r="CD58" s="36"/>
      <c r="CE58" s="36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40"/>
      <c r="DB58" s="39"/>
      <c r="DC58" s="36"/>
      <c r="DD58" s="36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40"/>
      <c r="EA58" s="39"/>
      <c r="EB58" s="36"/>
      <c r="EC58" s="36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40"/>
      <c r="EZ58" s="39"/>
      <c r="FA58" s="36"/>
      <c r="FB58" s="36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5" customHeight="1" thickBot="1">
      <c r="A59" s="2"/>
      <c r="B59" s="2"/>
      <c r="C59" s="2"/>
      <c r="D59" s="2"/>
      <c r="E59" s="55"/>
      <c r="F59" s="69"/>
      <c r="G59" s="81"/>
      <c r="H59" s="8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6"/>
      <c r="BD59" s="36"/>
      <c r="BE59" s="36"/>
      <c r="BF59" s="3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41"/>
      <c r="CC59" s="39"/>
      <c r="CD59" s="36"/>
      <c r="CE59" s="36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41"/>
      <c r="DB59" s="39"/>
      <c r="DC59" s="36"/>
      <c r="DD59" s="36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41"/>
      <c r="EA59" s="39"/>
      <c r="EB59" s="36"/>
      <c r="EC59" s="36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41"/>
      <c r="EZ59" s="39"/>
      <c r="FA59" s="36"/>
      <c r="FB59" s="36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4.45" customHeight="1">
      <c r="A60" s="2"/>
      <c r="B60" s="2"/>
      <c r="C60" s="2"/>
      <c r="D60" s="2"/>
      <c r="E60" s="54" t="s">
        <v>73</v>
      </c>
      <c r="F60" s="67">
        <f>F56-F52</f>
        <v>88657</v>
      </c>
      <c r="G60" s="80"/>
      <c r="H60" s="8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6"/>
      <c r="BD60" s="36"/>
      <c r="BE60" s="36"/>
      <c r="BF60" s="3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40" t="s">
        <v>73</v>
      </c>
      <c r="CC60" s="37"/>
      <c r="CD60" s="38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40" t="s">
        <v>73</v>
      </c>
      <c r="DB60" s="37"/>
      <c r="DC60" s="38"/>
      <c r="DD60" s="38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40" t="s">
        <v>73</v>
      </c>
      <c r="EA60" s="37"/>
      <c r="EB60" s="38"/>
      <c r="EC60" s="38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40" t="s">
        <v>73</v>
      </c>
      <c r="EZ60" s="37"/>
      <c r="FA60" s="38"/>
      <c r="FB60" s="38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4.45" customHeight="1">
      <c r="A61" s="2"/>
      <c r="B61" s="2"/>
      <c r="C61" s="2"/>
      <c r="D61" s="2"/>
      <c r="E61" s="54"/>
      <c r="F61" s="69"/>
      <c r="G61" s="81"/>
      <c r="H61" s="8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36"/>
      <c r="BD61" s="36"/>
      <c r="BE61" s="36"/>
      <c r="BF61" s="3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40"/>
      <c r="CC61" s="39"/>
      <c r="CD61" s="36"/>
      <c r="CE61" s="36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40"/>
      <c r="DB61" s="39"/>
      <c r="DC61" s="36"/>
      <c r="DD61" s="36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40"/>
      <c r="EA61" s="39"/>
      <c r="EB61" s="36"/>
      <c r="EC61" s="36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40"/>
      <c r="EZ61" s="39"/>
      <c r="FA61" s="36"/>
      <c r="FB61" s="36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4.45" customHeight="1">
      <c r="A62" s="2"/>
      <c r="B62" s="2"/>
      <c r="C62" s="2"/>
      <c r="D62" s="2"/>
      <c r="E62" s="54"/>
      <c r="F62" s="69"/>
      <c r="G62" s="81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36"/>
      <c r="BD62" s="36"/>
      <c r="BE62" s="36"/>
      <c r="BF62" s="3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40"/>
      <c r="CC62" s="39"/>
      <c r="CD62" s="36"/>
      <c r="CE62" s="36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40"/>
      <c r="DB62" s="39"/>
      <c r="DC62" s="36"/>
      <c r="DD62" s="36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40"/>
      <c r="EA62" s="39"/>
      <c r="EB62" s="36"/>
      <c r="EC62" s="36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40"/>
      <c r="EZ62" s="39"/>
      <c r="FA62" s="36"/>
      <c r="FB62" s="36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5" customHeight="1" thickBot="1">
      <c r="A63" s="2"/>
      <c r="B63" s="2"/>
      <c r="C63" s="2"/>
      <c r="D63" s="2"/>
      <c r="E63" s="55"/>
      <c r="F63" s="69"/>
      <c r="G63" s="81"/>
      <c r="H63" s="8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36"/>
      <c r="BD63" s="36"/>
      <c r="BE63" s="36"/>
      <c r="BF63" s="3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41"/>
      <c r="CC63" s="39"/>
      <c r="CD63" s="36"/>
      <c r="CE63" s="36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41"/>
      <c r="DB63" s="39"/>
      <c r="DC63" s="36"/>
      <c r="DD63" s="36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41"/>
      <c r="EA63" s="39"/>
      <c r="EB63" s="36"/>
      <c r="EC63" s="36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41"/>
      <c r="EZ63" s="39"/>
      <c r="FA63" s="36"/>
      <c r="FB63" s="36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4.45" customHeight="1">
      <c r="A64" s="2"/>
      <c r="B64" s="2"/>
      <c r="C64" s="2"/>
      <c r="D64" s="2"/>
      <c r="E64" s="54" t="s">
        <v>74</v>
      </c>
      <c r="F64" s="67">
        <f>(F60)/7700</f>
        <v>11.513896103896103</v>
      </c>
      <c r="G64" s="80"/>
      <c r="H64" s="8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6"/>
      <c r="BC64" s="36"/>
      <c r="BD64" s="36"/>
      <c r="BE64" s="36"/>
      <c r="BF64" s="3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40" t="s">
        <v>74</v>
      </c>
      <c r="CC64" s="37"/>
      <c r="CD64" s="38"/>
      <c r="CE64" s="38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40" t="s">
        <v>74</v>
      </c>
      <c r="DB64" s="37"/>
      <c r="DC64" s="38"/>
      <c r="DD64" s="38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40" t="s">
        <v>74</v>
      </c>
      <c r="EA64" s="37"/>
      <c r="EB64" s="38"/>
      <c r="EC64" s="38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40" t="s">
        <v>74</v>
      </c>
      <c r="EZ64" s="37"/>
      <c r="FA64" s="38"/>
      <c r="FB64" s="38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4.45" customHeight="1">
      <c r="A65" s="2"/>
      <c r="B65" s="2"/>
      <c r="C65" s="2"/>
      <c r="D65" s="2"/>
      <c r="E65" s="54"/>
      <c r="F65" s="69"/>
      <c r="G65" s="81"/>
      <c r="H65" s="8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6"/>
      <c r="BC65" s="36"/>
      <c r="BD65" s="36"/>
      <c r="BE65" s="36"/>
      <c r="BF65" s="3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40"/>
      <c r="CC65" s="39"/>
      <c r="CD65" s="36"/>
      <c r="CE65" s="36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40"/>
      <c r="DB65" s="39"/>
      <c r="DC65" s="36"/>
      <c r="DD65" s="36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40"/>
      <c r="EA65" s="39"/>
      <c r="EB65" s="36"/>
      <c r="EC65" s="36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40"/>
      <c r="EZ65" s="39"/>
      <c r="FA65" s="36"/>
      <c r="FB65" s="36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4.45" customHeight="1">
      <c r="A66" s="2"/>
      <c r="B66" s="2"/>
      <c r="C66" s="2"/>
      <c r="D66" s="2"/>
      <c r="E66" s="54"/>
      <c r="F66" s="69"/>
      <c r="G66" s="81"/>
      <c r="H66" s="8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6"/>
      <c r="BC66" s="36"/>
      <c r="BD66" s="36"/>
      <c r="BE66" s="36"/>
      <c r="BF66" s="3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40"/>
      <c r="CC66" s="39"/>
      <c r="CD66" s="36"/>
      <c r="CE66" s="36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40"/>
      <c r="DB66" s="39"/>
      <c r="DC66" s="36"/>
      <c r="DD66" s="36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40"/>
      <c r="EA66" s="39"/>
      <c r="EB66" s="36"/>
      <c r="EC66" s="36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40"/>
      <c r="EZ66" s="39"/>
      <c r="FA66" s="36"/>
      <c r="FB66" s="36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5" customHeight="1" thickBot="1">
      <c r="A67" s="2"/>
      <c r="B67" s="2"/>
      <c r="C67" s="2"/>
      <c r="D67" s="2"/>
      <c r="E67" s="55"/>
      <c r="F67" s="69"/>
      <c r="G67" s="81"/>
      <c r="H67" s="8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6"/>
      <c r="BC67" s="36"/>
      <c r="BD67" s="36"/>
      <c r="BE67" s="36"/>
      <c r="BF67" s="3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41"/>
      <c r="CC67" s="39"/>
      <c r="CD67" s="36"/>
      <c r="CE67" s="36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41"/>
      <c r="DB67" s="39"/>
      <c r="DC67" s="36"/>
      <c r="DD67" s="36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41"/>
      <c r="EA67" s="39"/>
      <c r="EB67" s="36"/>
      <c r="EC67" s="36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41"/>
      <c r="EZ67" s="39"/>
      <c r="FA67" s="36"/>
      <c r="FB67" s="36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 ht="14.45" customHeight="1">
      <c r="A68" s="2"/>
      <c r="B68" s="2"/>
      <c r="C68" s="2"/>
      <c r="D68" s="2"/>
      <c r="E68" s="54" t="s">
        <v>82</v>
      </c>
      <c r="F68" s="67">
        <f>D3-F64</f>
        <v>98.486103896103899</v>
      </c>
      <c r="G68" s="80"/>
      <c r="H68" s="8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6"/>
      <c r="BC68" s="36"/>
      <c r="BD68" s="36"/>
      <c r="BE68" s="36"/>
      <c r="BF68" s="3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40" t="s">
        <v>75</v>
      </c>
      <c r="CC68" s="37"/>
      <c r="CD68" s="38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40" t="s">
        <v>75</v>
      </c>
      <c r="DB68" s="37"/>
      <c r="DC68" s="38"/>
      <c r="DD68" s="38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40" t="s">
        <v>75</v>
      </c>
      <c r="EA68" s="37"/>
      <c r="EB68" s="38"/>
      <c r="EC68" s="38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40" t="s">
        <v>75</v>
      </c>
      <c r="EZ68" s="37"/>
      <c r="FA68" s="38"/>
      <c r="FB68" s="38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 ht="14.45" customHeight="1">
      <c r="A69" s="2"/>
      <c r="B69" s="2"/>
      <c r="C69" s="2"/>
      <c r="D69" s="2"/>
      <c r="E69" s="54"/>
      <c r="F69" s="69"/>
      <c r="G69" s="81"/>
      <c r="H69" s="8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6"/>
      <c r="BC69" s="36"/>
      <c r="BD69" s="36"/>
      <c r="BE69" s="36"/>
      <c r="BF69" s="3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40"/>
      <c r="CC69" s="39"/>
      <c r="CD69" s="36"/>
      <c r="CE69" s="36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40"/>
      <c r="DB69" s="39"/>
      <c r="DC69" s="36"/>
      <c r="DD69" s="36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40"/>
      <c r="EA69" s="39"/>
      <c r="EB69" s="36"/>
      <c r="EC69" s="36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40"/>
      <c r="EZ69" s="39"/>
      <c r="FA69" s="36"/>
      <c r="FB69" s="36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 ht="14.45" customHeight="1">
      <c r="A70" s="2"/>
      <c r="B70" s="2"/>
      <c r="C70" s="2"/>
      <c r="D70" s="2"/>
      <c r="E70" s="54"/>
      <c r="F70" s="69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6"/>
      <c r="BC70" s="36"/>
      <c r="BD70" s="36"/>
      <c r="BE70" s="36"/>
      <c r="BF70" s="3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40"/>
      <c r="CC70" s="39"/>
      <c r="CD70" s="36"/>
      <c r="CE70" s="36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40"/>
      <c r="DB70" s="39"/>
      <c r="DC70" s="36"/>
      <c r="DD70" s="36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40"/>
      <c r="EA70" s="39"/>
      <c r="EB70" s="36"/>
      <c r="EC70" s="36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40"/>
      <c r="EZ70" s="39"/>
      <c r="FA70" s="36"/>
      <c r="FB70" s="36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" customHeight="1" thickBot="1">
      <c r="A71" s="2"/>
      <c r="B71" s="2"/>
      <c r="C71" s="2"/>
      <c r="D71" s="2"/>
      <c r="E71" s="55"/>
      <c r="F71" s="69"/>
      <c r="G71" s="81"/>
      <c r="H71" s="8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5"/>
      <c r="AE71" s="35"/>
      <c r="AF71" s="35"/>
      <c r="AG71" s="35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6"/>
      <c r="BC71" s="36"/>
      <c r="BD71" s="36"/>
      <c r="BE71" s="36"/>
      <c r="BF71" s="3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41"/>
      <c r="CC71" s="39"/>
      <c r="CD71" s="36"/>
      <c r="CE71" s="36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41"/>
      <c r="DB71" s="39"/>
      <c r="DC71" s="36"/>
      <c r="DD71" s="36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41"/>
      <c r="EA71" s="39"/>
      <c r="EB71" s="36"/>
      <c r="EC71" s="36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41"/>
      <c r="EZ71" s="39"/>
      <c r="FA71" s="36"/>
      <c r="FB71" s="36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 ht="14.45" customHeight="1">
      <c r="A72" s="2"/>
      <c r="B72" s="2"/>
      <c r="C72" s="2"/>
      <c r="D72" s="2"/>
      <c r="E72" s="54" t="s">
        <v>83</v>
      </c>
      <c r="F72" s="67">
        <f>148.95/(1.6^2)</f>
        <v>58.183593749999986</v>
      </c>
      <c r="G72" s="80"/>
      <c r="H72" s="8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5"/>
      <c r="AE72" s="35"/>
      <c r="AF72" s="35"/>
      <c r="AG72" s="35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6"/>
      <c r="BD72" s="36"/>
      <c r="BE72" s="36"/>
      <c r="BF72" s="3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40" t="s">
        <v>76</v>
      </c>
      <c r="CC72" s="37"/>
      <c r="CD72" s="38"/>
      <c r="CE72" s="38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40" t="s">
        <v>76</v>
      </c>
      <c r="DB72" s="37"/>
      <c r="DC72" s="38"/>
      <c r="DD72" s="38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40" t="s">
        <v>76</v>
      </c>
      <c r="EA72" s="37"/>
      <c r="EB72" s="38"/>
      <c r="EC72" s="38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40" t="s">
        <v>76</v>
      </c>
      <c r="EZ72" s="37"/>
      <c r="FA72" s="38"/>
      <c r="FB72" s="38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 ht="14.45" customHeight="1">
      <c r="A73" s="2"/>
      <c r="B73" s="2"/>
      <c r="C73" s="2"/>
      <c r="D73" s="2"/>
      <c r="E73" s="54"/>
      <c r="F73" s="69"/>
      <c r="G73" s="81"/>
      <c r="H73" s="8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5"/>
      <c r="AE73" s="35"/>
      <c r="AF73" s="35"/>
      <c r="AG73" s="35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6"/>
      <c r="BD73" s="36"/>
      <c r="BE73" s="36"/>
      <c r="BF73" s="3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40"/>
      <c r="CC73" s="39"/>
      <c r="CD73" s="36"/>
      <c r="CE73" s="36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40"/>
      <c r="DB73" s="39"/>
      <c r="DC73" s="36"/>
      <c r="DD73" s="36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40"/>
      <c r="EA73" s="39"/>
      <c r="EB73" s="36"/>
      <c r="EC73" s="36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40"/>
      <c r="EZ73" s="39"/>
      <c r="FA73" s="36"/>
      <c r="FB73" s="36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 ht="14.45" customHeight="1">
      <c r="A74" s="2"/>
      <c r="B74" s="2"/>
      <c r="C74" s="2"/>
      <c r="D74" s="2"/>
      <c r="E74" s="54"/>
      <c r="F74" s="69"/>
      <c r="G74" s="81"/>
      <c r="H74" s="8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5"/>
      <c r="AE74" s="35"/>
      <c r="AF74" s="35"/>
      <c r="AG74" s="35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6"/>
      <c r="BD74" s="36"/>
      <c r="BE74" s="36"/>
      <c r="BF74" s="3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40"/>
      <c r="CC74" s="39"/>
      <c r="CD74" s="36"/>
      <c r="CE74" s="36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40"/>
      <c r="DB74" s="39"/>
      <c r="DC74" s="36"/>
      <c r="DD74" s="36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40"/>
      <c r="EA74" s="39"/>
      <c r="EB74" s="36"/>
      <c r="EC74" s="36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40"/>
      <c r="EZ74" s="39"/>
      <c r="FA74" s="36"/>
      <c r="FB74" s="36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" customHeight="1" thickBot="1">
      <c r="A75" s="2"/>
      <c r="B75" s="2"/>
      <c r="C75" s="2"/>
      <c r="D75" s="2"/>
      <c r="E75" s="55"/>
      <c r="F75" s="69"/>
      <c r="G75" s="81"/>
      <c r="H75" s="8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5"/>
      <c r="AE75" s="35"/>
      <c r="AF75" s="35"/>
      <c r="AG75" s="35" t="s">
        <v>77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6"/>
      <c r="BD75" s="36"/>
      <c r="BE75" s="36"/>
      <c r="BF75" s="3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41"/>
      <c r="CC75" s="39"/>
      <c r="CD75" s="36"/>
      <c r="CE75" s="36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41"/>
      <c r="DB75" s="39"/>
      <c r="DC75" s="36"/>
      <c r="DD75" s="36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41"/>
      <c r="EA75" s="39"/>
      <c r="EB75" s="36"/>
      <c r="EC75" s="36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41"/>
      <c r="EZ75" s="39"/>
      <c r="FA75" s="36"/>
      <c r="FB75" s="36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5">
    <mergeCell ref="DB72:DD75"/>
    <mergeCell ref="DZ72:DZ75"/>
    <mergeCell ref="EA72:EC75"/>
    <mergeCell ref="EY72:EY75"/>
    <mergeCell ref="EZ72:FB75"/>
    <mergeCell ref="BC72:BC75"/>
    <mergeCell ref="BD72:BF75"/>
    <mergeCell ref="CB72:CB75"/>
    <mergeCell ref="CC72:CE75"/>
    <mergeCell ref="DA72:DA75"/>
    <mergeCell ref="DB68:DD71"/>
    <mergeCell ref="DZ68:DZ71"/>
    <mergeCell ref="EA68:EC71"/>
    <mergeCell ref="EY68:EY71"/>
    <mergeCell ref="EZ68:FB71"/>
    <mergeCell ref="BC68:BC71"/>
    <mergeCell ref="BD68:BF71"/>
    <mergeCell ref="CB68:CB71"/>
    <mergeCell ref="CC68:CE71"/>
    <mergeCell ref="DA68:DA71"/>
    <mergeCell ref="DB64:DD67"/>
    <mergeCell ref="DZ64:DZ67"/>
    <mergeCell ref="EA64:EC67"/>
    <mergeCell ref="EY64:EY67"/>
    <mergeCell ref="EZ64:FB67"/>
    <mergeCell ref="BC64:BC67"/>
    <mergeCell ref="BD64:BF67"/>
    <mergeCell ref="CB64:CB67"/>
    <mergeCell ref="CC64:CE67"/>
    <mergeCell ref="DA64:DA67"/>
    <mergeCell ref="DB60:DD63"/>
    <mergeCell ref="DZ60:DZ63"/>
    <mergeCell ref="EA60:EC63"/>
    <mergeCell ref="EY60:EY63"/>
    <mergeCell ref="EZ60:FB63"/>
    <mergeCell ref="BC60:BC63"/>
    <mergeCell ref="BD60:BF63"/>
    <mergeCell ref="CB60:CB63"/>
    <mergeCell ref="CC60:CE63"/>
    <mergeCell ref="DA60:DA63"/>
    <mergeCell ref="DB56:DD59"/>
    <mergeCell ref="DZ56:DZ59"/>
    <mergeCell ref="EA56:EC59"/>
    <mergeCell ref="EY56:EY59"/>
    <mergeCell ref="EZ56:FB59"/>
    <mergeCell ref="BC56:BC59"/>
    <mergeCell ref="BD56:BF59"/>
    <mergeCell ref="CB56:CB59"/>
    <mergeCell ref="CC56:CE59"/>
    <mergeCell ref="DA56:DA59"/>
    <mergeCell ref="DB52:DD55"/>
    <mergeCell ref="DZ52:DZ55"/>
    <mergeCell ref="EA52:EC55"/>
    <mergeCell ref="EY52:EY55"/>
    <mergeCell ref="EZ52:FB55"/>
    <mergeCell ref="BC52:BC55"/>
    <mergeCell ref="BD52:BF55"/>
    <mergeCell ref="CB52:CB55"/>
    <mergeCell ref="CC52:CE55"/>
    <mergeCell ref="DA52:DA55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CY39:CY42"/>
    <mergeCell ref="CZ39:CZ42"/>
    <mergeCell ref="DA39:DA42"/>
    <mergeCell ref="DB39:DB42"/>
    <mergeCell ref="DX39:DX42"/>
    <mergeCell ref="EZ35:EZ38"/>
    <mergeCell ref="AB39:AB42"/>
    <mergeCell ref="AC39:AC42"/>
    <mergeCell ref="AD39:AD42"/>
    <mergeCell ref="AE39:AE42"/>
    <mergeCell ref="BA39:BA42"/>
    <mergeCell ref="BB39:BB42"/>
    <mergeCell ref="BC39:BC42"/>
    <mergeCell ref="BD39:BD42"/>
    <mergeCell ref="BZ39:BZ42"/>
    <mergeCell ref="CA39:CA42"/>
    <mergeCell ref="CB39:CB42"/>
    <mergeCell ref="CC39:CC42"/>
    <mergeCell ref="DB35:DB38"/>
    <mergeCell ref="DX35:DX38"/>
    <mergeCell ref="DY35:DY38"/>
    <mergeCell ref="DZ35:DZ38"/>
    <mergeCell ref="EA35:EA38"/>
    <mergeCell ref="EY39:EY42"/>
    <mergeCell ref="EZ39:EZ42"/>
    <mergeCell ref="EW33:EZ34"/>
    <mergeCell ref="AB35:AB38"/>
    <mergeCell ref="AC35:AC38"/>
    <mergeCell ref="AD35:AD38"/>
    <mergeCell ref="AE35:AE38"/>
    <mergeCell ref="BA35:BA38"/>
    <mergeCell ref="BB35:BB38"/>
    <mergeCell ref="BC35:BC38"/>
    <mergeCell ref="BD35:BD38"/>
    <mergeCell ref="BZ35:BZ38"/>
    <mergeCell ref="CA35:CA38"/>
    <mergeCell ref="CB35:CB38"/>
    <mergeCell ref="CC35:CC38"/>
    <mergeCell ref="CY35:CY38"/>
    <mergeCell ref="CZ35:CZ38"/>
    <mergeCell ref="DA35:DA38"/>
    <mergeCell ref="AB33:AE34"/>
    <mergeCell ref="BA33:BD34"/>
    <mergeCell ref="BZ33:CC34"/>
    <mergeCell ref="CY33:DB34"/>
    <mergeCell ref="DX33:EA34"/>
    <mergeCell ref="EW35:EW38"/>
    <mergeCell ref="EX35:EX38"/>
    <mergeCell ref="EY35:EY38"/>
    <mergeCell ref="EU19:EV22"/>
    <mergeCell ref="EW19:EW22"/>
    <mergeCell ref="EX19:EY22"/>
    <mergeCell ref="EZ19:EZ22"/>
    <mergeCell ref="CZ19:DA22"/>
    <mergeCell ref="DB19:DB22"/>
    <mergeCell ref="DV19:DW22"/>
    <mergeCell ref="DX19:DX22"/>
    <mergeCell ref="DY19:DZ22"/>
    <mergeCell ref="EZ15:EZ18"/>
    <mergeCell ref="Z19:AA22"/>
    <mergeCell ref="AB19:AB22"/>
    <mergeCell ref="AC19:AD22"/>
    <mergeCell ref="AE19:AE22"/>
    <mergeCell ref="AY19:AZ22"/>
    <mergeCell ref="BA19:BA22"/>
    <mergeCell ref="BB19:BC22"/>
    <mergeCell ref="BD19:BD22"/>
    <mergeCell ref="BX19:BY22"/>
    <mergeCell ref="BZ19:BZ22"/>
    <mergeCell ref="CA19:CB22"/>
    <mergeCell ref="CC19:CC22"/>
    <mergeCell ref="CW19:CX22"/>
    <mergeCell ref="CY19:CY22"/>
    <mergeCell ref="DX15:DX18"/>
    <mergeCell ref="DY15:DZ18"/>
    <mergeCell ref="EA15:EA18"/>
    <mergeCell ref="EU15:EV18"/>
    <mergeCell ref="EW15:EW18"/>
    <mergeCell ref="CW15:CX18"/>
    <mergeCell ref="CY15:CY18"/>
    <mergeCell ref="CZ15:DA18"/>
    <mergeCell ref="EA19:EA22"/>
    <mergeCell ref="DB15:DB18"/>
    <mergeCell ref="DV15:DW18"/>
    <mergeCell ref="EU11:EV14"/>
    <mergeCell ref="EW11:EW14"/>
    <mergeCell ref="EX11:EY14"/>
    <mergeCell ref="EZ11:EZ14"/>
    <mergeCell ref="Z15:AA18"/>
    <mergeCell ref="AB15:AB18"/>
    <mergeCell ref="AC15:AD18"/>
    <mergeCell ref="AE15:AE18"/>
    <mergeCell ref="AY15:AZ18"/>
    <mergeCell ref="BA15:BA18"/>
    <mergeCell ref="BB15:BC18"/>
    <mergeCell ref="BD15:BD18"/>
    <mergeCell ref="BX15:BY18"/>
    <mergeCell ref="BZ15:BZ18"/>
    <mergeCell ref="CA15:CB18"/>
    <mergeCell ref="CC15:CC18"/>
    <mergeCell ref="DB11:DB14"/>
    <mergeCell ref="DV11:DW14"/>
    <mergeCell ref="DX11:DX14"/>
    <mergeCell ref="DY11:DZ14"/>
    <mergeCell ref="EA11:EA14"/>
    <mergeCell ref="EX15:EY18"/>
    <mergeCell ref="FC9:FL10"/>
    <mergeCell ref="Z11:AA14"/>
    <mergeCell ref="AB11:AB14"/>
    <mergeCell ref="AC11:AD14"/>
    <mergeCell ref="AE11:AE14"/>
    <mergeCell ref="AY11:AZ14"/>
    <mergeCell ref="BA11:BA14"/>
    <mergeCell ref="BB11:BC14"/>
    <mergeCell ref="BD11:BD14"/>
    <mergeCell ref="BX11:BY14"/>
    <mergeCell ref="BZ11:BZ14"/>
    <mergeCell ref="CA11:CB14"/>
    <mergeCell ref="CC11:CC14"/>
    <mergeCell ref="CW11:CX14"/>
    <mergeCell ref="CY11:CY14"/>
    <mergeCell ref="CZ11:DA14"/>
    <mergeCell ref="EV3:EW4"/>
    <mergeCell ref="EX3:EX4"/>
    <mergeCell ref="Z9:AE10"/>
    <mergeCell ref="AH9:AQ10"/>
    <mergeCell ref="AY9:BD10"/>
    <mergeCell ref="BG9:BP10"/>
    <mergeCell ref="BX9:CC10"/>
    <mergeCell ref="CF9:CO10"/>
    <mergeCell ref="CW9:DB10"/>
    <mergeCell ref="DE9:DN10"/>
    <mergeCell ref="DV9:EA10"/>
    <mergeCell ref="ED9:EM10"/>
    <mergeCell ref="EU9:EZ10"/>
    <mergeCell ref="CA3:CA4"/>
    <mergeCell ref="CX3:CY4"/>
    <mergeCell ref="CZ3:CZ4"/>
    <mergeCell ref="DW3:DX4"/>
    <mergeCell ref="DY3:DY4"/>
    <mergeCell ref="AA3:AB4"/>
    <mergeCell ref="AC3:AC4"/>
    <mergeCell ref="AZ3:BA4"/>
    <mergeCell ref="BB3:BB4"/>
    <mergeCell ref="BY3:BZ4"/>
    <mergeCell ref="B3:C4"/>
    <mergeCell ref="D3:D4"/>
    <mergeCell ref="A9:F10"/>
    <mergeCell ref="E64:E67"/>
    <mergeCell ref="F64:H67"/>
    <mergeCell ref="E68:E71"/>
    <mergeCell ref="F68:H71"/>
    <mergeCell ref="E72:E75"/>
    <mergeCell ref="F72:H75"/>
    <mergeCell ref="E60:E63"/>
    <mergeCell ref="F60:H63"/>
    <mergeCell ref="C33:F34"/>
    <mergeCell ref="C35:C38"/>
    <mergeCell ref="D35:D38"/>
    <mergeCell ref="E35:E38"/>
    <mergeCell ref="F35:F38"/>
    <mergeCell ref="C39:C42"/>
    <mergeCell ref="D39:D42"/>
    <mergeCell ref="E39:E42"/>
    <mergeCell ref="F39:F42"/>
    <mergeCell ref="E50:H51"/>
    <mergeCell ref="E52:E55"/>
    <mergeCell ref="F52:H55"/>
    <mergeCell ref="E56:E59"/>
    <mergeCell ref="BB64:BB67"/>
    <mergeCell ref="BB68:BB71"/>
    <mergeCell ref="I9:R10"/>
    <mergeCell ref="A11:B14"/>
    <mergeCell ref="C11:C14"/>
    <mergeCell ref="D11:E14"/>
    <mergeCell ref="F11:F14"/>
    <mergeCell ref="A15:B18"/>
    <mergeCell ref="C15:C18"/>
    <mergeCell ref="D15:E18"/>
    <mergeCell ref="F15:F18"/>
    <mergeCell ref="A19:B22"/>
    <mergeCell ref="C19:C22"/>
    <mergeCell ref="D19:E22"/>
    <mergeCell ref="F19:F22"/>
    <mergeCell ref="F56:H59"/>
  </mergeCells>
  <conditionalFormatting sqref="F39:F42">
    <cfRule type="containsText" dxfId="27" priority="13" operator="containsText" text="Bad shape">
      <formula>NOT(ISERROR(SEARCH("Bad shape",F39)))</formula>
    </cfRule>
    <cfRule type="containsText" dxfId="26" priority="14" operator="containsText" text="Fit shape">
      <formula>NOT(ISERROR(SEARCH("Fit shape",F39)))</formula>
    </cfRule>
  </conditionalFormatting>
  <conditionalFormatting sqref="AE39:AE42">
    <cfRule type="containsText" dxfId="25" priority="11" operator="containsText" text="Bad shape">
      <formula>NOT(ISERROR(SEARCH("Bad shape",AE39)))</formula>
    </cfRule>
    <cfRule type="containsText" dxfId="24" priority="12" operator="containsText" text="Fit shape">
      <formula>NOT(ISERROR(SEARCH("Fit shape",AE39)))</formula>
    </cfRule>
  </conditionalFormatting>
  <conditionalFormatting sqref="BD39:BD42">
    <cfRule type="containsText" dxfId="23" priority="9" operator="containsText" text="Bad shape">
      <formula>NOT(ISERROR(SEARCH("Bad shape",BD39)))</formula>
    </cfRule>
    <cfRule type="containsText" dxfId="22" priority="10" operator="containsText" text="Fit shape">
      <formula>NOT(ISERROR(SEARCH("Fit shape",BD39)))</formula>
    </cfRule>
  </conditionalFormatting>
  <conditionalFormatting sqref="CC39:CC42">
    <cfRule type="containsText" dxfId="21" priority="7" operator="containsText" text="Bad shape">
      <formula>NOT(ISERROR(SEARCH("Bad shape",CC39)))</formula>
    </cfRule>
    <cfRule type="containsText" dxfId="20" priority="8" operator="containsText" text="Fit shape">
      <formula>NOT(ISERROR(SEARCH("Fit shape",CC39)))</formula>
    </cfRule>
  </conditionalFormatting>
  <conditionalFormatting sqref="DB39:DB42">
    <cfRule type="containsText" dxfId="19" priority="5" operator="containsText" text="Bad shape">
      <formula>NOT(ISERROR(SEARCH("Bad shape",DB39)))</formula>
    </cfRule>
    <cfRule type="containsText" dxfId="18" priority="6" operator="containsText" text="Fit shape">
      <formula>NOT(ISERROR(SEARCH("Fit shape",DB39)))</formula>
    </cfRule>
  </conditionalFormatting>
  <conditionalFormatting sqref="EA39:EA42">
    <cfRule type="containsText" dxfId="17" priority="3" operator="containsText" text="Bad shape">
      <formula>NOT(ISERROR(SEARCH("Bad shape",EA39)))</formula>
    </cfRule>
    <cfRule type="containsText" dxfId="16" priority="4" operator="containsText" text="Fit shape">
      <formula>NOT(ISERROR(SEARCH("Fit shape",EA39)))</formula>
    </cfRule>
  </conditionalFormatting>
  <conditionalFormatting sqref="EZ39:EZ42">
    <cfRule type="containsText" dxfId="15" priority="1" operator="containsText" text="Bad shape">
      <formula>NOT(ISERROR(SEARCH("Bad shape",EZ39)))</formula>
    </cfRule>
    <cfRule type="containsText" dxfId="14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sqref="I13:J30 AH13:AI30 BG13:BH30 CF13:CG30 DE13:DF30 ED13:EE30 FC13:FD30" xr:uid="{04B4C5D3-DF60-45A7-8039-B5810FE06D01}">
      <formula1>EXERCISES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70A843BF-A1A9-4ADD-A38C-3B71E642A941}">
      <formula1>DINNER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FA675341-89F7-4544-BA87-E2CDE50B462D}">
      <formula1>LUNCH</formula1>
    </dataValidation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95800643-B612-4D08-BB68-CED31D9610BB}">
      <formula1>BREAKFAST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85FF-4063-4EB3-AEC9-BE74DC950207}">
  <dimension ref="A1:FS78"/>
  <sheetViews>
    <sheetView topLeftCell="EA1" zoomScale="89" zoomScaleNormal="89" workbookViewId="0">
      <selection activeCell="EQ20" sqref="EQ20"/>
    </sheetView>
  </sheetViews>
  <sheetFormatPr defaultRowHeight="15"/>
  <cols>
    <col min="5" max="5" width="23.5703125" customWidth="1"/>
  </cols>
  <sheetData>
    <row r="1" spans="1:1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</row>
    <row r="2" spans="1:17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</row>
    <row r="3" spans="1:175">
      <c r="A3" s="2"/>
      <c r="B3" s="42" t="s">
        <v>40</v>
      </c>
      <c r="C3" s="43"/>
      <c r="D3" s="46">
        <v>98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2" t="s">
        <v>40</v>
      </c>
      <c r="AB3" s="43"/>
      <c r="AC3" s="46">
        <v>98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42" t="s">
        <v>40</v>
      </c>
      <c r="BA3" s="43"/>
      <c r="BB3" s="46">
        <v>98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2" t="s">
        <v>40</v>
      </c>
      <c r="BZ3" s="43"/>
      <c r="CA3" s="46">
        <v>98</v>
      </c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2" t="s">
        <v>40</v>
      </c>
      <c r="CY3" s="43"/>
      <c r="CZ3" s="46">
        <v>98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42" t="s">
        <v>40</v>
      </c>
      <c r="DX3" s="43"/>
      <c r="DY3" s="46">
        <v>98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42" t="s">
        <v>40</v>
      </c>
      <c r="EW3" s="43"/>
      <c r="EX3" s="46">
        <v>98</v>
      </c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</row>
    <row r="4" spans="1:175" ht="15.75" thickBot="1">
      <c r="A4" s="2"/>
      <c r="B4" s="44"/>
      <c r="C4" s="45"/>
      <c r="D4" s="4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4"/>
      <c r="AB4" s="45"/>
      <c r="AC4" s="47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4"/>
      <c r="BA4" s="45"/>
      <c r="BB4" s="47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44"/>
      <c r="BZ4" s="45"/>
      <c r="CA4" s="47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4"/>
      <c r="CY4" s="45"/>
      <c r="CZ4" s="47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44"/>
      <c r="DX4" s="45"/>
      <c r="DY4" s="47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44"/>
      <c r="EW4" s="45"/>
      <c r="EX4" s="47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</row>
    <row r="5" spans="1:175">
      <c r="A5" s="2"/>
      <c r="B5" s="2"/>
      <c r="C5" s="2"/>
      <c r="D5" s="2"/>
      <c r="E5" s="2"/>
      <c r="F5" s="2"/>
      <c r="G5" s="15"/>
      <c r="H5" s="9"/>
      <c r="I5" s="9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5"/>
      <c r="AG5" s="9"/>
      <c r="AH5" s="9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15"/>
      <c r="BF5" s="9"/>
      <c r="BG5" s="9"/>
      <c r="BH5" s="9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5"/>
      <c r="CE5" s="9"/>
      <c r="CF5" s="9"/>
      <c r="CG5" s="9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15"/>
      <c r="DD5" s="9"/>
      <c r="DE5" s="9"/>
      <c r="DF5" s="9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15"/>
      <c r="EC5" s="9"/>
      <c r="ED5" s="9"/>
      <c r="EE5" s="9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15"/>
      <c r="FB5" s="9"/>
      <c r="FC5" s="9"/>
      <c r="FD5" s="9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</row>
    <row r="6" spans="1:175">
      <c r="A6" s="2"/>
      <c r="B6" s="2"/>
      <c r="C6" s="2"/>
      <c r="D6" s="2"/>
      <c r="E6" s="2"/>
      <c r="F6" s="2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9"/>
      <c r="BF6" s="9"/>
      <c r="BG6" s="9"/>
      <c r="BH6" s="9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9"/>
      <c r="CE6" s="9"/>
      <c r="CF6" s="9"/>
      <c r="CG6" s="9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9"/>
      <c r="DD6" s="9"/>
      <c r="DE6" s="9"/>
      <c r="DF6" s="9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9"/>
      <c r="EC6" s="9"/>
      <c r="ED6" s="9"/>
      <c r="EE6" s="9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9"/>
      <c r="FB6" s="9"/>
      <c r="FC6" s="9"/>
      <c r="FD6" s="9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</row>
    <row r="7" spans="1:175">
      <c r="A7" s="2"/>
      <c r="B7" s="2"/>
      <c r="C7" s="2"/>
      <c r="D7" s="2"/>
      <c r="E7" s="2"/>
      <c r="F7" s="2"/>
      <c r="G7" s="15"/>
      <c r="H7" s="15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5"/>
      <c r="AG7" s="15"/>
      <c r="AH7" s="16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15"/>
      <c r="BF7" s="15"/>
      <c r="BG7" s="16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5"/>
      <c r="CE7" s="15"/>
      <c r="CF7" s="16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15"/>
      <c r="DD7" s="15"/>
      <c r="DE7" s="16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15"/>
      <c r="EC7" s="15"/>
      <c r="ED7" s="16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15"/>
      <c r="FB7" s="15"/>
      <c r="FC7" s="16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</row>
    <row r="8" spans="1:175" ht="15.75" thickBot="1">
      <c r="A8" s="2"/>
      <c r="B8" s="2"/>
      <c r="C8" s="2"/>
      <c r="D8" s="2"/>
      <c r="E8" s="2"/>
      <c r="F8" s="2"/>
      <c r="G8" s="15"/>
      <c r="H8" s="15"/>
      <c r="I8" s="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5"/>
      <c r="AG8" s="15"/>
      <c r="AH8" s="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5"/>
      <c r="BF8" s="15"/>
      <c r="BG8" s="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5"/>
      <c r="CE8" s="15"/>
      <c r="CF8" s="9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15"/>
      <c r="DD8" s="15"/>
      <c r="DE8" s="9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15"/>
      <c r="EC8" s="15"/>
      <c r="ED8" s="9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15"/>
      <c r="FB8" s="15"/>
      <c r="FC8" s="9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</row>
    <row r="9" spans="1:175">
      <c r="A9" s="48" t="s">
        <v>41</v>
      </c>
      <c r="B9" s="49"/>
      <c r="C9" s="49"/>
      <c r="D9" s="49"/>
      <c r="E9" s="49"/>
      <c r="F9" s="50"/>
      <c r="G9" s="15"/>
      <c r="H9" s="15"/>
      <c r="I9" s="42" t="s">
        <v>42</v>
      </c>
      <c r="J9" s="62"/>
      <c r="K9" s="62"/>
      <c r="L9" s="62"/>
      <c r="M9" s="62"/>
      <c r="N9" s="62"/>
      <c r="O9" s="62"/>
      <c r="P9" s="62"/>
      <c r="Q9" s="62"/>
      <c r="R9" s="63"/>
      <c r="S9" s="2"/>
      <c r="T9" s="2"/>
      <c r="U9" s="2"/>
      <c r="V9" s="2"/>
      <c r="W9" s="2"/>
      <c r="X9" s="2"/>
      <c r="Y9" s="2"/>
      <c r="Z9" s="48" t="s">
        <v>43</v>
      </c>
      <c r="AA9" s="49"/>
      <c r="AB9" s="49"/>
      <c r="AC9" s="49"/>
      <c r="AD9" s="49"/>
      <c r="AE9" s="50"/>
      <c r="AF9" s="15"/>
      <c r="AG9" s="15"/>
      <c r="AH9" s="42" t="s">
        <v>44</v>
      </c>
      <c r="AI9" s="62"/>
      <c r="AJ9" s="62"/>
      <c r="AK9" s="62"/>
      <c r="AL9" s="62"/>
      <c r="AM9" s="62"/>
      <c r="AN9" s="62"/>
      <c r="AO9" s="62"/>
      <c r="AP9" s="62"/>
      <c r="AQ9" s="63"/>
      <c r="AR9" s="2"/>
      <c r="AS9" s="2"/>
      <c r="AT9" s="2"/>
      <c r="AU9" s="2"/>
      <c r="AV9" s="2"/>
      <c r="AW9" s="2"/>
      <c r="AX9" s="2"/>
      <c r="AY9" s="48" t="s">
        <v>45</v>
      </c>
      <c r="AZ9" s="49"/>
      <c r="BA9" s="49"/>
      <c r="BB9" s="49"/>
      <c r="BC9" s="49"/>
      <c r="BD9" s="50"/>
      <c r="BE9" s="15"/>
      <c r="BF9" s="15"/>
      <c r="BG9" s="42" t="s">
        <v>46</v>
      </c>
      <c r="BH9" s="62"/>
      <c r="BI9" s="62"/>
      <c r="BJ9" s="62"/>
      <c r="BK9" s="62"/>
      <c r="BL9" s="62"/>
      <c r="BM9" s="62"/>
      <c r="BN9" s="62"/>
      <c r="BO9" s="62"/>
      <c r="BP9" s="63"/>
      <c r="BQ9" s="2"/>
      <c r="BR9" s="2"/>
      <c r="BS9" s="2"/>
      <c r="BT9" s="2"/>
      <c r="BU9" s="2"/>
      <c r="BV9" s="2"/>
      <c r="BW9" s="2"/>
      <c r="BX9" s="48" t="s">
        <v>47</v>
      </c>
      <c r="BY9" s="49"/>
      <c r="BZ9" s="49"/>
      <c r="CA9" s="49"/>
      <c r="CB9" s="49"/>
      <c r="CC9" s="50"/>
      <c r="CD9" s="15"/>
      <c r="CE9" s="15"/>
      <c r="CF9" s="42" t="s">
        <v>48</v>
      </c>
      <c r="CG9" s="62"/>
      <c r="CH9" s="62"/>
      <c r="CI9" s="62"/>
      <c r="CJ9" s="62"/>
      <c r="CK9" s="62"/>
      <c r="CL9" s="62"/>
      <c r="CM9" s="62"/>
      <c r="CN9" s="62"/>
      <c r="CO9" s="63"/>
      <c r="CP9" s="2"/>
      <c r="CQ9" s="2"/>
      <c r="CR9" s="2"/>
      <c r="CS9" s="2"/>
      <c r="CT9" s="2"/>
      <c r="CU9" s="2"/>
      <c r="CV9" s="2"/>
      <c r="CW9" s="48" t="s">
        <v>49</v>
      </c>
      <c r="CX9" s="49"/>
      <c r="CY9" s="49"/>
      <c r="CZ9" s="49"/>
      <c r="DA9" s="49"/>
      <c r="DB9" s="50"/>
      <c r="DC9" s="15"/>
      <c r="DD9" s="15"/>
      <c r="DE9" s="42" t="s">
        <v>50</v>
      </c>
      <c r="DF9" s="62"/>
      <c r="DG9" s="62"/>
      <c r="DH9" s="62"/>
      <c r="DI9" s="62"/>
      <c r="DJ9" s="62"/>
      <c r="DK9" s="62"/>
      <c r="DL9" s="62"/>
      <c r="DM9" s="62"/>
      <c r="DN9" s="63"/>
      <c r="DO9" s="2"/>
      <c r="DP9" s="2"/>
      <c r="DQ9" s="2"/>
      <c r="DR9" s="2"/>
      <c r="DS9" s="2"/>
      <c r="DT9" s="2"/>
      <c r="DU9" s="2"/>
      <c r="DV9" s="48" t="s">
        <v>51</v>
      </c>
      <c r="DW9" s="49"/>
      <c r="DX9" s="49"/>
      <c r="DY9" s="49"/>
      <c r="DZ9" s="49"/>
      <c r="EA9" s="50"/>
      <c r="EB9" s="15"/>
      <c r="EC9" s="15"/>
      <c r="ED9" s="42" t="s">
        <v>52</v>
      </c>
      <c r="EE9" s="62"/>
      <c r="EF9" s="62"/>
      <c r="EG9" s="62"/>
      <c r="EH9" s="62"/>
      <c r="EI9" s="62"/>
      <c r="EJ9" s="62"/>
      <c r="EK9" s="62"/>
      <c r="EL9" s="62"/>
      <c r="EM9" s="63"/>
      <c r="EN9" s="2"/>
      <c r="EO9" s="2"/>
      <c r="EP9" s="2"/>
      <c r="EQ9" s="2"/>
      <c r="ER9" s="2"/>
      <c r="ES9" s="2"/>
      <c r="ET9" s="2"/>
      <c r="EU9" s="48" t="s">
        <v>53</v>
      </c>
      <c r="EV9" s="49"/>
      <c r="EW9" s="49"/>
      <c r="EX9" s="49"/>
      <c r="EY9" s="49"/>
      <c r="EZ9" s="50"/>
      <c r="FA9" s="15"/>
      <c r="FB9" s="15"/>
      <c r="FC9" s="42" t="s">
        <v>54</v>
      </c>
      <c r="FD9" s="62"/>
      <c r="FE9" s="62"/>
      <c r="FF9" s="62"/>
      <c r="FG9" s="62"/>
      <c r="FH9" s="62"/>
      <c r="FI9" s="62"/>
      <c r="FJ9" s="62"/>
      <c r="FK9" s="62"/>
      <c r="FL9" s="63"/>
      <c r="FM9" s="2"/>
      <c r="FN9" s="2"/>
      <c r="FO9" s="2"/>
      <c r="FP9" s="2"/>
      <c r="FQ9" s="2"/>
      <c r="FR9" s="2"/>
      <c r="FS9" s="2"/>
    </row>
    <row r="10" spans="1:175" ht="15.75" thickBot="1">
      <c r="A10" s="51"/>
      <c r="B10" s="52"/>
      <c r="C10" s="52"/>
      <c r="D10" s="52"/>
      <c r="E10" s="52"/>
      <c r="F10" s="53"/>
      <c r="G10" s="15"/>
      <c r="H10" s="15"/>
      <c r="I10" s="64"/>
      <c r="J10" s="65"/>
      <c r="K10" s="65"/>
      <c r="L10" s="65"/>
      <c r="M10" s="65"/>
      <c r="N10" s="65"/>
      <c r="O10" s="65"/>
      <c r="P10" s="65"/>
      <c r="Q10" s="65"/>
      <c r="R10" s="66"/>
      <c r="S10" s="2"/>
      <c r="T10" s="2"/>
      <c r="U10" s="2"/>
      <c r="V10" s="2"/>
      <c r="W10" s="2"/>
      <c r="X10" s="2"/>
      <c r="Y10" s="2"/>
      <c r="Z10" s="51"/>
      <c r="AA10" s="52"/>
      <c r="AB10" s="52"/>
      <c r="AC10" s="52"/>
      <c r="AD10" s="52"/>
      <c r="AE10" s="53"/>
      <c r="AF10" s="15"/>
      <c r="AG10" s="15"/>
      <c r="AH10" s="64"/>
      <c r="AI10" s="65"/>
      <c r="AJ10" s="65"/>
      <c r="AK10" s="65"/>
      <c r="AL10" s="65"/>
      <c r="AM10" s="65"/>
      <c r="AN10" s="65"/>
      <c r="AO10" s="65"/>
      <c r="AP10" s="65"/>
      <c r="AQ10" s="66"/>
      <c r="AR10" s="2"/>
      <c r="AS10" s="2"/>
      <c r="AT10" s="2"/>
      <c r="AU10" s="2"/>
      <c r="AV10" s="2"/>
      <c r="AW10" s="2"/>
      <c r="AX10" s="2"/>
      <c r="AY10" s="51"/>
      <c r="AZ10" s="52"/>
      <c r="BA10" s="52"/>
      <c r="BB10" s="52"/>
      <c r="BC10" s="52"/>
      <c r="BD10" s="53"/>
      <c r="BE10" s="15"/>
      <c r="BF10" s="15"/>
      <c r="BG10" s="64"/>
      <c r="BH10" s="65"/>
      <c r="BI10" s="65"/>
      <c r="BJ10" s="65"/>
      <c r="BK10" s="65"/>
      <c r="BL10" s="65"/>
      <c r="BM10" s="65"/>
      <c r="BN10" s="65"/>
      <c r="BO10" s="65"/>
      <c r="BP10" s="66"/>
      <c r="BQ10" s="2"/>
      <c r="BR10" s="2"/>
      <c r="BS10" s="2"/>
      <c r="BT10" s="2"/>
      <c r="BU10" s="2"/>
      <c r="BV10" s="2"/>
      <c r="BW10" s="2"/>
      <c r="BX10" s="51"/>
      <c r="BY10" s="52"/>
      <c r="BZ10" s="52"/>
      <c r="CA10" s="52"/>
      <c r="CB10" s="52"/>
      <c r="CC10" s="53"/>
      <c r="CD10" s="15"/>
      <c r="CE10" s="15"/>
      <c r="CF10" s="64"/>
      <c r="CG10" s="65"/>
      <c r="CH10" s="65"/>
      <c r="CI10" s="65"/>
      <c r="CJ10" s="65"/>
      <c r="CK10" s="65"/>
      <c r="CL10" s="65"/>
      <c r="CM10" s="65"/>
      <c r="CN10" s="65"/>
      <c r="CO10" s="66"/>
      <c r="CP10" s="2"/>
      <c r="CQ10" s="2"/>
      <c r="CR10" s="2"/>
      <c r="CS10" s="2"/>
      <c r="CT10" s="2"/>
      <c r="CU10" s="2"/>
      <c r="CV10" s="2"/>
      <c r="CW10" s="51"/>
      <c r="CX10" s="52"/>
      <c r="CY10" s="52"/>
      <c r="CZ10" s="52"/>
      <c r="DA10" s="52"/>
      <c r="DB10" s="53"/>
      <c r="DC10" s="15"/>
      <c r="DD10" s="15"/>
      <c r="DE10" s="64"/>
      <c r="DF10" s="65"/>
      <c r="DG10" s="65"/>
      <c r="DH10" s="65"/>
      <c r="DI10" s="65"/>
      <c r="DJ10" s="65"/>
      <c r="DK10" s="65"/>
      <c r="DL10" s="65"/>
      <c r="DM10" s="65"/>
      <c r="DN10" s="66"/>
      <c r="DO10" s="2"/>
      <c r="DP10" s="2"/>
      <c r="DQ10" s="2"/>
      <c r="DR10" s="2"/>
      <c r="DS10" s="2"/>
      <c r="DT10" s="2"/>
      <c r="DU10" s="2"/>
      <c r="DV10" s="51"/>
      <c r="DW10" s="52"/>
      <c r="DX10" s="52"/>
      <c r="DY10" s="52"/>
      <c r="DZ10" s="52"/>
      <c r="EA10" s="53"/>
      <c r="EB10" s="15"/>
      <c r="EC10" s="15"/>
      <c r="ED10" s="64"/>
      <c r="EE10" s="65"/>
      <c r="EF10" s="65"/>
      <c r="EG10" s="65"/>
      <c r="EH10" s="65"/>
      <c r="EI10" s="65"/>
      <c r="EJ10" s="65"/>
      <c r="EK10" s="65"/>
      <c r="EL10" s="65"/>
      <c r="EM10" s="66"/>
      <c r="EN10" s="2"/>
      <c r="EO10" s="2"/>
      <c r="EP10" s="2"/>
      <c r="EQ10" s="2"/>
      <c r="ER10" s="2"/>
      <c r="ES10" s="2"/>
      <c r="ET10" s="2"/>
      <c r="EU10" s="51"/>
      <c r="EV10" s="52"/>
      <c r="EW10" s="52"/>
      <c r="EX10" s="52"/>
      <c r="EY10" s="52"/>
      <c r="EZ10" s="53"/>
      <c r="FA10" s="15"/>
      <c r="FB10" s="15"/>
      <c r="FC10" s="64"/>
      <c r="FD10" s="65"/>
      <c r="FE10" s="65"/>
      <c r="FF10" s="65"/>
      <c r="FG10" s="65"/>
      <c r="FH10" s="65"/>
      <c r="FI10" s="65"/>
      <c r="FJ10" s="65"/>
      <c r="FK10" s="65"/>
      <c r="FL10" s="66"/>
      <c r="FM10" s="2"/>
      <c r="FN10" s="2"/>
      <c r="FO10" s="2"/>
      <c r="FP10" s="2"/>
      <c r="FQ10" s="2"/>
      <c r="FR10" s="2"/>
      <c r="FS10" s="2"/>
    </row>
    <row r="11" spans="1:175" ht="15.75">
      <c r="A11" s="67" t="s">
        <v>1</v>
      </c>
      <c r="B11" s="68"/>
      <c r="C11" s="73" t="s">
        <v>6</v>
      </c>
      <c r="D11" s="67" t="s">
        <v>55</v>
      </c>
      <c r="E11" s="68"/>
      <c r="F11" s="76">
        <f>VLOOKUP(C11,BREAKFASTTABLE,2,FALSE)</f>
        <v>310</v>
      </c>
      <c r="G11" s="2"/>
      <c r="H11" s="2"/>
      <c r="I11" s="20" t="s">
        <v>56</v>
      </c>
      <c r="J11" s="32"/>
      <c r="K11" s="20" t="s">
        <v>4</v>
      </c>
      <c r="L11" s="32"/>
      <c r="M11" s="20" t="s">
        <v>57</v>
      </c>
      <c r="N11" s="32"/>
      <c r="O11" s="20" t="s">
        <v>58</v>
      </c>
      <c r="P11" s="32"/>
      <c r="Q11" s="20" t="s">
        <v>59</v>
      </c>
      <c r="R11" s="32"/>
      <c r="S11" s="2"/>
      <c r="T11" s="2"/>
      <c r="U11" s="2"/>
      <c r="V11" s="2"/>
      <c r="W11" s="2"/>
      <c r="X11" s="2"/>
      <c r="Y11" s="2"/>
      <c r="Z11" s="67" t="s">
        <v>1</v>
      </c>
      <c r="AA11" s="68"/>
      <c r="AB11" s="73" t="s">
        <v>7</v>
      </c>
      <c r="AC11" s="67" t="s">
        <v>55</v>
      </c>
      <c r="AD11" s="68"/>
      <c r="AE11" s="76">
        <f>VLOOKUP(AB11,BREAKFASTTABLE,2,FALSE)</f>
        <v>265</v>
      </c>
      <c r="AF11" s="2"/>
      <c r="AG11" s="2"/>
      <c r="AH11" s="20" t="s">
        <v>56</v>
      </c>
      <c r="AI11" s="32"/>
      <c r="AJ11" s="20" t="s">
        <v>4</v>
      </c>
      <c r="AK11" s="32"/>
      <c r="AL11" s="20" t="s">
        <v>57</v>
      </c>
      <c r="AM11" s="32"/>
      <c r="AN11" s="20" t="s">
        <v>58</v>
      </c>
      <c r="AO11" s="32"/>
      <c r="AP11" s="20" t="s">
        <v>59</v>
      </c>
      <c r="AQ11" s="32"/>
      <c r="AR11" s="2"/>
      <c r="AS11" s="2"/>
      <c r="AT11" s="2"/>
      <c r="AU11" s="2"/>
      <c r="AV11" s="2"/>
      <c r="AW11" s="2"/>
      <c r="AX11" s="2"/>
      <c r="AY11" s="67" t="s">
        <v>1</v>
      </c>
      <c r="AZ11" s="68"/>
      <c r="BA11" s="73" t="s">
        <v>9</v>
      </c>
      <c r="BB11" s="67" t="s">
        <v>55</v>
      </c>
      <c r="BC11" s="68"/>
      <c r="BD11" s="76">
        <f>VLOOKUP(BA11,BREAKFASTTABLE,2,FALSE)</f>
        <v>340</v>
      </c>
      <c r="BE11" s="2"/>
      <c r="BF11" s="2"/>
      <c r="BG11" s="20" t="s">
        <v>56</v>
      </c>
      <c r="BH11" s="32"/>
      <c r="BI11" s="20" t="s">
        <v>4</v>
      </c>
      <c r="BJ11" s="32"/>
      <c r="BK11" s="20" t="s">
        <v>57</v>
      </c>
      <c r="BL11" s="32"/>
      <c r="BM11" s="20" t="s">
        <v>58</v>
      </c>
      <c r="BN11" s="32"/>
      <c r="BO11" s="20" t="s">
        <v>59</v>
      </c>
      <c r="BP11" s="32"/>
      <c r="BQ11" s="2"/>
      <c r="BR11" s="2"/>
      <c r="BS11" s="2"/>
      <c r="BT11" s="2"/>
      <c r="BU11" s="2"/>
      <c r="BV11" s="2"/>
      <c r="BW11" s="2"/>
      <c r="BX11" s="67" t="s">
        <v>1</v>
      </c>
      <c r="BY11" s="68"/>
      <c r="BZ11" s="73" t="s">
        <v>11</v>
      </c>
      <c r="CA11" s="67" t="s">
        <v>55</v>
      </c>
      <c r="CB11" s="68"/>
      <c r="CC11" s="76">
        <f>VLOOKUP(BZ11,BREAKFASTTABLE,2,FALSE)</f>
        <v>300</v>
      </c>
      <c r="CD11" s="2"/>
      <c r="CE11" s="2"/>
      <c r="CF11" s="20" t="s">
        <v>56</v>
      </c>
      <c r="CG11" s="32"/>
      <c r="CH11" s="20" t="s">
        <v>4</v>
      </c>
      <c r="CI11" s="32"/>
      <c r="CJ11" s="20" t="s">
        <v>57</v>
      </c>
      <c r="CK11" s="32"/>
      <c r="CL11" s="20" t="s">
        <v>58</v>
      </c>
      <c r="CM11" s="32"/>
      <c r="CN11" s="20" t="s">
        <v>59</v>
      </c>
      <c r="CO11" s="32"/>
      <c r="CP11" s="2"/>
      <c r="CQ11" s="2"/>
      <c r="CR11" s="2"/>
      <c r="CS11" s="2"/>
      <c r="CT11" s="2"/>
      <c r="CU11" s="2"/>
      <c r="CV11" s="2"/>
      <c r="CW11" s="67" t="s">
        <v>1</v>
      </c>
      <c r="CX11" s="68"/>
      <c r="CY11" s="73" t="s">
        <v>13</v>
      </c>
      <c r="CZ11" s="67" t="s">
        <v>55</v>
      </c>
      <c r="DA11" s="68"/>
      <c r="DB11" s="76">
        <f>VLOOKUP(CY11,BREAKFASTTABLE,2,FALSE)</f>
        <v>250</v>
      </c>
      <c r="DC11" s="2"/>
      <c r="DD11" s="2"/>
      <c r="DE11" s="20" t="s">
        <v>56</v>
      </c>
      <c r="DF11" s="32"/>
      <c r="DG11" s="20" t="s">
        <v>4</v>
      </c>
      <c r="DH11" s="32"/>
      <c r="DI11" s="20" t="s">
        <v>57</v>
      </c>
      <c r="DJ11" s="32"/>
      <c r="DK11" s="20" t="s">
        <v>58</v>
      </c>
      <c r="DL11" s="32"/>
      <c r="DM11" s="20" t="s">
        <v>59</v>
      </c>
      <c r="DN11" s="32"/>
      <c r="DO11" s="2"/>
      <c r="DP11" s="2"/>
      <c r="DQ11" s="2"/>
      <c r="DR11" s="2"/>
      <c r="DS11" s="2"/>
      <c r="DT11" s="2"/>
      <c r="DU11" s="2"/>
      <c r="DV11" s="67" t="s">
        <v>1</v>
      </c>
      <c r="DW11" s="68"/>
      <c r="DX11" s="73" t="s">
        <v>6</v>
      </c>
      <c r="DY11" s="67" t="s">
        <v>55</v>
      </c>
      <c r="DZ11" s="68"/>
      <c r="EA11" s="76">
        <f>VLOOKUP(DX11,BREAKFASTTABLE,2,FALSE)</f>
        <v>310</v>
      </c>
      <c r="EB11" s="2"/>
      <c r="EC11" s="2"/>
      <c r="ED11" s="20" t="s">
        <v>56</v>
      </c>
      <c r="EE11" s="32"/>
      <c r="EF11" s="20" t="s">
        <v>4</v>
      </c>
      <c r="EG11" s="32"/>
      <c r="EH11" s="20" t="s">
        <v>57</v>
      </c>
      <c r="EI11" s="32"/>
      <c r="EJ11" s="20" t="s">
        <v>58</v>
      </c>
      <c r="EK11" s="32"/>
      <c r="EL11" s="20" t="s">
        <v>59</v>
      </c>
      <c r="EM11" s="32"/>
      <c r="EN11" s="2"/>
      <c r="EO11" s="2"/>
      <c r="EP11" s="2"/>
      <c r="EQ11" s="2"/>
      <c r="ER11" s="2"/>
      <c r="ES11" s="2"/>
      <c r="ET11" s="2"/>
      <c r="EU11" s="67" t="s">
        <v>1</v>
      </c>
      <c r="EV11" s="68"/>
      <c r="EW11" s="73" t="s">
        <v>6</v>
      </c>
      <c r="EX11" s="67" t="s">
        <v>55</v>
      </c>
      <c r="EY11" s="68"/>
      <c r="EZ11" s="76">
        <f>VLOOKUP(EW11,BREAKFASTTABLE,2,FALSE)</f>
        <v>310</v>
      </c>
      <c r="FA11" s="2"/>
      <c r="FB11" s="2"/>
      <c r="FC11" s="20" t="s">
        <v>56</v>
      </c>
      <c r="FD11" s="32"/>
      <c r="FE11" s="20" t="s">
        <v>4</v>
      </c>
      <c r="FF11" s="32"/>
      <c r="FG11" s="20" t="s">
        <v>57</v>
      </c>
      <c r="FH11" s="32"/>
      <c r="FI11" s="20" t="s">
        <v>58</v>
      </c>
      <c r="FJ11" s="32"/>
      <c r="FK11" s="20" t="s">
        <v>59</v>
      </c>
      <c r="FL11" s="32"/>
      <c r="FM11" s="2"/>
      <c r="FN11" s="2"/>
      <c r="FO11" s="2"/>
      <c r="FP11" s="2"/>
      <c r="FQ11" s="2"/>
      <c r="FR11" s="2"/>
      <c r="FS11" s="2"/>
    </row>
    <row r="12" spans="1:175" ht="16.5" thickBot="1">
      <c r="A12" s="69"/>
      <c r="B12" s="70"/>
      <c r="C12" s="74"/>
      <c r="D12" s="69"/>
      <c r="E12" s="70"/>
      <c r="F12" s="77"/>
      <c r="G12" s="2"/>
      <c r="H12" s="2"/>
      <c r="I12" s="22"/>
      <c r="J12" s="33"/>
      <c r="K12" s="22"/>
      <c r="L12" s="33"/>
      <c r="M12" s="22"/>
      <c r="N12" s="33"/>
      <c r="O12" s="22"/>
      <c r="P12" s="33"/>
      <c r="Q12" s="22"/>
      <c r="R12" s="33"/>
      <c r="S12" s="2"/>
      <c r="T12" s="2"/>
      <c r="U12" s="2"/>
      <c r="V12" s="2"/>
      <c r="W12" s="2"/>
      <c r="X12" s="2"/>
      <c r="Y12" s="2"/>
      <c r="Z12" s="69"/>
      <c r="AA12" s="70"/>
      <c r="AB12" s="74"/>
      <c r="AC12" s="69"/>
      <c r="AD12" s="70"/>
      <c r="AE12" s="77"/>
      <c r="AF12" s="2"/>
      <c r="AG12" s="2"/>
      <c r="AH12" s="22"/>
      <c r="AI12" s="33"/>
      <c r="AJ12" s="22"/>
      <c r="AK12" s="33"/>
      <c r="AL12" s="22"/>
      <c r="AM12" s="33"/>
      <c r="AN12" s="22"/>
      <c r="AO12" s="33"/>
      <c r="AP12" s="22"/>
      <c r="AQ12" s="33"/>
      <c r="AR12" s="2"/>
      <c r="AS12" s="2"/>
      <c r="AT12" s="2"/>
      <c r="AU12" s="2"/>
      <c r="AV12" s="2"/>
      <c r="AW12" s="2"/>
      <c r="AX12" s="2"/>
      <c r="AY12" s="69"/>
      <c r="AZ12" s="70"/>
      <c r="BA12" s="74"/>
      <c r="BB12" s="69"/>
      <c r="BC12" s="70"/>
      <c r="BD12" s="77"/>
      <c r="BE12" s="2"/>
      <c r="BF12" s="2"/>
      <c r="BG12" s="22"/>
      <c r="BH12" s="33"/>
      <c r="BI12" s="22"/>
      <c r="BJ12" s="33"/>
      <c r="BK12" s="22"/>
      <c r="BL12" s="33"/>
      <c r="BM12" s="22"/>
      <c r="BN12" s="33"/>
      <c r="BO12" s="22"/>
      <c r="BP12" s="33"/>
      <c r="BQ12" s="2"/>
      <c r="BR12" s="2"/>
      <c r="BS12" s="2"/>
      <c r="BT12" s="2"/>
      <c r="BU12" s="2"/>
      <c r="BV12" s="2"/>
      <c r="BW12" s="2"/>
      <c r="BX12" s="69"/>
      <c r="BY12" s="70"/>
      <c r="BZ12" s="74"/>
      <c r="CA12" s="69"/>
      <c r="CB12" s="70"/>
      <c r="CC12" s="77"/>
      <c r="CD12" s="2"/>
      <c r="CE12" s="2"/>
      <c r="CF12" s="22"/>
      <c r="CG12" s="33"/>
      <c r="CH12" s="22"/>
      <c r="CI12" s="33"/>
      <c r="CJ12" s="22"/>
      <c r="CK12" s="33"/>
      <c r="CL12" s="22"/>
      <c r="CM12" s="33"/>
      <c r="CN12" s="22"/>
      <c r="CO12" s="33"/>
      <c r="CP12" s="2"/>
      <c r="CQ12" s="2"/>
      <c r="CR12" s="2"/>
      <c r="CS12" s="2"/>
      <c r="CT12" s="2"/>
      <c r="CU12" s="2"/>
      <c r="CV12" s="2"/>
      <c r="CW12" s="69"/>
      <c r="CX12" s="70"/>
      <c r="CY12" s="74"/>
      <c r="CZ12" s="69"/>
      <c r="DA12" s="70"/>
      <c r="DB12" s="77"/>
      <c r="DC12" s="2"/>
      <c r="DD12" s="2"/>
      <c r="DE12" s="22"/>
      <c r="DF12" s="33"/>
      <c r="DG12" s="22"/>
      <c r="DH12" s="33"/>
      <c r="DI12" s="22"/>
      <c r="DJ12" s="33"/>
      <c r="DK12" s="22"/>
      <c r="DL12" s="33"/>
      <c r="DM12" s="22"/>
      <c r="DN12" s="33"/>
      <c r="DO12" s="2"/>
      <c r="DP12" s="2"/>
      <c r="DQ12" s="2"/>
      <c r="DR12" s="2"/>
      <c r="DS12" s="2"/>
      <c r="DT12" s="2"/>
      <c r="DU12" s="2"/>
      <c r="DV12" s="69"/>
      <c r="DW12" s="70"/>
      <c r="DX12" s="74"/>
      <c r="DY12" s="69"/>
      <c r="DZ12" s="70"/>
      <c r="EA12" s="77"/>
      <c r="EB12" s="2"/>
      <c r="EC12" s="2"/>
      <c r="ED12" s="22"/>
      <c r="EE12" s="33"/>
      <c r="EF12" s="22"/>
      <c r="EG12" s="33"/>
      <c r="EH12" s="22"/>
      <c r="EI12" s="33"/>
      <c r="EJ12" s="22"/>
      <c r="EK12" s="33"/>
      <c r="EL12" s="22"/>
      <c r="EM12" s="33"/>
      <c r="EN12" s="2"/>
      <c r="EO12" s="2"/>
      <c r="EP12" s="2"/>
      <c r="EQ12" s="2"/>
      <c r="ER12" s="2"/>
      <c r="ES12" s="2"/>
      <c r="ET12" s="2"/>
      <c r="EU12" s="69"/>
      <c r="EV12" s="70"/>
      <c r="EW12" s="74"/>
      <c r="EX12" s="69"/>
      <c r="EY12" s="70"/>
      <c r="EZ12" s="77"/>
      <c r="FA12" s="2"/>
      <c r="FB12" s="2"/>
      <c r="FC12" s="22"/>
      <c r="FD12" s="33"/>
      <c r="FE12" s="22"/>
      <c r="FF12" s="33"/>
      <c r="FG12" s="22"/>
      <c r="FH12" s="33"/>
      <c r="FI12" s="22"/>
      <c r="FJ12" s="33"/>
      <c r="FK12" s="22"/>
      <c r="FL12" s="33"/>
      <c r="FM12" s="2"/>
      <c r="FN12" s="2"/>
      <c r="FO12" s="2"/>
      <c r="FP12" s="2"/>
      <c r="FQ12" s="2"/>
      <c r="FR12" s="2"/>
      <c r="FS12" s="2"/>
    </row>
    <row r="13" spans="1:175" ht="15.75">
      <c r="A13" s="69"/>
      <c r="B13" s="70"/>
      <c r="C13" s="74"/>
      <c r="D13" s="69"/>
      <c r="E13" s="70"/>
      <c r="F13" s="77"/>
      <c r="G13" s="2"/>
      <c r="H13" s="2"/>
      <c r="I13" s="26" t="s">
        <v>8</v>
      </c>
      <c r="J13" s="27"/>
      <c r="K13" s="20">
        <f>VLOOKUP(I13,METVALUE,2,FALSE)</f>
        <v>5.5</v>
      </c>
      <c r="L13" s="21"/>
      <c r="M13" s="20">
        <v>2</v>
      </c>
      <c r="N13" s="21"/>
      <c r="O13" s="20">
        <f>K13*D3</f>
        <v>539</v>
      </c>
      <c r="P13" s="21"/>
      <c r="Q13" s="20">
        <f>M13*O13</f>
        <v>1078</v>
      </c>
      <c r="R13" s="21"/>
      <c r="S13" s="2"/>
      <c r="T13" s="2"/>
      <c r="U13" s="2"/>
      <c r="V13" s="2"/>
      <c r="W13" s="2"/>
      <c r="X13" s="2"/>
      <c r="Y13" s="2"/>
      <c r="Z13" s="69"/>
      <c r="AA13" s="70"/>
      <c r="AB13" s="74"/>
      <c r="AC13" s="69"/>
      <c r="AD13" s="70"/>
      <c r="AE13" s="77"/>
      <c r="AF13" s="2"/>
      <c r="AG13" s="2"/>
      <c r="AH13" s="26" t="s">
        <v>8</v>
      </c>
      <c r="AI13" s="27"/>
      <c r="AJ13" s="20">
        <f>VLOOKUP(AH13,METVALUE,2,FALSE)</f>
        <v>5.5</v>
      </c>
      <c r="AK13" s="21"/>
      <c r="AL13" s="20">
        <v>2</v>
      </c>
      <c r="AM13" s="21"/>
      <c r="AN13" s="20">
        <f>AJ13*AC3</f>
        <v>539</v>
      </c>
      <c r="AO13" s="21"/>
      <c r="AP13" s="20">
        <f>AL13*AN13</f>
        <v>1078</v>
      </c>
      <c r="AQ13" s="21"/>
      <c r="AR13" s="2"/>
      <c r="AS13" s="2"/>
      <c r="AT13" s="2"/>
      <c r="AU13" s="2"/>
      <c r="AV13" s="2"/>
      <c r="AW13" s="2"/>
      <c r="AX13" s="2"/>
      <c r="AY13" s="69"/>
      <c r="AZ13" s="70"/>
      <c r="BA13" s="74"/>
      <c r="BB13" s="69"/>
      <c r="BC13" s="70"/>
      <c r="BD13" s="77"/>
      <c r="BE13" s="2"/>
      <c r="BF13" s="2"/>
      <c r="BG13" s="26" t="s">
        <v>8</v>
      </c>
      <c r="BH13" s="27"/>
      <c r="BI13" s="20">
        <f>VLOOKUP(BG13,METVALUE,2,FALSE)</f>
        <v>5.5</v>
      </c>
      <c r="BJ13" s="21"/>
      <c r="BK13" s="20">
        <v>2</v>
      </c>
      <c r="BL13" s="21"/>
      <c r="BM13" s="20">
        <f>BI13*BB3</f>
        <v>539</v>
      </c>
      <c r="BN13" s="21"/>
      <c r="BO13" s="20">
        <f>BK13*BM13</f>
        <v>1078</v>
      </c>
      <c r="BP13" s="21"/>
      <c r="BQ13" s="2"/>
      <c r="BR13" s="2"/>
      <c r="BS13" s="2"/>
      <c r="BT13" s="2"/>
      <c r="BU13" s="2"/>
      <c r="BV13" s="2"/>
      <c r="BW13" s="2"/>
      <c r="BX13" s="69"/>
      <c r="BY13" s="70"/>
      <c r="BZ13" s="74"/>
      <c r="CA13" s="69"/>
      <c r="CB13" s="70"/>
      <c r="CC13" s="77"/>
      <c r="CD13" s="2"/>
      <c r="CE13" s="2"/>
      <c r="CF13" s="26" t="s">
        <v>8</v>
      </c>
      <c r="CG13" s="27"/>
      <c r="CH13" s="20">
        <f>VLOOKUP(CF13,METVALUE,2,FALSE)</f>
        <v>5.5</v>
      </c>
      <c r="CI13" s="21"/>
      <c r="CJ13" s="20">
        <v>2</v>
      </c>
      <c r="CK13" s="21"/>
      <c r="CL13" s="20">
        <f>CH13*CA3</f>
        <v>539</v>
      </c>
      <c r="CM13" s="21"/>
      <c r="CN13" s="20">
        <f>CJ13*CL13</f>
        <v>1078</v>
      </c>
      <c r="CO13" s="21"/>
      <c r="CP13" s="2"/>
      <c r="CQ13" s="2"/>
      <c r="CR13" s="2"/>
      <c r="CS13" s="2"/>
      <c r="CT13" s="2"/>
      <c r="CU13" s="2"/>
      <c r="CV13" s="2"/>
      <c r="CW13" s="69"/>
      <c r="CX13" s="70"/>
      <c r="CY13" s="74"/>
      <c r="CZ13" s="69"/>
      <c r="DA13" s="70"/>
      <c r="DB13" s="77"/>
      <c r="DC13" s="2"/>
      <c r="DD13" s="2"/>
      <c r="DE13" s="26" t="s">
        <v>8</v>
      </c>
      <c r="DF13" s="27"/>
      <c r="DG13" s="20">
        <f>VLOOKUP(DE13,METVALUE,2,FALSE)</f>
        <v>5.5</v>
      </c>
      <c r="DH13" s="21"/>
      <c r="DI13" s="20">
        <v>2</v>
      </c>
      <c r="DJ13" s="21"/>
      <c r="DK13" s="20">
        <f>DG13*CZ3</f>
        <v>539</v>
      </c>
      <c r="DL13" s="21"/>
      <c r="DM13" s="20">
        <f>DI13*DK13</f>
        <v>1078</v>
      </c>
      <c r="DN13" s="21"/>
      <c r="DO13" s="2"/>
      <c r="DP13" s="2"/>
      <c r="DQ13" s="2"/>
      <c r="DR13" s="2"/>
      <c r="DS13" s="2"/>
      <c r="DT13" s="2"/>
      <c r="DU13" s="2"/>
      <c r="DV13" s="69"/>
      <c r="DW13" s="70"/>
      <c r="DX13" s="74"/>
      <c r="DY13" s="69"/>
      <c r="DZ13" s="70"/>
      <c r="EA13" s="77"/>
      <c r="EB13" s="2"/>
      <c r="EC13" s="2"/>
      <c r="ED13" s="26" t="s">
        <v>8</v>
      </c>
      <c r="EE13" s="27"/>
      <c r="EF13" s="20">
        <f>VLOOKUP(ED13,METVALUE,2,FALSE)</f>
        <v>5.5</v>
      </c>
      <c r="EG13" s="21"/>
      <c r="EH13" s="20">
        <v>2</v>
      </c>
      <c r="EI13" s="21"/>
      <c r="EJ13" s="20">
        <f>EF13*DY3</f>
        <v>539</v>
      </c>
      <c r="EK13" s="21"/>
      <c r="EL13" s="20">
        <f>EH13*EJ13</f>
        <v>1078</v>
      </c>
      <c r="EM13" s="21"/>
      <c r="EN13" s="2"/>
      <c r="EO13" s="2"/>
      <c r="EP13" s="2"/>
      <c r="EQ13" s="2"/>
      <c r="ER13" s="2"/>
      <c r="ES13" s="2"/>
      <c r="ET13" s="2"/>
      <c r="EU13" s="69"/>
      <c r="EV13" s="70"/>
      <c r="EW13" s="74"/>
      <c r="EX13" s="69"/>
      <c r="EY13" s="70"/>
      <c r="EZ13" s="77"/>
      <c r="FA13" s="2"/>
      <c r="FB13" s="2"/>
      <c r="FC13" s="26" t="s">
        <v>8</v>
      </c>
      <c r="FD13" s="27"/>
      <c r="FE13" s="20">
        <f>VLOOKUP(FC13,METVALUE,2,FALSE)</f>
        <v>5.5</v>
      </c>
      <c r="FF13" s="21"/>
      <c r="FG13" s="20">
        <v>2</v>
      </c>
      <c r="FH13" s="21"/>
      <c r="FI13" s="20">
        <f>FE13*EX3</f>
        <v>539</v>
      </c>
      <c r="FJ13" s="21"/>
      <c r="FK13" s="20">
        <f>FG13*FI13</f>
        <v>1078</v>
      </c>
      <c r="FL13" s="21"/>
      <c r="FM13" s="2"/>
      <c r="FN13" s="2"/>
      <c r="FO13" s="2"/>
      <c r="FP13" s="2"/>
      <c r="FQ13" s="2"/>
      <c r="FR13" s="2"/>
      <c r="FS13" s="2"/>
    </row>
    <row r="14" spans="1:175" ht="16.5" thickBot="1">
      <c r="A14" s="71"/>
      <c r="B14" s="72"/>
      <c r="C14" s="75"/>
      <c r="D14" s="71"/>
      <c r="E14" s="72"/>
      <c r="F14" s="78"/>
      <c r="G14" s="2"/>
      <c r="H14" s="2"/>
      <c r="I14" s="28"/>
      <c r="J14" s="29"/>
      <c r="K14" s="22"/>
      <c r="L14" s="23"/>
      <c r="M14" s="22"/>
      <c r="N14" s="23"/>
      <c r="O14" s="22"/>
      <c r="P14" s="23"/>
      <c r="Q14" s="22"/>
      <c r="R14" s="23"/>
      <c r="S14" s="2"/>
      <c r="T14" s="2"/>
      <c r="U14" s="2"/>
      <c r="V14" s="2"/>
      <c r="W14" s="2"/>
      <c r="X14" s="2"/>
      <c r="Y14" s="2"/>
      <c r="Z14" s="71"/>
      <c r="AA14" s="72"/>
      <c r="AB14" s="75"/>
      <c r="AC14" s="71"/>
      <c r="AD14" s="72"/>
      <c r="AE14" s="78"/>
      <c r="AF14" s="2"/>
      <c r="AG14" s="2"/>
      <c r="AH14" s="28"/>
      <c r="AI14" s="29"/>
      <c r="AJ14" s="22"/>
      <c r="AK14" s="23"/>
      <c r="AL14" s="22"/>
      <c r="AM14" s="23"/>
      <c r="AN14" s="22"/>
      <c r="AO14" s="23"/>
      <c r="AP14" s="22"/>
      <c r="AQ14" s="23"/>
      <c r="AR14" s="2"/>
      <c r="AS14" s="2"/>
      <c r="AT14" s="2"/>
      <c r="AU14" s="2"/>
      <c r="AV14" s="2"/>
      <c r="AW14" s="2"/>
      <c r="AX14" s="2"/>
      <c r="AY14" s="71"/>
      <c r="AZ14" s="72"/>
      <c r="BA14" s="75"/>
      <c r="BB14" s="71"/>
      <c r="BC14" s="72"/>
      <c r="BD14" s="78"/>
      <c r="BE14" s="2"/>
      <c r="BF14" s="2"/>
      <c r="BG14" s="28"/>
      <c r="BH14" s="29"/>
      <c r="BI14" s="22"/>
      <c r="BJ14" s="23"/>
      <c r="BK14" s="22"/>
      <c r="BL14" s="23"/>
      <c r="BM14" s="22"/>
      <c r="BN14" s="23"/>
      <c r="BO14" s="22"/>
      <c r="BP14" s="23"/>
      <c r="BQ14" s="2"/>
      <c r="BR14" s="2"/>
      <c r="BS14" s="2"/>
      <c r="BT14" s="2"/>
      <c r="BU14" s="2"/>
      <c r="BV14" s="2"/>
      <c r="BW14" s="2"/>
      <c r="BX14" s="71"/>
      <c r="BY14" s="72"/>
      <c r="BZ14" s="75"/>
      <c r="CA14" s="71"/>
      <c r="CB14" s="72"/>
      <c r="CC14" s="78"/>
      <c r="CD14" s="2"/>
      <c r="CE14" s="2"/>
      <c r="CF14" s="28"/>
      <c r="CG14" s="29"/>
      <c r="CH14" s="22"/>
      <c r="CI14" s="23"/>
      <c r="CJ14" s="22"/>
      <c r="CK14" s="23"/>
      <c r="CL14" s="22"/>
      <c r="CM14" s="23"/>
      <c r="CN14" s="22"/>
      <c r="CO14" s="23"/>
      <c r="CP14" s="2"/>
      <c r="CQ14" s="2"/>
      <c r="CR14" s="2"/>
      <c r="CS14" s="2"/>
      <c r="CT14" s="2"/>
      <c r="CU14" s="2"/>
      <c r="CV14" s="2"/>
      <c r="CW14" s="71"/>
      <c r="CX14" s="72"/>
      <c r="CY14" s="75"/>
      <c r="CZ14" s="71"/>
      <c r="DA14" s="72"/>
      <c r="DB14" s="78"/>
      <c r="DC14" s="2"/>
      <c r="DD14" s="2"/>
      <c r="DE14" s="28"/>
      <c r="DF14" s="29"/>
      <c r="DG14" s="22"/>
      <c r="DH14" s="23"/>
      <c r="DI14" s="22"/>
      <c r="DJ14" s="23"/>
      <c r="DK14" s="22"/>
      <c r="DL14" s="23"/>
      <c r="DM14" s="22"/>
      <c r="DN14" s="23"/>
      <c r="DO14" s="2"/>
      <c r="DP14" s="2"/>
      <c r="DQ14" s="2"/>
      <c r="DR14" s="2"/>
      <c r="DS14" s="2"/>
      <c r="DT14" s="2"/>
      <c r="DU14" s="2"/>
      <c r="DV14" s="71"/>
      <c r="DW14" s="72"/>
      <c r="DX14" s="75"/>
      <c r="DY14" s="71"/>
      <c r="DZ14" s="72"/>
      <c r="EA14" s="78"/>
      <c r="EB14" s="2"/>
      <c r="EC14" s="2"/>
      <c r="ED14" s="28"/>
      <c r="EE14" s="29"/>
      <c r="EF14" s="22"/>
      <c r="EG14" s="23"/>
      <c r="EH14" s="22"/>
      <c r="EI14" s="23"/>
      <c r="EJ14" s="22"/>
      <c r="EK14" s="23"/>
      <c r="EL14" s="22"/>
      <c r="EM14" s="23"/>
      <c r="EN14" s="2"/>
      <c r="EO14" s="2"/>
      <c r="EP14" s="2"/>
      <c r="EQ14" s="2"/>
      <c r="ER14" s="2"/>
      <c r="ES14" s="2"/>
      <c r="ET14" s="2"/>
      <c r="EU14" s="71"/>
      <c r="EV14" s="72"/>
      <c r="EW14" s="75"/>
      <c r="EX14" s="71"/>
      <c r="EY14" s="72"/>
      <c r="EZ14" s="78"/>
      <c r="FA14" s="2"/>
      <c r="FB14" s="2"/>
      <c r="FC14" s="28"/>
      <c r="FD14" s="29"/>
      <c r="FE14" s="22"/>
      <c r="FF14" s="23"/>
      <c r="FG14" s="22"/>
      <c r="FH14" s="23"/>
      <c r="FI14" s="22"/>
      <c r="FJ14" s="23"/>
      <c r="FK14" s="22"/>
      <c r="FL14" s="23"/>
      <c r="FM14" s="2"/>
      <c r="FN14" s="2"/>
      <c r="FO14" s="2"/>
      <c r="FP14" s="2"/>
      <c r="FQ14" s="2"/>
      <c r="FR14" s="2"/>
      <c r="FS14" s="2"/>
    </row>
    <row r="15" spans="1:175" ht="16.5" thickBot="1">
      <c r="A15" s="67" t="s">
        <v>15</v>
      </c>
      <c r="B15" s="68"/>
      <c r="C15" s="73" t="s">
        <v>18</v>
      </c>
      <c r="D15" s="67" t="s">
        <v>55</v>
      </c>
      <c r="E15" s="68"/>
      <c r="F15" s="76">
        <f>VLOOKUP(C15,LUNCHTABLE,2,FALSE)</f>
        <v>350</v>
      </c>
      <c r="G15" s="2"/>
      <c r="H15" s="2"/>
      <c r="I15" s="30"/>
      <c r="J15" s="31"/>
      <c r="K15" s="24"/>
      <c r="L15" s="25"/>
      <c r="M15" s="24"/>
      <c r="N15" s="25"/>
      <c r="O15" s="24"/>
      <c r="P15" s="25"/>
      <c r="Q15" s="24"/>
      <c r="R15" s="25"/>
      <c r="S15" s="2"/>
      <c r="T15" s="2"/>
      <c r="U15" s="2"/>
      <c r="V15" s="2"/>
      <c r="W15" s="2"/>
      <c r="X15" s="2"/>
      <c r="Y15" s="2"/>
      <c r="Z15" s="67" t="s">
        <v>15</v>
      </c>
      <c r="AA15" s="68"/>
      <c r="AB15" s="73" t="s">
        <v>20</v>
      </c>
      <c r="AC15" s="67" t="s">
        <v>55</v>
      </c>
      <c r="AD15" s="68"/>
      <c r="AE15" s="76">
        <f>VLOOKUP(AB15,LUNCHTABLE,2,FALSE)</f>
        <v>400</v>
      </c>
      <c r="AF15" s="2"/>
      <c r="AG15" s="2"/>
      <c r="AH15" s="30"/>
      <c r="AI15" s="31"/>
      <c r="AJ15" s="24"/>
      <c r="AK15" s="25"/>
      <c r="AL15" s="24"/>
      <c r="AM15" s="25"/>
      <c r="AN15" s="24"/>
      <c r="AO15" s="25"/>
      <c r="AP15" s="24"/>
      <c r="AQ15" s="25"/>
      <c r="AR15" s="2"/>
      <c r="AS15" s="2"/>
      <c r="AT15" s="2"/>
      <c r="AU15" s="2"/>
      <c r="AV15" s="2"/>
      <c r="AW15" s="2"/>
      <c r="AX15" s="2"/>
      <c r="AY15" s="67" t="s">
        <v>15</v>
      </c>
      <c r="AZ15" s="68"/>
      <c r="BA15" s="73" t="s">
        <v>22</v>
      </c>
      <c r="BB15" s="67" t="s">
        <v>55</v>
      </c>
      <c r="BC15" s="68"/>
      <c r="BD15" s="76">
        <f>VLOOKUP(BA15,LUNCHTABLE,2,FALSE)</f>
        <v>450</v>
      </c>
      <c r="BE15" s="2"/>
      <c r="BF15" s="2"/>
      <c r="BG15" s="30"/>
      <c r="BH15" s="31"/>
      <c r="BI15" s="24"/>
      <c r="BJ15" s="25"/>
      <c r="BK15" s="24"/>
      <c r="BL15" s="25"/>
      <c r="BM15" s="24"/>
      <c r="BN15" s="25"/>
      <c r="BO15" s="24"/>
      <c r="BP15" s="25"/>
      <c r="BQ15" s="2"/>
      <c r="BR15" s="2"/>
      <c r="BS15" s="2"/>
      <c r="BT15" s="2"/>
      <c r="BU15" s="2"/>
      <c r="BV15" s="2"/>
      <c r="BW15" s="2"/>
      <c r="BX15" s="67" t="s">
        <v>15</v>
      </c>
      <c r="BY15" s="68"/>
      <c r="BZ15" s="73" t="s">
        <v>24</v>
      </c>
      <c r="CA15" s="67" t="s">
        <v>55</v>
      </c>
      <c r="CB15" s="68"/>
      <c r="CC15" s="76">
        <f>VLOOKUP(BZ15,LUNCHTABLE,2,FALSE)</f>
        <v>400</v>
      </c>
      <c r="CD15" s="2"/>
      <c r="CE15" s="2"/>
      <c r="CF15" s="30"/>
      <c r="CG15" s="31"/>
      <c r="CH15" s="24"/>
      <c r="CI15" s="25"/>
      <c r="CJ15" s="24"/>
      <c r="CK15" s="25"/>
      <c r="CL15" s="24"/>
      <c r="CM15" s="25"/>
      <c r="CN15" s="24"/>
      <c r="CO15" s="25"/>
      <c r="CP15" s="2"/>
      <c r="CQ15" s="2"/>
      <c r="CR15" s="2"/>
      <c r="CS15" s="2"/>
      <c r="CT15" s="2"/>
      <c r="CU15" s="2"/>
      <c r="CV15" s="2"/>
      <c r="CW15" s="67" t="s">
        <v>15</v>
      </c>
      <c r="CX15" s="68"/>
      <c r="CY15" s="73" t="s">
        <v>26</v>
      </c>
      <c r="CZ15" s="67" t="s">
        <v>55</v>
      </c>
      <c r="DA15" s="68"/>
      <c r="DB15" s="76">
        <f>VLOOKUP(CY15,LUNCHTABLE,2,FALSE)</f>
        <v>350</v>
      </c>
      <c r="DC15" s="2"/>
      <c r="DD15" s="2"/>
      <c r="DE15" s="30"/>
      <c r="DF15" s="31"/>
      <c r="DG15" s="24"/>
      <c r="DH15" s="25"/>
      <c r="DI15" s="24"/>
      <c r="DJ15" s="25"/>
      <c r="DK15" s="24"/>
      <c r="DL15" s="25"/>
      <c r="DM15" s="24"/>
      <c r="DN15" s="25"/>
      <c r="DO15" s="2"/>
      <c r="DP15" s="2"/>
      <c r="DQ15" s="2"/>
      <c r="DR15" s="2"/>
      <c r="DS15" s="2"/>
      <c r="DT15" s="2"/>
      <c r="DU15" s="2"/>
      <c r="DV15" s="67" t="s">
        <v>15</v>
      </c>
      <c r="DW15" s="68"/>
      <c r="DX15" s="73" t="s">
        <v>18</v>
      </c>
      <c r="DY15" s="67" t="s">
        <v>55</v>
      </c>
      <c r="DZ15" s="68"/>
      <c r="EA15" s="76">
        <f>VLOOKUP(DX15,LUNCHTABLE,2,FALSE)</f>
        <v>350</v>
      </c>
      <c r="EB15" s="2"/>
      <c r="EC15" s="2"/>
      <c r="ED15" s="30"/>
      <c r="EE15" s="31"/>
      <c r="EF15" s="24"/>
      <c r="EG15" s="25"/>
      <c r="EH15" s="24"/>
      <c r="EI15" s="25"/>
      <c r="EJ15" s="24"/>
      <c r="EK15" s="25"/>
      <c r="EL15" s="24"/>
      <c r="EM15" s="25"/>
      <c r="EN15" s="2"/>
      <c r="EO15" s="2"/>
      <c r="EP15" s="2"/>
      <c r="EQ15" s="2"/>
      <c r="ER15" s="2"/>
      <c r="ES15" s="2"/>
      <c r="ET15" s="2"/>
      <c r="EU15" s="67" t="s">
        <v>15</v>
      </c>
      <c r="EV15" s="68"/>
      <c r="EW15" s="73" t="s">
        <v>18</v>
      </c>
      <c r="EX15" s="67" t="s">
        <v>55</v>
      </c>
      <c r="EY15" s="68"/>
      <c r="EZ15" s="76">
        <f>VLOOKUP(EW15,LUNCHTABLE,2,FALSE)</f>
        <v>350</v>
      </c>
      <c r="FA15" s="2"/>
      <c r="FB15" s="2"/>
      <c r="FC15" s="30"/>
      <c r="FD15" s="31"/>
      <c r="FE15" s="24"/>
      <c r="FF15" s="25"/>
      <c r="FG15" s="24"/>
      <c r="FH15" s="25"/>
      <c r="FI15" s="24"/>
      <c r="FJ15" s="25"/>
      <c r="FK15" s="24"/>
      <c r="FL15" s="25"/>
      <c r="FM15" s="2"/>
      <c r="FN15" s="2"/>
      <c r="FO15" s="2"/>
      <c r="FP15" s="2"/>
      <c r="FQ15" s="2"/>
      <c r="FR15" s="2"/>
      <c r="FS15" s="2"/>
    </row>
    <row r="16" spans="1:175" ht="15.75">
      <c r="A16" s="69"/>
      <c r="B16" s="70"/>
      <c r="C16" s="74"/>
      <c r="D16" s="69"/>
      <c r="E16" s="70"/>
      <c r="F16" s="77"/>
      <c r="G16" s="2"/>
      <c r="H16" s="2"/>
      <c r="I16" s="26" t="s">
        <v>10</v>
      </c>
      <c r="J16" s="27"/>
      <c r="K16" s="20">
        <f>VLOOKUP(I16,METVALUE,2,FALSE)</f>
        <v>8</v>
      </c>
      <c r="L16" s="21"/>
      <c r="M16" s="20">
        <v>1</v>
      </c>
      <c r="N16" s="21"/>
      <c r="O16" s="20">
        <f>D3*K16</f>
        <v>784</v>
      </c>
      <c r="P16" s="21"/>
      <c r="Q16" s="20">
        <f>M16*O16</f>
        <v>784</v>
      </c>
      <c r="R16" s="21"/>
      <c r="S16" s="2"/>
      <c r="T16" s="2"/>
      <c r="U16" s="2"/>
      <c r="V16" s="2"/>
      <c r="W16" s="2"/>
      <c r="X16" s="2"/>
      <c r="Y16" s="2"/>
      <c r="Z16" s="69"/>
      <c r="AA16" s="70"/>
      <c r="AB16" s="74"/>
      <c r="AC16" s="69"/>
      <c r="AD16" s="70"/>
      <c r="AE16" s="77"/>
      <c r="AF16" s="2"/>
      <c r="AG16" s="2"/>
      <c r="AH16" s="26" t="s">
        <v>10</v>
      </c>
      <c r="AI16" s="27"/>
      <c r="AJ16" s="20">
        <f>VLOOKUP(AH16,METVALUE,2,FALSE)</f>
        <v>8</v>
      </c>
      <c r="AK16" s="21"/>
      <c r="AL16" s="20">
        <v>1</v>
      </c>
      <c r="AM16" s="21"/>
      <c r="AN16" s="20">
        <f>AC3*AJ16</f>
        <v>784</v>
      </c>
      <c r="AO16" s="21"/>
      <c r="AP16" s="20">
        <f>AL16*AN16</f>
        <v>784</v>
      </c>
      <c r="AQ16" s="21"/>
      <c r="AR16" s="2"/>
      <c r="AS16" s="2"/>
      <c r="AT16" s="2"/>
      <c r="AU16" s="2"/>
      <c r="AV16" s="2"/>
      <c r="AW16" s="2"/>
      <c r="AX16" s="2"/>
      <c r="AY16" s="69"/>
      <c r="AZ16" s="70"/>
      <c r="BA16" s="74"/>
      <c r="BB16" s="69"/>
      <c r="BC16" s="70"/>
      <c r="BD16" s="77"/>
      <c r="BE16" s="2"/>
      <c r="BF16" s="2"/>
      <c r="BG16" s="26" t="s">
        <v>10</v>
      </c>
      <c r="BH16" s="27"/>
      <c r="BI16" s="20">
        <f>VLOOKUP(BG16,METVALUE,2,FALSE)</f>
        <v>8</v>
      </c>
      <c r="BJ16" s="21"/>
      <c r="BK16" s="20">
        <v>1</v>
      </c>
      <c r="BL16" s="21"/>
      <c r="BM16" s="20">
        <f>BB3*BI16</f>
        <v>784</v>
      </c>
      <c r="BN16" s="21"/>
      <c r="BO16" s="20">
        <f>BK16*BM16</f>
        <v>784</v>
      </c>
      <c r="BP16" s="21"/>
      <c r="BQ16" s="2"/>
      <c r="BR16" s="2"/>
      <c r="BS16" s="2"/>
      <c r="BT16" s="2"/>
      <c r="BU16" s="2"/>
      <c r="BV16" s="2"/>
      <c r="BW16" s="2"/>
      <c r="BX16" s="69"/>
      <c r="BY16" s="70"/>
      <c r="BZ16" s="74"/>
      <c r="CA16" s="69"/>
      <c r="CB16" s="70"/>
      <c r="CC16" s="77"/>
      <c r="CD16" s="2"/>
      <c r="CE16" s="2"/>
      <c r="CF16" s="26" t="s">
        <v>10</v>
      </c>
      <c r="CG16" s="27"/>
      <c r="CH16" s="20">
        <f>VLOOKUP(CF16,METVALUE,2,FALSE)</f>
        <v>8</v>
      </c>
      <c r="CI16" s="21"/>
      <c r="CJ16" s="20">
        <v>1</v>
      </c>
      <c r="CK16" s="21"/>
      <c r="CL16" s="20">
        <f>CA3*CH16</f>
        <v>784</v>
      </c>
      <c r="CM16" s="21"/>
      <c r="CN16" s="20">
        <f>CJ16*CL16</f>
        <v>784</v>
      </c>
      <c r="CO16" s="21"/>
      <c r="CP16" s="2"/>
      <c r="CQ16" s="2"/>
      <c r="CR16" s="2"/>
      <c r="CS16" s="2"/>
      <c r="CT16" s="2"/>
      <c r="CU16" s="2"/>
      <c r="CV16" s="2"/>
      <c r="CW16" s="69"/>
      <c r="CX16" s="70"/>
      <c r="CY16" s="74"/>
      <c r="CZ16" s="69"/>
      <c r="DA16" s="70"/>
      <c r="DB16" s="77"/>
      <c r="DC16" s="2"/>
      <c r="DD16" s="2"/>
      <c r="DE16" s="26" t="s">
        <v>10</v>
      </c>
      <c r="DF16" s="27"/>
      <c r="DG16" s="20">
        <f>VLOOKUP(DE16,METVALUE,2,FALSE)</f>
        <v>8</v>
      </c>
      <c r="DH16" s="21"/>
      <c r="DI16" s="20">
        <v>1</v>
      </c>
      <c r="DJ16" s="21"/>
      <c r="DK16" s="20">
        <f>CZ3*DG16</f>
        <v>784</v>
      </c>
      <c r="DL16" s="21"/>
      <c r="DM16" s="20">
        <f>DI16*DK16</f>
        <v>784</v>
      </c>
      <c r="DN16" s="21"/>
      <c r="DO16" s="2"/>
      <c r="DP16" s="2"/>
      <c r="DQ16" s="2"/>
      <c r="DR16" s="2"/>
      <c r="DS16" s="2"/>
      <c r="DT16" s="2"/>
      <c r="DU16" s="2"/>
      <c r="DV16" s="69"/>
      <c r="DW16" s="70"/>
      <c r="DX16" s="74"/>
      <c r="DY16" s="69"/>
      <c r="DZ16" s="70"/>
      <c r="EA16" s="77"/>
      <c r="EB16" s="2"/>
      <c r="EC16" s="2"/>
      <c r="ED16" s="26" t="s">
        <v>10</v>
      </c>
      <c r="EE16" s="27"/>
      <c r="EF16" s="20">
        <f>VLOOKUP(ED16,METVALUE,2,FALSE)</f>
        <v>8</v>
      </c>
      <c r="EG16" s="21"/>
      <c r="EH16" s="20">
        <v>1</v>
      </c>
      <c r="EI16" s="21"/>
      <c r="EJ16" s="20">
        <f>DY3*EF16</f>
        <v>784</v>
      </c>
      <c r="EK16" s="21"/>
      <c r="EL16" s="20">
        <f>EH16*EJ16</f>
        <v>784</v>
      </c>
      <c r="EM16" s="21"/>
      <c r="EN16" s="2"/>
      <c r="EO16" s="2"/>
      <c r="EP16" s="2"/>
      <c r="EQ16" s="2"/>
      <c r="ER16" s="2"/>
      <c r="ES16" s="2"/>
      <c r="ET16" s="2"/>
      <c r="EU16" s="69"/>
      <c r="EV16" s="70"/>
      <c r="EW16" s="74"/>
      <c r="EX16" s="69"/>
      <c r="EY16" s="70"/>
      <c r="EZ16" s="77"/>
      <c r="FA16" s="2"/>
      <c r="FB16" s="2"/>
      <c r="FC16" s="26" t="s">
        <v>10</v>
      </c>
      <c r="FD16" s="27"/>
      <c r="FE16" s="20">
        <f>VLOOKUP(FC16,METVALUE,2,FALSE)</f>
        <v>8</v>
      </c>
      <c r="FF16" s="21"/>
      <c r="FG16" s="20">
        <v>1</v>
      </c>
      <c r="FH16" s="21"/>
      <c r="FI16" s="20">
        <f>EX3*FE16</f>
        <v>784</v>
      </c>
      <c r="FJ16" s="21"/>
      <c r="FK16" s="20">
        <f>FG16*FI16</f>
        <v>784</v>
      </c>
      <c r="FL16" s="21"/>
      <c r="FM16" s="2"/>
      <c r="FN16" s="2"/>
      <c r="FO16" s="2"/>
      <c r="FP16" s="2"/>
      <c r="FQ16" s="2"/>
      <c r="FR16" s="2"/>
      <c r="FS16" s="2"/>
    </row>
    <row r="17" spans="1:175" ht="15.75">
      <c r="A17" s="69"/>
      <c r="B17" s="70"/>
      <c r="C17" s="74"/>
      <c r="D17" s="69"/>
      <c r="E17" s="70"/>
      <c r="F17" s="77"/>
      <c r="G17" s="2"/>
      <c r="H17" s="2"/>
      <c r="I17" s="28"/>
      <c r="J17" s="29"/>
      <c r="K17" s="22"/>
      <c r="L17" s="23"/>
      <c r="M17" s="22"/>
      <c r="N17" s="23"/>
      <c r="O17" s="22"/>
      <c r="P17" s="23"/>
      <c r="Q17" s="22"/>
      <c r="R17" s="23"/>
      <c r="S17" s="2"/>
      <c r="T17" s="2"/>
      <c r="U17" s="2"/>
      <c r="V17" s="2"/>
      <c r="W17" s="2"/>
      <c r="X17" s="2"/>
      <c r="Y17" s="2"/>
      <c r="Z17" s="69"/>
      <c r="AA17" s="70"/>
      <c r="AB17" s="74"/>
      <c r="AC17" s="69"/>
      <c r="AD17" s="70"/>
      <c r="AE17" s="77"/>
      <c r="AF17" s="2"/>
      <c r="AG17" s="2"/>
      <c r="AH17" s="28"/>
      <c r="AI17" s="29"/>
      <c r="AJ17" s="22"/>
      <c r="AK17" s="23"/>
      <c r="AL17" s="22"/>
      <c r="AM17" s="23"/>
      <c r="AN17" s="22"/>
      <c r="AO17" s="23"/>
      <c r="AP17" s="22"/>
      <c r="AQ17" s="23"/>
      <c r="AR17" s="2"/>
      <c r="AS17" s="2"/>
      <c r="AT17" s="2"/>
      <c r="AU17" s="2"/>
      <c r="AV17" s="2"/>
      <c r="AW17" s="2"/>
      <c r="AX17" s="2"/>
      <c r="AY17" s="69"/>
      <c r="AZ17" s="70"/>
      <c r="BA17" s="74"/>
      <c r="BB17" s="69"/>
      <c r="BC17" s="70"/>
      <c r="BD17" s="77"/>
      <c r="BE17" s="2"/>
      <c r="BF17" s="2"/>
      <c r="BG17" s="28"/>
      <c r="BH17" s="29"/>
      <c r="BI17" s="22"/>
      <c r="BJ17" s="23"/>
      <c r="BK17" s="22"/>
      <c r="BL17" s="23"/>
      <c r="BM17" s="22"/>
      <c r="BN17" s="23"/>
      <c r="BO17" s="22"/>
      <c r="BP17" s="23"/>
      <c r="BQ17" s="2"/>
      <c r="BR17" s="2"/>
      <c r="BS17" s="2"/>
      <c r="BT17" s="2"/>
      <c r="BU17" s="2"/>
      <c r="BV17" s="2"/>
      <c r="BW17" s="2"/>
      <c r="BX17" s="69"/>
      <c r="BY17" s="70"/>
      <c r="BZ17" s="74"/>
      <c r="CA17" s="69"/>
      <c r="CB17" s="70"/>
      <c r="CC17" s="77"/>
      <c r="CD17" s="2"/>
      <c r="CE17" s="2"/>
      <c r="CF17" s="28"/>
      <c r="CG17" s="29"/>
      <c r="CH17" s="22"/>
      <c r="CI17" s="23"/>
      <c r="CJ17" s="22"/>
      <c r="CK17" s="23"/>
      <c r="CL17" s="22"/>
      <c r="CM17" s="23"/>
      <c r="CN17" s="22"/>
      <c r="CO17" s="23"/>
      <c r="CP17" s="2"/>
      <c r="CQ17" s="2"/>
      <c r="CR17" s="2"/>
      <c r="CS17" s="2"/>
      <c r="CT17" s="2"/>
      <c r="CU17" s="2"/>
      <c r="CV17" s="2"/>
      <c r="CW17" s="69"/>
      <c r="CX17" s="70"/>
      <c r="CY17" s="74"/>
      <c r="CZ17" s="69"/>
      <c r="DA17" s="70"/>
      <c r="DB17" s="77"/>
      <c r="DC17" s="2"/>
      <c r="DD17" s="2"/>
      <c r="DE17" s="28"/>
      <c r="DF17" s="29"/>
      <c r="DG17" s="22"/>
      <c r="DH17" s="23"/>
      <c r="DI17" s="22"/>
      <c r="DJ17" s="23"/>
      <c r="DK17" s="22"/>
      <c r="DL17" s="23"/>
      <c r="DM17" s="22"/>
      <c r="DN17" s="23"/>
      <c r="DO17" s="2"/>
      <c r="DP17" s="2"/>
      <c r="DQ17" s="2"/>
      <c r="DR17" s="2"/>
      <c r="DS17" s="2"/>
      <c r="DT17" s="2"/>
      <c r="DU17" s="2"/>
      <c r="DV17" s="69"/>
      <c r="DW17" s="70"/>
      <c r="DX17" s="74"/>
      <c r="DY17" s="69"/>
      <c r="DZ17" s="70"/>
      <c r="EA17" s="77"/>
      <c r="EB17" s="2"/>
      <c r="EC17" s="2"/>
      <c r="ED17" s="28"/>
      <c r="EE17" s="29"/>
      <c r="EF17" s="22"/>
      <c r="EG17" s="23"/>
      <c r="EH17" s="22"/>
      <c r="EI17" s="23"/>
      <c r="EJ17" s="22"/>
      <c r="EK17" s="23"/>
      <c r="EL17" s="22"/>
      <c r="EM17" s="23"/>
      <c r="EN17" s="2"/>
      <c r="EO17" s="2"/>
      <c r="EP17" s="2"/>
      <c r="EQ17" s="2"/>
      <c r="ER17" s="2"/>
      <c r="ES17" s="2"/>
      <c r="ET17" s="2"/>
      <c r="EU17" s="69"/>
      <c r="EV17" s="70"/>
      <c r="EW17" s="74"/>
      <c r="EX17" s="69"/>
      <c r="EY17" s="70"/>
      <c r="EZ17" s="77"/>
      <c r="FA17" s="2"/>
      <c r="FB17" s="2"/>
      <c r="FC17" s="28"/>
      <c r="FD17" s="29"/>
      <c r="FE17" s="22"/>
      <c r="FF17" s="23"/>
      <c r="FG17" s="22"/>
      <c r="FH17" s="23"/>
      <c r="FI17" s="22"/>
      <c r="FJ17" s="23"/>
      <c r="FK17" s="22"/>
      <c r="FL17" s="23"/>
      <c r="FM17" s="2"/>
      <c r="FN17" s="2"/>
      <c r="FO17" s="2"/>
      <c r="FP17" s="2"/>
      <c r="FQ17" s="2"/>
      <c r="FR17" s="2"/>
      <c r="FS17" s="2"/>
    </row>
    <row r="18" spans="1:175" ht="16.5" thickBot="1">
      <c r="A18" s="71"/>
      <c r="B18" s="72"/>
      <c r="C18" s="75"/>
      <c r="D18" s="71"/>
      <c r="E18" s="72"/>
      <c r="F18" s="78"/>
      <c r="G18" s="2"/>
      <c r="H18" s="2"/>
      <c r="I18" s="30"/>
      <c r="J18" s="31"/>
      <c r="K18" s="24"/>
      <c r="L18" s="25"/>
      <c r="M18" s="24"/>
      <c r="N18" s="25"/>
      <c r="O18" s="24"/>
      <c r="P18" s="25"/>
      <c r="Q18" s="24"/>
      <c r="R18" s="25"/>
      <c r="S18" s="2"/>
      <c r="T18" s="2"/>
      <c r="U18" s="2"/>
      <c r="V18" s="2"/>
      <c r="W18" s="2"/>
      <c r="X18" s="2"/>
      <c r="Y18" s="2"/>
      <c r="Z18" s="71"/>
      <c r="AA18" s="72"/>
      <c r="AB18" s="75"/>
      <c r="AC18" s="71"/>
      <c r="AD18" s="72"/>
      <c r="AE18" s="78"/>
      <c r="AF18" s="2"/>
      <c r="AG18" s="2"/>
      <c r="AH18" s="30"/>
      <c r="AI18" s="31"/>
      <c r="AJ18" s="24"/>
      <c r="AK18" s="25"/>
      <c r="AL18" s="24"/>
      <c r="AM18" s="25"/>
      <c r="AN18" s="24"/>
      <c r="AO18" s="25"/>
      <c r="AP18" s="24"/>
      <c r="AQ18" s="25"/>
      <c r="AR18" s="2"/>
      <c r="AS18" s="2"/>
      <c r="AT18" s="2"/>
      <c r="AU18" s="2"/>
      <c r="AV18" s="2"/>
      <c r="AW18" s="2"/>
      <c r="AX18" s="2"/>
      <c r="AY18" s="71"/>
      <c r="AZ18" s="72"/>
      <c r="BA18" s="75"/>
      <c r="BB18" s="71"/>
      <c r="BC18" s="72"/>
      <c r="BD18" s="78"/>
      <c r="BE18" s="2"/>
      <c r="BF18" s="2"/>
      <c r="BG18" s="30"/>
      <c r="BH18" s="31"/>
      <c r="BI18" s="24"/>
      <c r="BJ18" s="25"/>
      <c r="BK18" s="24"/>
      <c r="BL18" s="25"/>
      <c r="BM18" s="24"/>
      <c r="BN18" s="25"/>
      <c r="BO18" s="24"/>
      <c r="BP18" s="25"/>
      <c r="BQ18" s="2"/>
      <c r="BR18" s="2"/>
      <c r="BS18" s="2"/>
      <c r="BT18" s="2"/>
      <c r="BU18" s="2"/>
      <c r="BV18" s="2"/>
      <c r="BW18" s="2"/>
      <c r="BX18" s="71"/>
      <c r="BY18" s="72"/>
      <c r="BZ18" s="75"/>
      <c r="CA18" s="71"/>
      <c r="CB18" s="72"/>
      <c r="CC18" s="78"/>
      <c r="CD18" s="2"/>
      <c r="CE18" s="2"/>
      <c r="CF18" s="30"/>
      <c r="CG18" s="31"/>
      <c r="CH18" s="24"/>
      <c r="CI18" s="25"/>
      <c r="CJ18" s="24"/>
      <c r="CK18" s="25"/>
      <c r="CL18" s="24"/>
      <c r="CM18" s="25"/>
      <c r="CN18" s="24"/>
      <c r="CO18" s="25"/>
      <c r="CP18" s="2"/>
      <c r="CQ18" s="2"/>
      <c r="CR18" s="2"/>
      <c r="CS18" s="2"/>
      <c r="CT18" s="2"/>
      <c r="CU18" s="2"/>
      <c r="CV18" s="2"/>
      <c r="CW18" s="71"/>
      <c r="CX18" s="72"/>
      <c r="CY18" s="75"/>
      <c r="CZ18" s="71"/>
      <c r="DA18" s="72"/>
      <c r="DB18" s="78"/>
      <c r="DC18" s="2"/>
      <c r="DD18" s="2"/>
      <c r="DE18" s="30"/>
      <c r="DF18" s="31"/>
      <c r="DG18" s="24"/>
      <c r="DH18" s="25"/>
      <c r="DI18" s="24"/>
      <c r="DJ18" s="25"/>
      <c r="DK18" s="24"/>
      <c r="DL18" s="25"/>
      <c r="DM18" s="24"/>
      <c r="DN18" s="25"/>
      <c r="DO18" s="2"/>
      <c r="DP18" s="2"/>
      <c r="DQ18" s="2"/>
      <c r="DR18" s="2"/>
      <c r="DS18" s="2"/>
      <c r="DT18" s="2"/>
      <c r="DU18" s="2"/>
      <c r="DV18" s="71"/>
      <c r="DW18" s="72"/>
      <c r="DX18" s="75"/>
      <c r="DY18" s="71"/>
      <c r="DZ18" s="72"/>
      <c r="EA18" s="78"/>
      <c r="EB18" s="2"/>
      <c r="EC18" s="2"/>
      <c r="ED18" s="30"/>
      <c r="EE18" s="31"/>
      <c r="EF18" s="24"/>
      <c r="EG18" s="25"/>
      <c r="EH18" s="24"/>
      <c r="EI18" s="25"/>
      <c r="EJ18" s="24"/>
      <c r="EK18" s="25"/>
      <c r="EL18" s="24"/>
      <c r="EM18" s="25"/>
      <c r="EN18" s="2"/>
      <c r="EO18" s="2"/>
      <c r="EP18" s="2"/>
      <c r="EQ18" s="2"/>
      <c r="ER18" s="2"/>
      <c r="ES18" s="2"/>
      <c r="ET18" s="2"/>
      <c r="EU18" s="71"/>
      <c r="EV18" s="72"/>
      <c r="EW18" s="75"/>
      <c r="EX18" s="71"/>
      <c r="EY18" s="72"/>
      <c r="EZ18" s="78"/>
      <c r="FA18" s="2"/>
      <c r="FB18" s="2"/>
      <c r="FC18" s="30"/>
      <c r="FD18" s="31"/>
      <c r="FE18" s="24"/>
      <c r="FF18" s="25"/>
      <c r="FG18" s="24"/>
      <c r="FH18" s="25"/>
      <c r="FI18" s="24"/>
      <c r="FJ18" s="25"/>
      <c r="FK18" s="24"/>
      <c r="FL18" s="25"/>
      <c r="FM18" s="2"/>
      <c r="FN18" s="2"/>
      <c r="FO18" s="2"/>
      <c r="FP18" s="2"/>
      <c r="FQ18" s="2"/>
      <c r="FR18" s="2"/>
      <c r="FS18" s="2"/>
    </row>
    <row r="19" spans="1:175" ht="15.75">
      <c r="A19" s="67" t="s">
        <v>27</v>
      </c>
      <c r="B19" s="68"/>
      <c r="C19" s="73" t="s">
        <v>28</v>
      </c>
      <c r="D19" s="67" t="s">
        <v>55</v>
      </c>
      <c r="E19" s="68"/>
      <c r="F19" s="76">
        <f>VLOOKUP(C19,DINNERTABLE,2,FALSE)</f>
        <v>450</v>
      </c>
      <c r="G19" s="2"/>
      <c r="H19" s="2"/>
      <c r="I19" s="26" t="s">
        <v>12</v>
      </c>
      <c r="J19" s="27"/>
      <c r="K19" s="20">
        <f>VLOOKUP(I19,METVALUE,2,FALSE)</f>
        <v>4</v>
      </c>
      <c r="L19" s="21"/>
      <c r="M19" s="20">
        <v>1</v>
      </c>
      <c r="N19" s="21"/>
      <c r="O19" s="20">
        <f>D3*K19</f>
        <v>392</v>
      </c>
      <c r="P19" s="21"/>
      <c r="Q19" s="20">
        <f>M19*O19</f>
        <v>392</v>
      </c>
      <c r="R19" s="21"/>
      <c r="S19" s="2"/>
      <c r="T19" s="2"/>
      <c r="U19" s="2"/>
      <c r="V19" s="2"/>
      <c r="W19" s="2"/>
      <c r="X19" s="2"/>
      <c r="Y19" s="2"/>
      <c r="Z19" s="67" t="s">
        <v>27</v>
      </c>
      <c r="AA19" s="68"/>
      <c r="AB19" s="73" t="s">
        <v>29</v>
      </c>
      <c r="AC19" s="67" t="s">
        <v>55</v>
      </c>
      <c r="AD19" s="68"/>
      <c r="AE19" s="76">
        <f>VLOOKUP(AB19,DINNERTABLE,2,FALSE)</f>
        <v>500</v>
      </c>
      <c r="AF19" s="2"/>
      <c r="AG19" s="2"/>
      <c r="AH19" s="26" t="s">
        <v>12</v>
      </c>
      <c r="AI19" s="27"/>
      <c r="AJ19" s="20">
        <f>VLOOKUP(AH19,METVALUE,2,FALSE)</f>
        <v>4</v>
      </c>
      <c r="AK19" s="21"/>
      <c r="AL19" s="20">
        <v>1</v>
      </c>
      <c r="AM19" s="21"/>
      <c r="AN19" s="20">
        <f>AC3*AJ19</f>
        <v>392</v>
      </c>
      <c r="AO19" s="21"/>
      <c r="AP19" s="20">
        <f>AL19*AN19</f>
        <v>392</v>
      </c>
      <c r="AQ19" s="21"/>
      <c r="AR19" s="2"/>
      <c r="AS19" s="2"/>
      <c r="AT19" s="2"/>
      <c r="AU19" s="2"/>
      <c r="AV19" s="2"/>
      <c r="AW19" s="2"/>
      <c r="AX19" s="2"/>
      <c r="AY19" s="67" t="s">
        <v>27</v>
      </c>
      <c r="AZ19" s="68"/>
      <c r="BA19" s="73" t="s">
        <v>30</v>
      </c>
      <c r="BB19" s="67" t="s">
        <v>55</v>
      </c>
      <c r="BC19" s="68"/>
      <c r="BD19" s="76">
        <f>VLOOKUP(BA19,DINNERTABLE,2,FALSE)</f>
        <v>480</v>
      </c>
      <c r="BE19" s="2"/>
      <c r="BF19" s="2"/>
      <c r="BG19" s="26" t="s">
        <v>12</v>
      </c>
      <c r="BH19" s="27"/>
      <c r="BI19" s="20">
        <f>VLOOKUP(BG19,METVALUE,2,FALSE)</f>
        <v>4</v>
      </c>
      <c r="BJ19" s="21"/>
      <c r="BK19" s="20">
        <v>1</v>
      </c>
      <c r="BL19" s="21"/>
      <c r="BM19" s="20">
        <f>BB3*BI19</f>
        <v>392</v>
      </c>
      <c r="BN19" s="21"/>
      <c r="BO19" s="20">
        <f>BK19*BM19</f>
        <v>392</v>
      </c>
      <c r="BP19" s="21"/>
      <c r="BQ19" s="2"/>
      <c r="BR19" s="2"/>
      <c r="BS19" s="2"/>
      <c r="BT19" s="2"/>
      <c r="BU19" s="2"/>
      <c r="BV19" s="2"/>
      <c r="BW19" s="2"/>
      <c r="BX19" s="67" t="s">
        <v>27</v>
      </c>
      <c r="BY19" s="68"/>
      <c r="BZ19" s="73" t="s">
        <v>31</v>
      </c>
      <c r="CA19" s="67" t="s">
        <v>55</v>
      </c>
      <c r="CB19" s="68"/>
      <c r="CC19" s="76">
        <f>VLOOKUP(BZ19,DINNERTABLE,2,FALSE)</f>
        <v>470</v>
      </c>
      <c r="CD19" s="2"/>
      <c r="CE19" s="2"/>
      <c r="CF19" s="26" t="s">
        <v>12</v>
      </c>
      <c r="CG19" s="27"/>
      <c r="CH19" s="20">
        <f>VLOOKUP(CF19,METVALUE,2,FALSE)</f>
        <v>4</v>
      </c>
      <c r="CI19" s="21"/>
      <c r="CJ19" s="20">
        <v>1</v>
      </c>
      <c r="CK19" s="21"/>
      <c r="CL19" s="20">
        <f>CA3*CH19</f>
        <v>392</v>
      </c>
      <c r="CM19" s="21"/>
      <c r="CN19" s="20">
        <f>CJ19*CL19</f>
        <v>392</v>
      </c>
      <c r="CO19" s="21"/>
      <c r="CP19" s="2"/>
      <c r="CQ19" s="2"/>
      <c r="CR19" s="2"/>
      <c r="CS19" s="2"/>
      <c r="CT19" s="2"/>
      <c r="CU19" s="2"/>
      <c r="CV19" s="2"/>
      <c r="CW19" s="67" t="s">
        <v>27</v>
      </c>
      <c r="CX19" s="68"/>
      <c r="CY19" s="73" t="s">
        <v>32</v>
      </c>
      <c r="CZ19" s="67" t="s">
        <v>55</v>
      </c>
      <c r="DA19" s="68"/>
      <c r="DB19" s="76">
        <f>VLOOKUP(CY19,DINNERTABLE,2,FALSE)</f>
        <v>520</v>
      </c>
      <c r="DC19" s="2"/>
      <c r="DD19" s="2"/>
      <c r="DE19" s="26" t="s">
        <v>12</v>
      </c>
      <c r="DF19" s="27"/>
      <c r="DG19" s="20">
        <f>VLOOKUP(DE19,METVALUE,2,FALSE)</f>
        <v>4</v>
      </c>
      <c r="DH19" s="21"/>
      <c r="DI19" s="20">
        <v>1</v>
      </c>
      <c r="DJ19" s="21"/>
      <c r="DK19" s="20">
        <f>CZ3*DG19</f>
        <v>392</v>
      </c>
      <c r="DL19" s="21"/>
      <c r="DM19" s="20">
        <f>DI19*DK19</f>
        <v>392</v>
      </c>
      <c r="DN19" s="21"/>
      <c r="DO19" s="2"/>
      <c r="DP19" s="2"/>
      <c r="DQ19" s="2"/>
      <c r="DR19" s="2"/>
      <c r="DS19" s="2"/>
      <c r="DT19" s="2"/>
      <c r="DU19" s="2"/>
      <c r="DV19" s="67" t="s">
        <v>27</v>
      </c>
      <c r="DW19" s="68"/>
      <c r="DX19" s="73" t="s">
        <v>28</v>
      </c>
      <c r="DY19" s="67" t="s">
        <v>55</v>
      </c>
      <c r="DZ19" s="68"/>
      <c r="EA19" s="76">
        <f>VLOOKUP(DX19,DINNERTABLE,2,FALSE)</f>
        <v>450</v>
      </c>
      <c r="EB19" s="2"/>
      <c r="EC19" s="2"/>
      <c r="ED19" s="26" t="s">
        <v>12</v>
      </c>
      <c r="EE19" s="27"/>
      <c r="EF19" s="20">
        <f>VLOOKUP(ED19,METVALUE,2,FALSE)</f>
        <v>4</v>
      </c>
      <c r="EG19" s="21"/>
      <c r="EH19" s="20">
        <v>1</v>
      </c>
      <c r="EI19" s="21"/>
      <c r="EJ19" s="20">
        <f>DY3*EF19</f>
        <v>392</v>
      </c>
      <c r="EK19" s="21"/>
      <c r="EL19" s="20">
        <f>EH19*EJ19</f>
        <v>392</v>
      </c>
      <c r="EM19" s="21"/>
      <c r="EN19" s="2"/>
      <c r="EO19" s="2"/>
      <c r="EP19" s="2"/>
      <c r="EQ19" s="2"/>
      <c r="ER19" s="2"/>
      <c r="ES19" s="2"/>
      <c r="ET19" s="2"/>
      <c r="EU19" s="67" t="s">
        <v>27</v>
      </c>
      <c r="EV19" s="68"/>
      <c r="EW19" s="73" t="s">
        <v>28</v>
      </c>
      <c r="EX19" s="67" t="s">
        <v>55</v>
      </c>
      <c r="EY19" s="68"/>
      <c r="EZ19" s="76">
        <f>VLOOKUP(EW19,DINNERTABLE,2,FALSE)</f>
        <v>450</v>
      </c>
      <c r="FA19" s="2"/>
      <c r="FB19" s="2"/>
      <c r="FC19" s="26" t="s">
        <v>12</v>
      </c>
      <c r="FD19" s="27"/>
      <c r="FE19" s="20">
        <f>VLOOKUP(FC19,METVALUE,2,FALSE)</f>
        <v>4</v>
      </c>
      <c r="FF19" s="21"/>
      <c r="FG19" s="20">
        <v>1</v>
      </c>
      <c r="FH19" s="21"/>
      <c r="FI19" s="20">
        <f>EX3*FE19</f>
        <v>392</v>
      </c>
      <c r="FJ19" s="21"/>
      <c r="FK19" s="20">
        <f>FG19*FI19</f>
        <v>392</v>
      </c>
      <c r="FL19" s="21"/>
      <c r="FM19" s="2"/>
      <c r="FN19" s="2"/>
      <c r="FO19" s="2"/>
      <c r="FP19" s="2"/>
      <c r="FQ19" s="2"/>
      <c r="FR19" s="2"/>
      <c r="FS19" s="2"/>
    </row>
    <row r="20" spans="1:175" ht="15.75">
      <c r="A20" s="69"/>
      <c r="B20" s="70"/>
      <c r="C20" s="74"/>
      <c r="D20" s="69"/>
      <c r="E20" s="70"/>
      <c r="F20" s="77"/>
      <c r="G20" s="2"/>
      <c r="H20" s="2"/>
      <c r="I20" s="28"/>
      <c r="J20" s="29"/>
      <c r="K20" s="22"/>
      <c r="L20" s="23"/>
      <c r="M20" s="22"/>
      <c r="N20" s="23"/>
      <c r="O20" s="22"/>
      <c r="P20" s="23"/>
      <c r="Q20" s="22"/>
      <c r="R20" s="23"/>
      <c r="S20" s="2"/>
      <c r="T20" s="2"/>
      <c r="U20" s="2"/>
      <c r="V20" s="2"/>
      <c r="W20" s="2"/>
      <c r="X20" s="2"/>
      <c r="Y20" s="2"/>
      <c r="Z20" s="69"/>
      <c r="AA20" s="70"/>
      <c r="AB20" s="74"/>
      <c r="AC20" s="69"/>
      <c r="AD20" s="70"/>
      <c r="AE20" s="77"/>
      <c r="AF20" s="2"/>
      <c r="AG20" s="2"/>
      <c r="AH20" s="28"/>
      <c r="AI20" s="29"/>
      <c r="AJ20" s="22"/>
      <c r="AK20" s="23"/>
      <c r="AL20" s="22"/>
      <c r="AM20" s="23"/>
      <c r="AN20" s="22"/>
      <c r="AO20" s="23"/>
      <c r="AP20" s="22"/>
      <c r="AQ20" s="23"/>
      <c r="AR20" s="2"/>
      <c r="AS20" s="2"/>
      <c r="AT20" s="2"/>
      <c r="AU20" s="2"/>
      <c r="AV20" s="2"/>
      <c r="AW20" s="2"/>
      <c r="AX20" s="2"/>
      <c r="AY20" s="69"/>
      <c r="AZ20" s="70"/>
      <c r="BA20" s="74"/>
      <c r="BB20" s="69"/>
      <c r="BC20" s="70"/>
      <c r="BD20" s="77"/>
      <c r="BE20" s="2"/>
      <c r="BF20" s="2"/>
      <c r="BG20" s="28"/>
      <c r="BH20" s="29"/>
      <c r="BI20" s="22"/>
      <c r="BJ20" s="23"/>
      <c r="BK20" s="22"/>
      <c r="BL20" s="23"/>
      <c r="BM20" s="22"/>
      <c r="BN20" s="23"/>
      <c r="BO20" s="22"/>
      <c r="BP20" s="23"/>
      <c r="BQ20" s="2"/>
      <c r="BR20" s="2"/>
      <c r="BS20" s="2"/>
      <c r="BT20" s="2"/>
      <c r="BU20" s="2"/>
      <c r="BV20" s="2"/>
      <c r="BW20" s="2"/>
      <c r="BX20" s="69"/>
      <c r="BY20" s="70"/>
      <c r="BZ20" s="74"/>
      <c r="CA20" s="69"/>
      <c r="CB20" s="70"/>
      <c r="CC20" s="77"/>
      <c r="CD20" s="2"/>
      <c r="CE20" s="2"/>
      <c r="CF20" s="28"/>
      <c r="CG20" s="29"/>
      <c r="CH20" s="22"/>
      <c r="CI20" s="23"/>
      <c r="CJ20" s="22"/>
      <c r="CK20" s="23"/>
      <c r="CL20" s="22"/>
      <c r="CM20" s="23"/>
      <c r="CN20" s="22"/>
      <c r="CO20" s="23"/>
      <c r="CP20" s="2"/>
      <c r="CQ20" s="2"/>
      <c r="CR20" s="2"/>
      <c r="CS20" s="2"/>
      <c r="CT20" s="2"/>
      <c r="CU20" s="2"/>
      <c r="CV20" s="2"/>
      <c r="CW20" s="69"/>
      <c r="CX20" s="70"/>
      <c r="CY20" s="74"/>
      <c r="CZ20" s="69"/>
      <c r="DA20" s="70"/>
      <c r="DB20" s="77"/>
      <c r="DC20" s="2"/>
      <c r="DD20" s="2"/>
      <c r="DE20" s="28"/>
      <c r="DF20" s="29"/>
      <c r="DG20" s="22"/>
      <c r="DH20" s="23"/>
      <c r="DI20" s="22"/>
      <c r="DJ20" s="23"/>
      <c r="DK20" s="22"/>
      <c r="DL20" s="23"/>
      <c r="DM20" s="22"/>
      <c r="DN20" s="23"/>
      <c r="DO20" s="2"/>
      <c r="DP20" s="2"/>
      <c r="DQ20" s="2"/>
      <c r="DR20" s="2"/>
      <c r="DS20" s="2"/>
      <c r="DT20" s="2"/>
      <c r="DU20" s="2"/>
      <c r="DV20" s="69"/>
      <c r="DW20" s="70"/>
      <c r="DX20" s="74"/>
      <c r="DY20" s="69"/>
      <c r="DZ20" s="70"/>
      <c r="EA20" s="77"/>
      <c r="EB20" s="2"/>
      <c r="EC20" s="2"/>
      <c r="ED20" s="28"/>
      <c r="EE20" s="29"/>
      <c r="EF20" s="22"/>
      <c r="EG20" s="23"/>
      <c r="EH20" s="22"/>
      <c r="EI20" s="23"/>
      <c r="EJ20" s="22"/>
      <c r="EK20" s="23"/>
      <c r="EL20" s="22"/>
      <c r="EM20" s="23"/>
      <c r="EN20" s="2"/>
      <c r="EO20" s="2"/>
      <c r="EP20" s="2"/>
      <c r="EQ20" s="2"/>
      <c r="ER20" s="2"/>
      <c r="ES20" s="2"/>
      <c r="ET20" s="2"/>
      <c r="EU20" s="69"/>
      <c r="EV20" s="70"/>
      <c r="EW20" s="74"/>
      <c r="EX20" s="69"/>
      <c r="EY20" s="70"/>
      <c r="EZ20" s="77"/>
      <c r="FA20" s="2"/>
      <c r="FB20" s="2"/>
      <c r="FC20" s="28"/>
      <c r="FD20" s="29"/>
      <c r="FE20" s="22"/>
      <c r="FF20" s="23"/>
      <c r="FG20" s="22"/>
      <c r="FH20" s="23"/>
      <c r="FI20" s="22"/>
      <c r="FJ20" s="23"/>
      <c r="FK20" s="22"/>
      <c r="FL20" s="23"/>
      <c r="FM20" s="2"/>
      <c r="FN20" s="2"/>
      <c r="FO20" s="2"/>
      <c r="FP20" s="2"/>
      <c r="FQ20" s="2"/>
      <c r="FR20" s="2"/>
      <c r="FS20" s="2"/>
    </row>
    <row r="21" spans="1:175" ht="16.5" thickBot="1">
      <c r="A21" s="69"/>
      <c r="B21" s="70"/>
      <c r="C21" s="74"/>
      <c r="D21" s="69"/>
      <c r="E21" s="70"/>
      <c r="F21" s="77"/>
      <c r="G21" s="2"/>
      <c r="H21" s="2"/>
      <c r="I21" s="30"/>
      <c r="J21" s="31"/>
      <c r="K21" s="24"/>
      <c r="L21" s="25"/>
      <c r="M21" s="24"/>
      <c r="N21" s="25"/>
      <c r="O21" s="24"/>
      <c r="P21" s="25"/>
      <c r="Q21" s="24"/>
      <c r="R21" s="25"/>
      <c r="S21" s="2"/>
      <c r="T21" s="2"/>
      <c r="U21" s="2"/>
      <c r="V21" s="2"/>
      <c r="W21" s="2"/>
      <c r="X21" s="2"/>
      <c r="Y21" s="2"/>
      <c r="Z21" s="69"/>
      <c r="AA21" s="70"/>
      <c r="AB21" s="74"/>
      <c r="AC21" s="69"/>
      <c r="AD21" s="70"/>
      <c r="AE21" s="77"/>
      <c r="AF21" s="2"/>
      <c r="AG21" s="2"/>
      <c r="AH21" s="30"/>
      <c r="AI21" s="31"/>
      <c r="AJ21" s="24"/>
      <c r="AK21" s="25"/>
      <c r="AL21" s="24"/>
      <c r="AM21" s="25"/>
      <c r="AN21" s="24"/>
      <c r="AO21" s="25"/>
      <c r="AP21" s="24"/>
      <c r="AQ21" s="25"/>
      <c r="AR21" s="2"/>
      <c r="AS21" s="2"/>
      <c r="AT21" s="2"/>
      <c r="AU21" s="2"/>
      <c r="AV21" s="2"/>
      <c r="AW21" s="2"/>
      <c r="AX21" s="2"/>
      <c r="AY21" s="69"/>
      <c r="AZ21" s="70"/>
      <c r="BA21" s="74"/>
      <c r="BB21" s="69"/>
      <c r="BC21" s="70"/>
      <c r="BD21" s="77"/>
      <c r="BE21" s="2"/>
      <c r="BF21" s="2"/>
      <c r="BG21" s="30"/>
      <c r="BH21" s="31"/>
      <c r="BI21" s="24"/>
      <c r="BJ21" s="25"/>
      <c r="BK21" s="24"/>
      <c r="BL21" s="25"/>
      <c r="BM21" s="24"/>
      <c r="BN21" s="25"/>
      <c r="BO21" s="24"/>
      <c r="BP21" s="25"/>
      <c r="BQ21" s="2"/>
      <c r="BR21" s="2"/>
      <c r="BS21" s="2"/>
      <c r="BT21" s="2"/>
      <c r="BU21" s="2"/>
      <c r="BV21" s="2"/>
      <c r="BW21" s="2"/>
      <c r="BX21" s="69"/>
      <c r="BY21" s="70"/>
      <c r="BZ21" s="74"/>
      <c r="CA21" s="69"/>
      <c r="CB21" s="70"/>
      <c r="CC21" s="77"/>
      <c r="CD21" s="2"/>
      <c r="CE21" s="2"/>
      <c r="CF21" s="30"/>
      <c r="CG21" s="31"/>
      <c r="CH21" s="24"/>
      <c r="CI21" s="25"/>
      <c r="CJ21" s="24"/>
      <c r="CK21" s="25"/>
      <c r="CL21" s="24"/>
      <c r="CM21" s="25"/>
      <c r="CN21" s="24"/>
      <c r="CO21" s="25"/>
      <c r="CP21" s="2"/>
      <c r="CQ21" s="2"/>
      <c r="CR21" s="2"/>
      <c r="CS21" s="2"/>
      <c r="CT21" s="2"/>
      <c r="CU21" s="2"/>
      <c r="CV21" s="2"/>
      <c r="CW21" s="69"/>
      <c r="CX21" s="70"/>
      <c r="CY21" s="74"/>
      <c r="CZ21" s="69"/>
      <c r="DA21" s="70"/>
      <c r="DB21" s="77"/>
      <c r="DC21" s="2"/>
      <c r="DD21" s="2"/>
      <c r="DE21" s="30"/>
      <c r="DF21" s="31"/>
      <c r="DG21" s="24"/>
      <c r="DH21" s="25"/>
      <c r="DI21" s="24"/>
      <c r="DJ21" s="25"/>
      <c r="DK21" s="24"/>
      <c r="DL21" s="25"/>
      <c r="DM21" s="24"/>
      <c r="DN21" s="25"/>
      <c r="DO21" s="2"/>
      <c r="DP21" s="2"/>
      <c r="DQ21" s="2"/>
      <c r="DR21" s="2"/>
      <c r="DS21" s="2"/>
      <c r="DT21" s="2"/>
      <c r="DU21" s="2"/>
      <c r="DV21" s="69"/>
      <c r="DW21" s="70"/>
      <c r="DX21" s="74"/>
      <c r="DY21" s="69"/>
      <c r="DZ21" s="70"/>
      <c r="EA21" s="77"/>
      <c r="EB21" s="2"/>
      <c r="EC21" s="2"/>
      <c r="ED21" s="30"/>
      <c r="EE21" s="31"/>
      <c r="EF21" s="24"/>
      <c r="EG21" s="25"/>
      <c r="EH21" s="24"/>
      <c r="EI21" s="25"/>
      <c r="EJ21" s="24"/>
      <c r="EK21" s="25"/>
      <c r="EL21" s="24"/>
      <c r="EM21" s="25"/>
      <c r="EN21" s="2"/>
      <c r="EO21" s="2"/>
      <c r="EP21" s="2"/>
      <c r="EQ21" s="2"/>
      <c r="ER21" s="2"/>
      <c r="ES21" s="2"/>
      <c r="ET21" s="2"/>
      <c r="EU21" s="69"/>
      <c r="EV21" s="70"/>
      <c r="EW21" s="74"/>
      <c r="EX21" s="69"/>
      <c r="EY21" s="70"/>
      <c r="EZ21" s="77"/>
      <c r="FA21" s="2"/>
      <c r="FB21" s="2"/>
      <c r="FC21" s="30"/>
      <c r="FD21" s="31"/>
      <c r="FE21" s="24"/>
      <c r="FF21" s="25"/>
      <c r="FG21" s="24"/>
      <c r="FH21" s="25"/>
      <c r="FI21" s="24"/>
      <c r="FJ21" s="25"/>
      <c r="FK21" s="24"/>
      <c r="FL21" s="25"/>
      <c r="FM21" s="2"/>
      <c r="FN21" s="2"/>
      <c r="FO21" s="2"/>
      <c r="FP21" s="2"/>
      <c r="FQ21" s="2"/>
      <c r="FR21" s="2"/>
      <c r="FS21" s="2"/>
    </row>
    <row r="22" spans="1:175" ht="16.5" thickBot="1">
      <c r="A22" s="71"/>
      <c r="B22" s="72"/>
      <c r="C22" s="75"/>
      <c r="D22" s="71"/>
      <c r="E22" s="72"/>
      <c r="F22" s="78"/>
      <c r="G22" s="2"/>
      <c r="H22" s="2"/>
      <c r="I22" s="26" t="s">
        <v>14</v>
      </c>
      <c r="J22" s="27"/>
      <c r="K22" s="20">
        <f>VLOOKUP(I22,METVALUE,2,FALSE)</f>
        <v>9.8000000000000007</v>
      </c>
      <c r="L22" s="21"/>
      <c r="M22" s="20">
        <v>1</v>
      </c>
      <c r="N22" s="21"/>
      <c r="O22" s="20">
        <f>D3*K22</f>
        <v>960.40000000000009</v>
      </c>
      <c r="P22" s="21"/>
      <c r="Q22" s="20">
        <f>M22*O22</f>
        <v>960.40000000000009</v>
      </c>
      <c r="R22" s="21"/>
      <c r="S22" s="2"/>
      <c r="T22" s="2"/>
      <c r="U22" s="2"/>
      <c r="V22" s="2"/>
      <c r="W22" s="2"/>
      <c r="X22" s="2"/>
      <c r="Y22" s="2"/>
      <c r="Z22" s="71"/>
      <c r="AA22" s="72"/>
      <c r="AB22" s="75"/>
      <c r="AC22" s="71"/>
      <c r="AD22" s="72"/>
      <c r="AE22" s="78"/>
      <c r="AF22" s="2"/>
      <c r="AG22" s="2"/>
      <c r="AH22" s="26" t="s">
        <v>14</v>
      </c>
      <c r="AI22" s="27"/>
      <c r="AJ22" s="20">
        <f>VLOOKUP(AH22,METVALUE,2,FALSE)</f>
        <v>9.8000000000000007</v>
      </c>
      <c r="AK22" s="21"/>
      <c r="AL22" s="20">
        <v>1</v>
      </c>
      <c r="AM22" s="21"/>
      <c r="AN22" s="20">
        <f>AC3*AJ22</f>
        <v>960.40000000000009</v>
      </c>
      <c r="AO22" s="21"/>
      <c r="AP22" s="20">
        <f>AL22*AN22</f>
        <v>960.40000000000009</v>
      </c>
      <c r="AQ22" s="21"/>
      <c r="AR22" s="2"/>
      <c r="AS22" s="2"/>
      <c r="AT22" s="2"/>
      <c r="AU22" s="2"/>
      <c r="AV22" s="2"/>
      <c r="AW22" s="2"/>
      <c r="AX22" s="2"/>
      <c r="AY22" s="71"/>
      <c r="AZ22" s="72"/>
      <c r="BA22" s="75"/>
      <c r="BB22" s="71"/>
      <c r="BC22" s="72"/>
      <c r="BD22" s="78"/>
      <c r="BE22" s="2"/>
      <c r="BF22" s="2"/>
      <c r="BG22" s="26" t="s">
        <v>14</v>
      </c>
      <c r="BH22" s="27"/>
      <c r="BI22" s="20">
        <f>VLOOKUP(BG22,METVALUE,2,FALSE)</f>
        <v>9.8000000000000007</v>
      </c>
      <c r="BJ22" s="21"/>
      <c r="BK22" s="20">
        <v>1</v>
      </c>
      <c r="BL22" s="21"/>
      <c r="BM22" s="20">
        <f>BB3*BI22</f>
        <v>960.40000000000009</v>
      </c>
      <c r="BN22" s="21"/>
      <c r="BO22" s="20">
        <f>BK22*BM22</f>
        <v>960.40000000000009</v>
      </c>
      <c r="BP22" s="21"/>
      <c r="BQ22" s="2"/>
      <c r="BR22" s="2"/>
      <c r="BS22" s="2"/>
      <c r="BT22" s="2"/>
      <c r="BU22" s="2"/>
      <c r="BV22" s="2"/>
      <c r="BW22" s="2"/>
      <c r="BX22" s="71"/>
      <c r="BY22" s="72"/>
      <c r="BZ22" s="75"/>
      <c r="CA22" s="71"/>
      <c r="CB22" s="72"/>
      <c r="CC22" s="78"/>
      <c r="CD22" s="2"/>
      <c r="CE22" s="2"/>
      <c r="CF22" s="26" t="s">
        <v>14</v>
      </c>
      <c r="CG22" s="27"/>
      <c r="CH22" s="20">
        <f>VLOOKUP(CF22,METVALUE,2,FALSE)</f>
        <v>9.8000000000000007</v>
      </c>
      <c r="CI22" s="21"/>
      <c r="CJ22" s="20">
        <v>1</v>
      </c>
      <c r="CK22" s="21"/>
      <c r="CL22" s="20">
        <f>CA3*CH22</f>
        <v>960.40000000000009</v>
      </c>
      <c r="CM22" s="21"/>
      <c r="CN22" s="20">
        <f>CJ22*CL22</f>
        <v>960.40000000000009</v>
      </c>
      <c r="CO22" s="21"/>
      <c r="CP22" s="2"/>
      <c r="CQ22" s="2"/>
      <c r="CR22" s="2"/>
      <c r="CS22" s="2"/>
      <c r="CT22" s="2"/>
      <c r="CU22" s="2"/>
      <c r="CV22" s="2"/>
      <c r="CW22" s="71"/>
      <c r="CX22" s="72"/>
      <c r="CY22" s="75"/>
      <c r="CZ22" s="71"/>
      <c r="DA22" s="72"/>
      <c r="DB22" s="78"/>
      <c r="DC22" s="2"/>
      <c r="DD22" s="2"/>
      <c r="DE22" s="26" t="s">
        <v>14</v>
      </c>
      <c r="DF22" s="27"/>
      <c r="DG22" s="20">
        <f>VLOOKUP(DE22,METVALUE,2,FALSE)</f>
        <v>9.8000000000000007</v>
      </c>
      <c r="DH22" s="21"/>
      <c r="DI22" s="20">
        <v>1</v>
      </c>
      <c r="DJ22" s="21"/>
      <c r="DK22" s="20">
        <f>CZ3*DG22</f>
        <v>960.40000000000009</v>
      </c>
      <c r="DL22" s="21"/>
      <c r="DM22" s="20">
        <f>DI22*DK22</f>
        <v>960.40000000000009</v>
      </c>
      <c r="DN22" s="21"/>
      <c r="DO22" s="2"/>
      <c r="DP22" s="2"/>
      <c r="DQ22" s="2"/>
      <c r="DR22" s="2"/>
      <c r="DS22" s="2"/>
      <c r="DT22" s="2"/>
      <c r="DU22" s="2"/>
      <c r="DV22" s="71"/>
      <c r="DW22" s="72"/>
      <c r="DX22" s="75"/>
      <c r="DY22" s="71"/>
      <c r="DZ22" s="72"/>
      <c r="EA22" s="78"/>
      <c r="EB22" s="2"/>
      <c r="EC22" s="2"/>
      <c r="ED22" s="26" t="s">
        <v>14</v>
      </c>
      <c r="EE22" s="27"/>
      <c r="EF22" s="20">
        <f>VLOOKUP(ED22,METVALUE,2,FALSE)</f>
        <v>9.8000000000000007</v>
      </c>
      <c r="EG22" s="21"/>
      <c r="EH22" s="20">
        <v>1</v>
      </c>
      <c r="EI22" s="21"/>
      <c r="EJ22" s="20">
        <f>DY3*EF22</f>
        <v>960.40000000000009</v>
      </c>
      <c r="EK22" s="21"/>
      <c r="EL22" s="20">
        <f>EH22*EJ22</f>
        <v>960.40000000000009</v>
      </c>
      <c r="EM22" s="21"/>
      <c r="EN22" s="2"/>
      <c r="EO22" s="2"/>
      <c r="EP22" s="2"/>
      <c r="EQ22" s="2"/>
      <c r="ER22" s="2"/>
      <c r="ES22" s="2"/>
      <c r="ET22" s="2"/>
      <c r="EU22" s="71"/>
      <c r="EV22" s="72"/>
      <c r="EW22" s="75"/>
      <c r="EX22" s="71"/>
      <c r="EY22" s="72"/>
      <c r="EZ22" s="78"/>
      <c r="FA22" s="2"/>
      <c r="FB22" s="2"/>
      <c r="FC22" s="26" t="s">
        <v>14</v>
      </c>
      <c r="FD22" s="27"/>
      <c r="FE22" s="20">
        <f>VLOOKUP(FC22,METVALUE,2,FALSE)</f>
        <v>9.8000000000000007</v>
      </c>
      <c r="FF22" s="21"/>
      <c r="FG22" s="20">
        <v>1</v>
      </c>
      <c r="FH22" s="21"/>
      <c r="FI22" s="20">
        <f>EX3*FE22</f>
        <v>960.40000000000009</v>
      </c>
      <c r="FJ22" s="21"/>
      <c r="FK22" s="20">
        <f>FG22*FI22</f>
        <v>960.40000000000009</v>
      </c>
      <c r="FL22" s="21"/>
      <c r="FM22" s="2"/>
      <c r="FN22" s="2"/>
      <c r="FO22" s="2"/>
      <c r="FP22" s="2"/>
      <c r="FQ22" s="2"/>
      <c r="FR22" s="2"/>
      <c r="FS22" s="2"/>
    </row>
    <row r="23" spans="1:175" ht="15.75">
      <c r="A23" s="2"/>
      <c r="B23" s="2"/>
      <c r="C23" s="2"/>
      <c r="D23" s="2"/>
      <c r="E23" s="2"/>
      <c r="F23" s="2"/>
      <c r="G23" s="2"/>
      <c r="H23" s="2"/>
      <c r="I23" s="28"/>
      <c r="J23" s="29"/>
      <c r="K23" s="22"/>
      <c r="L23" s="23"/>
      <c r="M23" s="22"/>
      <c r="N23" s="23"/>
      <c r="O23" s="22"/>
      <c r="P23" s="23"/>
      <c r="Q23" s="22"/>
      <c r="R23" s="2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8"/>
      <c r="AI23" s="29"/>
      <c r="AJ23" s="22"/>
      <c r="AK23" s="23"/>
      <c r="AL23" s="22"/>
      <c r="AM23" s="23"/>
      <c r="AN23" s="22"/>
      <c r="AO23" s="23"/>
      <c r="AP23" s="22"/>
      <c r="AQ23" s="23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8"/>
      <c r="BH23" s="29"/>
      <c r="BI23" s="22"/>
      <c r="BJ23" s="23"/>
      <c r="BK23" s="22"/>
      <c r="BL23" s="23"/>
      <c r="BM23" s="22"/>
      <c r="BN23" s="23"/>
      <c r="BO23" s="22"/>
      <c r="BP23" s="23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8"/>
      <c r="CG23" s="29"/>
      <c r="CH23" s="22"/>
      <c r="CI23" s="23"/>
      <c r="CJ23" s="22"/>
      <c r="CK23" s="23"/>
      <c r="CL23" s="22"/>
      <c r="CM23" s="23"/>
      <c r="CN23" s="22"/>
      <c r="CO23" s="23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8"/>
      <c r="DF23" s="29"/>
      <c r="DG23" s="22"/>
      <c r="DH23" s="23"/>
      <c r="DI23" s="22"/>
      <c r="DJ23" s="23"/>
      <c r="DK23" s="22"/>
      <c r="DL23" s="23"/>
      <c r="DM23" s="22"/>
      <c r="DN23" s="23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8"/>
      <c r="EE23" s="29"/>
      <c r="EF23" s="22"/>
      <c r="EG23" s="23"/>
      <c r="EH23" s="22"/>
      <c r="EI23" s="23"/>
      <c r="EJ23" s="22"/>
      <c r="EK23" s="23"/>
      <c r="EL23" s="22"/>
      <c r="EM23" s="23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8"/>
      <c r="FD23" s="29"/>
      <c r="FE23" s="22"/>
      <c r="FF23" s="23"/>
      <c r="FG23" s="22"/>
      <c r="FH23" s="23"/>
      <c r="FI23" s="22"/>
      <c r="FJ23" s="23"/>
      <c r="FK23" s="22"/>
      <c r="FL23" s="23"/>
      <c r="FM23" s="2"/>
      <c r="FN23" s="2"/>
      <c r="FO23" s="2"/>
      <c r="FP23" s="2"/>
      <c r="FQ23" s="2"/>
      <c r="FR23" s="2"/>
      <c r="FS23" s="2"/>
    </row>
    <row r="24" spans="1:175" ht="16.5" thickBot="1">
      <c r="A24" s="2"/>
      <c r="B24" s="2"/>
      <c r="C24" s="2"/>
      <c r="D24" s="2"/>
      <c r="E24" s="2"/>
      <c r="F24" s="2"/>
      <c r="G24" s="2"/>
      <c r="H24" s="2"/>
      <c r="I24" s="30"/>
      <c r="J24" s="31"/>
      <c r="K24" s="24"/>
      <c r="L24" s="25"/>
      <c r="M24" s="24"/>
      <c r="N24" s="25"/>
      <c r="O24" s="24"/>
      <c r="P24" s="25"/>
      <c r="Q24" s="24"/>
      <c r="R24" s="25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0"/>
      <c r="AI24" s="31"/>
      <c r="AJ24" s="24"/>
      <c r="AK24" s="25"/>
      <c r="AL24" s="24"/>
      <c r="AM24" s="25"/>
      <c r="AN24" s="24"/>
      <c r="AO24" s="25"/>
      <c r="AP24" s="24"/>
      <c r="AQ24" s="25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30"/>
      <c r="BH24" s="31"/>
      <c r="BI24" s="24"/>
      <c r="BJ24" s="25"/>
      <c r="BK24" s="24"/>
      <c r="BL24" s="25"/>
      <c r="BM24" s="24"/>
      <c r="BN24" s="25"/>
      <c r="BO24" s="24"/>
      <c r="BP24" s="25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30"/>
      <c r="CG24" s="31"/>
      <c r="CH24" s="24"/>
      <c r="CI24" s="25"/>
      <c r="CJ24" s="24"/>
      <c r="CK24" s="25"/>
      <c r="CL24" s="24"/>
      <c r="CM24" s="25"/>
      <c r="CN24" s="24"/>
      <c r="CO24" s="25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30"/>
      <c r="DF24" s="31"/>
      <c r="DG24" s="24"/>
      <c r="DH24" s="25"/>
      <c r="DI24" s="24"/>
      <c r="DJ24" s="25"/>
      <c r="DK24" s="24"/>
      <c r="DL24" s="25"/>
      <c r="DM24" s="24"/>
      <c r="DN24" s="25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30"/>
      <c r="EE24" s="31"/>
      <c r="EF24" s="24"/>
      <c r="EG24" s="25"/>
      <c r="EH24" s="24"/>
      <c r="EI24" s="25"/>
      <c r="EJ24" s="24"/>
      <c r="EK24" s="25"/>
      <c r="EL24" s="24"/>
      <c r="EM24" s="25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30"/>
      <c r="FD24" s="31"/>
      <c r="FE24" s="24"/>
      <c r="FF24" s="25"/>
      <c r="FG24" s="24"/>
      <c r="FH24" s="25"/>
      <c r="FI24" s="24"/>
      <c r="FJ24" s="25"/>
      <c r="FK24" s="24"/>
      <c r="FL24" s="25"/>
      <c r="FM24" s="2"/>
      <c r="FN24" s="2"/>
      <c r="FO24" s="2"/>
      <c r="FP24" s="2"/>
      <c r="FQ24" s="2"/>
      <c r="FR24" s="2"/>
      <c r="FS24" s="2"/>
    </row>
    <row r="25" spans="1:175" ht="15.75">
      <c r="A25" s="2"/>
      <c r="B25" s="2"/>
      <c r="C25" s="2"/>
      <c r="D25" s="2"/>
      <c r="E25" s="2"/>
      <c r="F25" s="2"/>
      <c r="G25" s="2"/>
      <c r="H25" s="2"/>
      <c r="I25" s="26" t="s">
        <v>21</v>
      </c>
      <c r="J25" s="27"/>
      <c r="K25" s="20">
        <f>VLOOKUP(I25,METVALUE,2,FALSE)</f>
        <v>10</v>
      </c>
      <c r="L25" s="21"/>
      <c r="M25" s="20">
        <v>2</v>
      </c>
      <c r="N25" s="21"/>
      <c r="O25" s="20">
        <f>D3*K25</f>
        <v>980</v>
      </c>
      <c r="P25" s="21"/>
      <c r="Q25" s="20">
        <f>M25*O25</f>
        <v>1960</v>
      </c>
      <c r="R25" s="2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6" t="s">
        <v>21</v>
      </c>
      <c r="AI25" s="27"/>
      <c r="AJ25" s="20">
        <f>VLOOKUP(AH25,METVALUE,2,FALSE)</f>
        <v>10</v>
      </c>
      <c r="AK25" s="21"/>
      <c r="AL25" s="20">
        <v>2</v>
      </c>
      <c r="AM25" s="21"/>
      <c r="AN25" s="20">
        <f>AC3*AJ25</f>
        <v>980</v>
      </c>
      <c r="AO25" s="21"/>
      <c r="AP25" s="20">
        <f>AL25*AN25</f>
        <v>1960</v>
      </c>
      <c r="AQ25" s="21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6" t="s">
        <v>21</v>
      </c>
      <c r="BH25" s="27"/>
      <c r="BI25" s="20">
        <f>VLOOKUP(BG25,METVALUE,2,FALSE)</f>
        <v>10</v>
      </c>
      <c r="BJ25" s="21"/>
      <c r="BK25" s="20">
        <v>2</v>
      </c>
      <c r="BL25" s="21"/>
      <c r="BM25" s="20">
        <f>BB3*BI25</f>
        <v>980</v>
      </c>
      <c r="BN25" s="21"/>
      <c r="BO25" s="20">
        <f>BK25*BM25</f>
        <v>1960</v>
      </c>
      <c r="BP25" s="21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6" t="s">
        <v>21</v>
      </c>
      <c r="CG25" s="27"/>
      <c r="CH25" s="20">
        <f>VLOOKUP(CF25,METVALUE,2,FALSE)</f>
        <v>10</v>
      </c>
      <c r="CI25" s="21"/>
      <c r="CJ25" s="20">
        <v>2</v>
      </c>
      <c r="CK25" s="21"/>
      <c r="CL25" s="20">
        <f>CA3*CH25</f>
        <v>980</v>
      </c>
      <c r="CM25" s="21"/>
      <c r="CN25" s="20">
        <f>CJ25*CL25</f>
        <v>1960</v>
      </c>
      <c r="CO25" s="21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6" t="s">
        <v>21</v>
      </c>
      <c r="DF25" s="27"/>
      <c r="DG25" s="20">
        <f>VLOOKUP(DE25,METVALUE,2,FALSE)</f>
        <v>10</v>
      </c>
      <c r="DH25" s="21"/>
      <c r="DI25" s="20">
        <v>2</v>
      </c>
      <c r="DJ25" s="21"/>
      <c r="DK25" s="20">
        <f>CZ3*DG25</f>
        <v>980</v>
      </c>
      <c r="DL25" s="21"/>
      <c r="DM25" s="20">
        <f>DI25*DK25</f>
        <v>1960</v>
      </c>
      <c r="DN25" s="21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6" t="s">
        <v>21</v>
      </c>
      <c r="EE25" s="27"/>
      <c r="EF25" s="20">
        <f>VLOOKUP(ED25,METVALUE,2,FALSE)</f>
        <v>10</v>
      </c>
      <c r="EG25" s="21"/>
      <c r="EH25" s="20">
        <v>2</v>
      </c>
      <c r="EI25" s="21"/>
      <c r="EJ25" s="20">
        <f>DY3*EF25</f>
        <v>980</v>
      </c>
      <c r="EK25" s="21"/>
      <c r="EL25" s="20">
        <f>EH25*EJ25</f>
        <v>1960</v>
      </c>
      <c r="EM25" s="21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6" t="s">
        <v>21</v>
      </c>
      <c r="FD25" s="27"/>
      <c r="FE25" s="20">
        <f>VLOOKUP(FC25,METVALUE,2,FALSE)</f>
        <v>10</v>
      </c>
      <c r="FF25" s="21"/>
      <c r="FG25" s="20">
        <v>2</v>
      </c>
      <c r="FH25" s="21"/>
      <c r="FI25" s="20">
        <f>EX3*FE25</f>
        <v>980</v>
      </c>
      <c r="FJ25" s="21"/>
      <c r="FK25" s="20">
        <f>FG25*FI25</f>
        <v>1960</v>
      </c>
      <c r="FL25" s="21"/>
      <c r="FM25" s="2"/>
      <c r="FN25" s="2"/>
      <c r="FO25" s="2"/>
      <c r="FP25" s="2"/>
      <c r="FQ25" s="2"/>
      <c r="FR25" s="2"/>
      <c r="FS25" s="2"/>
    </row>
    <row r="26" spans="1:175" ht="15.75">
      <c r="A26" s="2"/>
      <c r="B26" s="2"/>
      <c r="C26" s="2"/>
      <c r="D26" s="2"/>
      <c r="E26" s="2"/>
      <c r="F26" s="2"/>
      <c r="G26" s="2"/>
      <c r="H26" s="2"/>
      <c r="I26" s="28"/>
      <c r="J26" s="29"/>
      <c r="K26" s="22"/>
      <c r="L26" s="23"/>
      <c r="M26" s="22"/>
      <c r="N26" s="23"/>
      <c r="O26" s="22"/>
      <c r="P26" s="23"/>
      <c r="Q26" s="22"/>
      <c r="R26" s="2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8"/>
      <c r="AI26" s="29"/>
      <c r="AJ26" s="22"/>
      <c r="AK26" s="23"/>
      <c r="AL26" s="22"/>
      <c r="AM26" s="23"/>
      <c r="AN26" s="22"/>
      <c r="AO26" s="23"/>
      <c r="AP26" s="22"/>
      <c r="AQ26" s="23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8"/>
      <c r="BH26" s="29"/>
      <c r="BI26" s="22"/>
      <c r="BJ26" s="23"/>
      <c r="BK26" s="22"/>
      <c r="BL26" s="23"/>
      <c r="BM26" s="22"/>
      <c r="BN26" s="23"/>
      <c r="BO26" s="22"/>
      <c r="BP26" s="23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8"/>
      <c r="CG26" s="29"/>
      <c r="CH26" s="22"/>
      <c r="CI26" s="23"/>
      <c r="CJ26" s="22"/>
      <c r="CK26" s="23"/>
      <c r="CL26" s="22"/>
      <c r="CM26" s="23"/>
      <c r="CN26" s="22"/>
      <c r="CO26" s="23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8"/>
      <c r="DF26" s="29"/>
      <c r="DG26" s="22"/>
      <c r="DH26" s="23"/>
      <c r="DI26" s="22"/>
      <c r="DJ26" s="23"/>
      <c r="DK26" s="22"/>
      <c r="DL26" s="23"/>
      <c r="DM26" s="22"/>
      <c r="DN26" s="23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8"/>
      <c r="EE26" s="29"/>
      <c r="EF26" s="22"/>
      <c r="EG26" s="23"/>
      <c r="EH26" s="22"/>
      <c r="EI26" s="23"/>
      <c r="EJ26" s="22"/>
      <c r="EK26" s="23"/>
      <c r="EL26" s="22"/>
      <c r="EM26" s="23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8"/>
      <c r="FD26" s="29"/>
      <c r="FE26" s="22"/>
      <c r="FF26" s="23"/>
      <c r="FG26" s="22"/>
      <c r="FH26" s="23"/>
      <c r="FI26" s="22"/>
      <c r="FJ26" s="23"/>
      <c r="FK26" s="22"/>
      <c r="FL26" s="23"/>
      <c r="FM26" s="2"/>
      <c r="FN26" s="2"/>
      <c r="FO26" s="2"/>
      <c r="FP26" s="2"/>
      <c r="FQ26" s="2"/>
      <c r="FR26" s="2"/>
      <c r="FS26" s="2"/>
    </row>
    <row r="27" spans="1:175" ht="16.5" thickBot="1">
      <c r="A27" s="2"/>
      <c r="B27" s="2"/>
      <c r="C27" s="2"/>
      <c r="D27" s="2"/>
      <c r="E27" s="2"/>
      <c r="F27" s="2"/>
      <c r="G27" s="2"/>
      <c r="H27" s="2"/>
      <c r="I27" s="30"/>
      <c r="J27" s="31"/>
      <c r="K27" s="24"/>
      <c r="L27" s="25"/>
      <c r="M27" s="24"/>
      <c r="N27" s="25"/>
      <c r="O27" s="24"/>
      <c r="P27" s="25"/>
      <c r="Q27" s="24"/>
      <c r="R27" s="2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0"/>
      <c r="AI27" s="31"/>
      <c r="AJ27" s="24"/>
      <c r="AK27" s="25"/>
      <c r="AL27" s="24"/>
      <c r="AM27" s="25"/>
      <c r="AN27" s="24"/>
      <c r="AO27" s="25"/>
      <c r="AP27" s="24"/>
      <c r="AQ27" s="25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30"/>
      <c r="BH27" s="31"/>
      <c r="BI27" s="24"/>
      <c r="BJ27" s="25"/>
      <c r="BK27" s="24"/>
      <c r="BL27" s="25"/>
      <c r="BM27" s="24"/>
      <c r="BN27" s="25"/>
      <c r="BO27" s="24"/>
      <c r="BP27" s="25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30"/>
      <c r="CG27" s="31"/>
      <c r="CH27" s="24"/>
      <c r="CI27" s="25"/>
      <c r="CJ27" s="24"/>
      <c r="CK27" s="25"/>
      <c r="CL27" s="24"/>
      <c r="CM27" s="25"/>
      <c r="CN27" s="24"/>
      <c r="CO27" s="25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30"/>
      <c r="DF27" s="31"/>
      <c r="DG27" s="24"/>
      <c r="DH27" s="25"/>
      <c r="DI27" s="24"/>
      <c r="DJ27" s="25"/>
      <c r="DK27" s="24"/>
      <c r="DL27" s="25"/>
      <c r="DM27" s="24"/>
      <c r="DN27" s="25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30"/>
      <c r="EE27" s="31"/>
      <c r="EF27" s="24"/>
      <c r="EG27" s="25"/>
      <c r="EH27" s="24"/>
      <c r="EI27" s="25"/>
      <c r="EJ27" s="24"/>
      <c r="EK27" s="25"/>
      <c r="EL27" s="24"/>
      <c r="EM27" s="25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30"/>
      <c r="FD27" s="31"/>
      <c r="FE27" s="24"/>
      <c r="FF27" s="25"/>
      <c r="FG27" s="24"/>
      <c r="FH27" s="25"/>
      <c r="FI27" s="24"/>
      <c r="FJ27" s="25"/>
      <c r="FK27" s="24"/>
      <c r="FL27" s="25"/>
      <c r="FM27" s="2"/>
      <c r="FN27" s="2"/>
      <c r="FO27" s="2"/>
      <c r="FP27" s="2"/>
      <c r="FQ27" s="2"/>
      <c r="FR27" s="2"/>
      <c r="FS27" s="2"/>
    </row>
    <row r="28" spans="1:175" ht="15.75">
      <c r="A28" s="2"/>
      <c r="B28" s="2"/>
      <c r="C28" s="2"/>
      <c r="D28" s="2"/>
      <c r="E28" s="2"/>
      <c r="F28" s="2"/>
      <c r="G28" s="2"/>
      <c r="H28" s="2"/>
      <c r="I28" s="26" t="s">
        <v>60</v>
      </c>
      <c r="J28" s="27"/>
      <c r="K28" s="20">
        <f>VLOOKUP(I25,METVALUE,2,FALSE)</f>
        <v>10</v>
      </c>
      <c r="L28" s="21"/>
      <c r="M28" s="20">
        <v>1</v>
      </c>
      <c r="N28" s="21"/>
      <c r="O28" s="20">
        <f>D3*K28</f>
        <v>980</v>
      </c>
      <c r="P28" s="21"/>
      <c r="Q28" s="20">
        <f>M28*O28</f>
        <v>980</v>
      </c>
      <c r="R28" s="2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6" t="s">
        <v>60</v>
      </c>
      <c r="AI28" s="27"/>
      <c r="AJ28" s="20">
        <f>VLOOKUP(AH25,METVALUE,2,FALSE)</f>
        <v>10</v>
      </c>
      <c r="AK28" s="21"/>
      <c r="AL28" s="20">
        <v>1</v>
      </c>
      <c r="AM28" s="21"/>
      <c r="AN28" s="20">
        <f>AC3*AJ28</f>
        <v>980</v>
      </c>
      <c r="AO28" s="21"/>
      <c r="AP28" s="20">
        <f>AL28*AN28</f>
        <v>980</v>
      </c>
      <c r="AQ28" s="21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6" t="s">
        <v>60</v>
      </c>
      <c r="BH28" s="27"/>
      <c r="BI28" s="20">
        <f>VLOOKUP(BG25,METVALUE,2,FALSE)</f>
        <v>10</v>
      </c>
      <c r="BJ28" s="21"/>
      <c r="BK28" s="20">
        <v>1</v>
      </c>
      <c r="BL28" s="21"/>
      <c r="BM28" s="20">
        <f>BB3*BI28</f>
        <v>980</v>
      </c>
      <c r="BN28" s="21"/>
      <c r="BO28" s="20">
        <f>BK28*BM28</f>
        <v>980</v>
      </c>
      <c r="BP28" s="21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6" t="s">
        <v>60</v>
      </c>
      <c r="CG28" s="27"/>
      <c r="CH28" s="20">
        <f>VLOOKUP(CF25,METVALUE,2,FALSE)</f>
        <v>10</v>
      </c>
      <c r="CI28" s="21"/>
      <c r="CJ28" s="20">
        <v>1</v>
      </c>
      <c r="CK28" s="21"/>
      <c r="CL28" s="20">
        <f>CA3*CH28</f>
        <v>980</v>
      </c>
      <c r="CM28" s="21"/>
      <c r="CN28" s="20">
        <f>CJ28*CL28</f>
        <v>980</v>
      </c>
      <c r="CO28" s="21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6" t="s">
        <v>60</v>
      </c>
      <c r="DF28" s="27"/>
      <c r="DG28" s="20">
        <f>VLOOKUP(DE25,METVALUE,2,FALSE)</f>
        <v>10</v>
      </c>
      <c r="DH28" s="21"/>
      <c r="DI28" s="20">
        <v>1</v>
      </c>
      <c r="DJ28" s="21"/>
      <c r="DK28" s="20">
        <f>CZ3*DG28</f>
        <v>980</v>
      </c>
      <c r="DL28" s="21"/>
      <c r="DM28" s="20">
        <f>DI28*DK28</f>
        <v>980</v>
      </c>
      <c r="DN28" s="21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6" t="s">
        <v>60</v>
      </c>
      <c r="EE28" s="27"/>
      <c r="EF28" s="20">
        <f>VLOOKUP(ED25,METVALUE,2,FALSE)</f>
        <v>10</v>
      </c>
      <c r="EG28" s="21"/>
      <c r="EH28" s="20">
        <v>1</v>
      </c>
      <c r="EI28" s="21"/>
      <c r="EJ28" s="20">
        <f>DY3*EF28</f>
        <v>980</v>
      </c>
      <c r="EK28" s="21"/>
      <c r="EL28" s="20">
        <f>EH28*EJ28</f>
        <v>980</v>
      </c>
      <c r="EM28" s="21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6" t="s">
        <v>60</v>
      </c>
      <c r="FD28" s="27"/>
      <c r="FE28" s="20">
        <f>VLOOKUP(FC25,METVALUE,2,FALSE)</f>
        <v>10</v>
      </c>
      <c r="FF28" s="21"/>
      <c r="FG28" s="20">
        <v>1</v>
      </c>
      <c r="FH28" s="21"/>
      <c r="FI28" s="20">
        <f>EX3*FE28</f>
        <v>980</v>
      </c>
      <c r="FJ28" s="21"/>
      <c r="FK28" s="20">
        <f>FG28*FI28</f>
        <v>980</v>
      </c>
      <c r="FL28" s="21"/>
      <c r="FM28" s="2"/>
      <c r="FN28" s="2"/>
      <c r="FO28" s="2"/>
      <c r="FP28" s="2"/>
      <c r="FQ28" s="2"/>
      <c r="FR28" s="2"/>
      <c r="FS28" s="2"/>
    </row>
    <row r="29" spans="1:175" ht="15.75">
      <c r="A29" s="2"/>
      <c r="B29" s="2"/>
      <c r="C29" s="2"/>
      <c r="D29" s="2"/>
      <c r="E29" s="2"/>
      <c r="F29" s="2"/>
      <c r="G29" s="2"/>
      <c r="H29" s="2"/>
      <c r="I29" s="28"/>
      <c r="J29" s="29"/>
      <c r="K29" s="22"/>
      <c r="L29" s="23"/>
      <c r="M29" s="22"/>
      <c r="N29" s="23"/>
      <c r="O29" s="22"/>
      <c r="P29" s="23"/>
      <c r="Q29" s="22"/>
      <c r="R29" s="2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8"/>
      <c r="AI29" s="29"/>
      <c r="AJ29" s="22"/>
      <c r="AK29" s="23"/>
      <c r="AL29" s="22"/>
      <c r="AM29" s="23"/>
      <c r="AN29" s="22"/>
      <c r="AO29" s="23"/>
      <c r="AP29" s="22"/>
      <c r="AQ29" s="23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8"/>
      <c r="BH29" s="29"/>
      <c r="BI29" s="22"/>
      <c r="BJ29" s="23"/>
      <c r="BK29" s="22"/>
      <c r="BL29" s="23"/>
      <c r="BM29" s="22"/>
      <c r="BN29" s="23"/>
      <c r="BO29" s="22"/>
      <c r="BP29" s="23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8"/>
      <c r="CG29" s="29"/>
      <c r="CH29" s="22"/>
      <c r="CI29" s="23"/>
      <c r="CJ29" s="22"/>
      <c r="CK29" s="23"/>
      <c r="CL29" s="22"/>
      <c r="CM29" s="23"/>
      <c r="CN29" s="22"/>
      <c r="CO29" s="23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8"/>
      <c r="DF29" s="29"/>
      <c r="DG29" s="22"/>
      <c r="DH29" s="23"/>
      <c r="DI29" s="22"/>
      <c r="DJ29" s="23"/>
      <c r="DK29" s="22"/>
      <c r="DL29" s="23"/>
      <c r="DM29" s="22"/>
      <c r="DN29" s="23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8"/>
      <c r="EE29" s="29"/>
      <c r="EF29" s="22"/>
      <c r="EG29" s="23"/>
      <c r="EH29" s="22"/>
      <c r="EI29" s="23"/>
      <c r="EJ29" s="22"/>
      <c r="EK29" s="23"/>
      <c r="EL29" s="22"/>
      <c r="EM29" s="23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8"/>
      <c r="FD29" s="29"/>
      <c r="FE29" s="22"/>
      <c r="FF29" s="23"/>
      <c r="FG29" s="22"/>
      <c r="FH29" s="23"/>
      <c r="FI29" s="22"/>
      <c r="FJ29" s="23"/>
      <c r="FK29" s="22"/>
      <c r="FL29" s="23"/>
      <c r="FM29" s="2"/>
      <c r="FN29" s="2"/>
      <c r="FO29" s="2"/>
      <c r="FP29" s="2"/>
      <c r="FQ29" s="2"/>
      <c r="FR29" s="2"/>
      <c r="FS29" s="2"/>
    </row>
    <row r="30" spans="1:175" ht="16.5" thickBot="1">
      <c r="A30" s="2"/>
      <c r="B30" s="2"/>
      <c r="C30" s="2"/>
      <c r="D30" s="2"/>
      <c r="E30" s="2"/>
      <c r="F30" s="2"/>
      <c r="G30" s="2"/>
      <c r="H30" s="2"/>
      <c r="I30" s="30"/>
      <c r="J30" s="31"/>
      <c r="K30" s="24"/>
      <c r="L30" s="25"/>
      <c r="M30" s="24"/>
      <c r="N30" s="25"/>
      <c r="O30" s="24"/>
      <c r="P30" s="25"/>
      <c r="Q30" s="24"/>
      <c r="R30" s="2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0"/>
      <c r="AI30" s="31"/>
      <c r="AJ30" s="24"/>
      <c r="AK30" s="25"/>
      <c r="AL30" s="24"/>
      <c r="AM30" s="25"/>
      <c r="AN30" s="24"/>
      <c r="AO30" s="25"/>
      <c r="AP30" s="24"/>
      <c r="AQ30" s="25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30"/>
      <c r="BH30" s="31"/>
      <c r="BI30" s="24"/>
      <c r="BJ30" s="25"/>
      <c r="BK30" s="24"/>
      <c r="BL30" s="25"/>
      <c r="BM30" s="24"/>
      <c r="BN30" s="25"/>
      <c r="BO30" s="24"/>
      <c r="BP30" s="25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30"/>
      <c r="CG30" s="31"/>
      <c r="CH30" s="24"/>
      <c r="CI30" s="25"/>
      <c r="CJ30" s="24"/>
      <c r="CK30" s="25"/>
      <c r="CL30" s="24"/>
      <c r="CM30" s="25"/>
      <c r="CN30" s="24"/>
      <c r="CO30" s="25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30"/>
      <c r="DF30" s="31"/>
      <c r="DG30" s="24"/>
      <c r="DH30" s="25"/>
      <c r="DI30" s="24"/>
      <c r="DJ30" s="25"/>
      <c r="DK30" s="24"/>
      <c r="DL30" s="25"/>
      <c r="DM30" s="24"/>
      <c r="DN30" s="25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30"/>
      <c r="EE30" s="31"/>
      <c r="EF30" s="24"/>
      <c r="EG30" s="25"/>
      <c r="EH30" s="24"/>
      <c r="EI30" s="25"/>
      <c r="EJ30" s="24"/>
      <c r="EK30" s="25"/>
      <c r="EL30" s="24"/>
      <c r="EM30" s="25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30"/>
      <c r="FD30" s="31"/>
      <c r="FE30" s="24"/>
      <c r="FF30" s="25"/>
      <c r="FG30" s="24"/>
      <c r="FH30" s="25"/>
      <c r="FI30" s="24"/>
      <c r="FJ30" s="25"/>
      <c r="FK30" s="24"/>
      <c r="FL30" s="25"/>
      <c r="FM30" s="2"/>
      <c r="FN30" s="2"/>
      <c r="FO30" s="2"/>
      <c r="FP30" s="2"/>
      <c r="FQ30" s="2"/>
      <c r="FR30" s="2"/>
      <c r="FS30" s="2"/>
    </row>
    <row r="31" spans="1:1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5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5" ht="18.75">
      <c r="A33" s="2"/>
      <c r="B33" s="2"/>
      <c r="C33" s="48" t="s">
        <v>61</v>
      </c>
      <c r="D33" s="49"/>
      <c r="E33" s="49"/>
      <c r="F33" s="50"/>
      <c r="G33" s="17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8" t="s">
        <v>62</v>
      </c>
      <c r="AC33" s="49"/>
      <c r="AD33" s="49"/>
      <c r="AE33" s="50"/>
      <c r="AF33" s="17"/>
      <c r="AG33" s="17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48" t="s">
        <v>63</v>
      </c>
      <c r="BB33" s="49"/>
      <c r="BC33" s="49"/>
      <c r="BD33" s="50"/>
      <c r="BE33" s="17"/>
      <c r="BF33" s="17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8" t="s">
        <v>64</v>
      </c>
      <c r="CA33" s="49"/>
      <c r="CB33" s="49"/>
      <c r="CC33" s="50"/>
      <c r="CD33" s="17"/>
      <c r="CE33" s="1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48" t="s">
        <v>65</v>
      </c>
      <c r="CZ33" s="49"/>
      <c r="DA33" s="49"/>
      <c r="DB33" s="50"/>
      <c r="DC33" s="17"/>
      <c r="DD33" s="17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48" t="s">
        <v>66</v>
      </c>
      <c r="DY33" s="49"/>
      <c r="DZ33" s="49"/>
      <c r="EA33" s="50"/>
      <c r="EB33" s="17"/>
      <c r="EC33" s="17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48" t="s">
        <v>67</v>
      </c>
      <c r="EX33" s="49"/>
      <c r="EY33" s="49"/>
      <c r="EZ33" s="50"/>
      <c r="FA33" s="17"/>
      <c r="FB33" s="17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5" ht="19.5" thickBot="1">
      <c r="A34" s="2"/>
      <c r="B34" s="2"/>
      <c r="C34" s="51"/>
      <c r="D34" s="52"/>
      <c r="E34" s="52"/>
      <c r="F34" s="53"/>
      <c r="G34" s="17"/>
      <c r="H34" s="1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51"/>
      <c r="AC34" s="52"/>
      <c r="AD34" s="52"/>
      <c r="AE34" s="53"/>
      <c r="AF34" s="17"/>
      <c r="AG34" s="17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51"/>
      <c r="BB34" s="52"/>
      <c r="BC34" s="52"/>
      <c r="BD34" s="53"/>
      <c r="BE34" s="17"/>
      <c r="BF34" s="17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1"/>
      <c r="CA34" s="52"/>
      <c r="CB34" s="52"/>
      <c r="CC34" s="53"/>
      <c r="CD34" s="17"/>
      <c r="CE34" s="17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51"/>
      <c r="CZ34" s="52"/>
      <c r="DA34" s="52"/>
      <c r="DB34" s="53"/>
      <c r="DC34" s="17"/>
      <c r="DD34" s="17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51"/>
      <c r="DY34" s="52"/>
      <c r="DZ34" s="52"/>
      <c r="EA34" s="53"/>
      <c r="EB34" s="17"/>
      <c r="EC34" s="17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51"/>
      <c r="EX34" s="52"/>
      <c r="EY34" s="52"/>
      <c r="EZ34" s="53"/>
      <c r="FA34" s="17"/>
      <c r="FB34" s="17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5" spans="1:175">
      <c r="A35" s="2"/>
      <c r="B35" s="2"/>
      <c r="C35" s="54" t="s">
        <v>68</v>
      </c>
      <c r="D35" s="54">
        <f>F11+F15+F19</f>
        <v>1110</v>
      </c>
      <c r="E35" s="54" t="s">
        <v>69</v>
      </c>
      <c r="F35" s="54">
        <f>D35-D39</f>
        <v>-5044.3999999999996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54" t="s">
        <v>68</v>
      </c>
      <c r="AC35" s="54">
        <f>AE11+AE15+AE19</f>
        <v>1165</v>
      </c>
      <c r="AD35" s="54" t="s">
        <v>69</v>
      </c>
      <c r="AE35" s="54">
        <f>AC35-AC39</f>
        <v>-4989.3999999999996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54" t="s">
        <v>68</v>
      </c>
      <c r="BB35" s="54">
        <f>BD11+BD15+BD19</f>
        <v>1270</v>
      </c>
      <c r="BC35" s="54" t="s">
        <v>69</v>
      </c>
      <c r="BD35" s="54">
        <f>BB35-BB39</f>
        <v>-4884.3999999999996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4" t="s">
        <v>68</v>
      </c>
      <c r="CA35" s="54">
        <f>CC11+CC15+CC19</f>
        <v>1170</v>
      </c>
      <c r="CB35" s="54" t="s">
        <v>69</v>
      </c>
      <c r="CC35" s="54">
        <f>CA35-CA39</f>
        <v>-4984.3999999999996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54" t="s">
        <v>68</v>
      </c>
      <c r="CZ35" s="54">
        <f>DB11+DB15+DB19</f>
        <v>1120</v>
      </c>
      <c r="DA35" s="54" t="s">
        <v>69</v>
      </c>
      <c r="DB35" s="54">
        <f>CZ35-CZ39</f>
        <v>-5034.3999999999996</v>
      </c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54" t="s">
        <v>68</v>
      </c>
      <c r="DY35" s="54">
        <f>EA11+EA15+EA19</f>
        <v>1110</v>
      </c>
      <c r="DZ35" s="54" t="s">
        <v>69</v>
      </c>
      <c r="EA35" s="54">
        <f>DY35-DY39</f>
        <v>-5044.3999999999996</v>
      </c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54" t="s">
        <v>68</v>
      </c>
      <c r="EX35" s="54">
        <f>EZ11+EZ15+EZ19</f>
        <v>1110</v>
      </c>
      <c r="EY35" s="54" t="s">
        <v>69</v>
      </c>
      <c r="EZ35" s="54">
        <f>EX35-EX39</f>
        <v>-5044.3999999999996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</row>
    <row r="36" spans="1:175">
      <c r="A36" s="2"/>
      <c r="B36" s="2"/>
      <c r="C36" s="54"/>
      <c r="D36" s="54"/>
      <c r="E36" s="54"/>
      <c r="F36" s="54"/>
      <c r="G36" s="2"/>
      <c r="H36" s="19"/>
      <c r="I36" s="19"/>
      <c r="J36" s="19"/>
      <c r="K36" s="19"/>
      <c r="L36" s="19"/>
      <c r="M36" s="19"/>
      <c r="N36" s="1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54"/>
      <c r="AC36" s="54"/>
      <c r="AD36" s="54"/>
      <c r="AE36" s="54"/>
      <c r="AF36" s="2"/>
      <c r="AG36" s="19"/>
      <c r="AH36" s="19"/>
      <c r="AI36" s="19"/>
      <c r="AJ36" s="19"/>
      <c r="AK36" s="19"/>
      <c r="AL36" s="19"/>
      <c r="AM36" s="19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54"/>
      <c r="BB36" s="54"/>
      <c r="BC36" s="54"/>
      <c r="BD36" s="54"/>
      <c r="BE36" s="2"/>
      <c r="BF36" s="19"/>
      <c r="BG36" s="19"/>
      <c r="BH36" s="19"/>
      <c r="BI36" s="19"/>
      <c r="BJ36" s="19"/>
      <c r="BK36" s="19"/>
      <c r="BL36" s="19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4"/>
      <c r="CA36" s="54"/>
      <c r="CB36" s="54"/>
      <c r="CC36" s="54"/>
      <c r="CD36" s="2"/>
      <c r="CE36" s="19"/>
      <c r="CF36" s="19"/>
      <c r="CG36" s="19"/>
      <c r="CH36" s="19"/>
      <c r="CI36" s="19"/>
      <c r="CJ36" s="19"/>
      <c r="CK36" s="19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54"/>
      <c r="CZ36" s="54"/>
      <c r="DA36" s="54"/>
      <c r="DB36" s="54"/>
      <c r="DC36" s="2"/>
      <c r="DD36" s="19"/>
      <c r="DE36" s="19"/>
      <c r="DF36" s="19"/>
      <c r="DG36" s="19"/>
      <c r="DH36" s="19"/>
      <c r="DI36" s="19"/>
      <c r="DJ36" s="19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54"/>
      <c r="DY36" s="54"/>
      <c r="DZ36" s="54"/>
      <c r="EA36" s="54"/>
      <c r="EB36" s="2"/>
      <c r="EC36" s="19"/>
      <c r="ED36" s="19"/>
      <c r="EE36" s="19"/>
      <c r="EF36" s="19"/>
      <c r="EG36" s="19"/>
      <c r="EH36" s="19"/>
      <c r="EI36" s="19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54"/>
      <c r="EX36" s="54"/>
      <c r="EY36" s="54"/>
      <c r="EZ36" s="54"/>
      <c r="FA36" s="2"/>
      <c r="FB36" s="19"/>
      <c r="FC36" s="19"/>
      <c r="FD36" s="19"/>
      <c r="FE36" s="19"/>
      <c r="FF36" s="19"/>
      <c r="FG36" s="19"/>
      <c r="FH36" s="19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</row>
    <row r="37" spans="1:175">
      <c r="A37" s="2"/>
      <c r="B37" s="2"/>
      <c r="C37" s="54"/>
      <c r="D37" s="54"/>
      <c r="E37" s="54"/>
      <c r="F37" s="54"/>
      <c r="G37" s="2"/>
      <c r="H37" s="19"/>
      <c r="I37" s="19"/>
      <c r="J37" s="19"/>
      <c r="K37" s="19"/>
      <c r="L37" s="19"/>
      <c r="M37" s="19"/>
      <c r="N37" s="1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4"/>
      <c r="AC37" s="54"/>
      <c r="AD37" s="54"/>
      <c r="AE37" s="54"/>
      <c r="AF37" s="2"/>
      <c r="AG37" s="19"/>
      <c r="AH37" s="19"/>
      <c r="AI37" s="19"/>
      <c r="AJ37" s="19"/>
      <c r="AK37" s="19"/>
      <c r="AL37" s="19"/>
      <c r="AM37" s="19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54"/>
      <c r="BB37" s="54"/>
      <c r="BC37" s="54"/>
      <c r="BD37" s="54"/>
      <c r="BE37" s="2"/>
      <c r="BF37" s="19"/>
      <c r="BG37" s="19"/>
      <c r="BH37" s="19"/>
      <c r="BI37" s="19"/>
      <c r="BJ37" s="19"/>
      <c r="BK37" s="19"/>
      <c r="BL37" s="19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4"/>
      <c r="CA37" s="54"/>
      <c r="CB37" s="54"/>
      <c r="CC37" s="54"/>
      <c r="CD37" s="2"/>
      <c r="CE37" s="19"/>
      <c r="CF37" s="19"/>
      <c r="CG37" s="19"/>
      <c r="CH37" s="19"/>
      <c r="CI37" s="19"/>
      <c r="CJ37" s="19"/>
      <c r="CK37" s="19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54"/>
      <c r="CZ37" s="54"/>
      <c r="DA37" s="54"/>
      <c r="DB37" s="54"/>
      <c r="DC37" s="2"/>
      <c r="DD37" s="19"/>
      <c r="DE37" s="19"/>
      <c r="DF37" s="19"/>
      <c r="DG37" s="19"/>
      <c r="DH37" s="19"/>
      <c r="DI37" s="19"/>
      <c r="DJ37" s="19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54"/>
      <c r="DY37" s="54"/>
      <c r="DZ37" s="54"/>
      <c r="EA37" s="54"/>
      <c r="EB37" s="2"/>
      <c r="EC37" s="19"/>
      <c r="ED37" s="19"/>
      <c r="EE37" s="19"/>
      <c r="EF37" s="19"/>
      <c r="EG37" s="19"/>
      <c r="EH37" s="19"/>
      <c r="EI37" s="19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54"/>
      <c r="EX37" s="54"/>
      <c r="EY37" s="54"/>
      <c r="EZ37" s="54"/>
      <c r="FA37" s="2"/>
      <c r="FB37" s="19"/>
      <c r="FC37" s="19"/>
      <c r="FD37" s="19"/>
      <c r="FE37" s="19"/>
      <c r="FF37" s="19"/>
      <c r="FG37" s="19"/>
      <c r="FH37" s="19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</row>
    <row r="38" spans="1:175" ht="15.75" thickBot="1">
      <c r="A38" s="2"/>
      <c r="B38" s="2"/>
      <c r="C38" s="55"/>
      <c r="D38" s="55"/>
      <c r="E38" s="55"/>
      <c r="F38" s="55"/>
      <c r="G38" s="2"/>
      <c r="H38" s="19"/>
      <c r="I38" s="19"/>
      <c r="J38" s="19"/>
      <c r="K38" s="19"/>
      <c r="L38" s="19"/>
      <c r="M38" s="19"/>
      <c r="N38" s="1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55"/>
      <c r="AC38" s="55"/>
      <c r="AD38" s="55"/>
      <c r="AE38" s="55"/>
      <c r="AF38" s="2"/>
      <c r="AG38" s="19"/>
      <c r="AH38" s="19"/>
      <c r="AI38" s="19"/>
      <c r="AJ38" s="19"/>
      <c r="AK38" s="19"/>
      <c r="AL38" s="19"/>
      <c r="AM38" s="19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55"/>
      <c r="BB38" s="55"/>
      <c r="BC38" s="55"/>
      <c r="BD38" s="55"/>
      <c r="BE38" s="2"/>
      <c r="BF38" s="19"/>
      <c r="BG38" s="19"/>
      <c r="BH38" s="19"/>
      <c r="BI38" s="19"/>
      <c r="BJ38" s="19"/>
      <c r="BK38" s="19"/>
      <c r="BL38" s="19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5"/>
      <c r="CA38" s="55"/>
      <c r="CB38" s="55"/>
      <c r="CC38" s="55"/>
      <c r="CD38" s="2"/>
      <c r="CE38" s="19"/>
      <c r="CF38" s="19"/>
      <c r="CG38" s="19"/>
      <c r="CH38" s="19"/>
      <c r="CI38" s="19"/>
      <c r="CJ38" s="19"/>
      <c r="CK38" s="19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55"/>
      <c r="CZ38" s="55"/>
      <c r="DA38" s="55"/>
      <c r="DB38" s="55"/>
      <c r="DC38" s="2"/>
      <c r="DD38" s="19"/>
      <c r="DE38" s="19"/>
      <c r="DF38" s="19"/>
      <c r="DG38" s="19"/>
      <c r="DH38" s="19"/>
      <c r="DI38" s="19"/>
      <c r="DJ38" s="19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55"/>
      <c r="DY38" s="55"/>
      <c r="DZ38" s="55"/>
      <c r="EA38" s="55"/>
      <c r="EB38" s="2"/>
      <c r="EC38" s="19"/>
      <c r="ED38" s="19"/>
      <c r="EE38" s="19"/>
      <c r="EF38" s="19"/>
      <c r="EG38" s="19"/>
      <c r="EH38" s="19"/>
      <c r="EI38" s="19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55"/>
      <c r="EX38" s="55"/>
      <c r="EY38" s="55"/>
      <c r="EZ38" s="55"/>
      <c r="FA38" s="2"/>
      <c r="FB38" s="19"/>
      <c r="FC38" s="19"/>
      <c r="FD38" s="19"/>
      <c r="FE38" s="19"/>
      <c r="FF38" s="19"/>
      <c r="FG38" s="19"/>
      <c r="FH38" s="19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</row>
    <row r="39" spans="1:175">
      <c r="A39" s="2"/>
      <c r="B39" s="2"/>
      <c r="C39" s="54" t="s">
        <v>70</v>
      </c>
      <c r="D39" s="54">
        <f>SUM(Q13:Q28)</f>
        <v>6154.4</v>
      </c>
      <c r="E39" s="54" t="s">
        <v>71</v>
      </c>
      <c r="F39" s="54" t="str">
        <f>IF(F35&gt;0,"Bad shape","Fit shape")</f>
        <v>Fit shape</v>
      </c>
      <c r="G39" s="2"/>
      <c r="H39" s="19"/>
      <c r="I39" s="19"/>
      <c r="J39" s="19"/>
      <c r="K39" s="19"/>
      <c r="L39" s="19"/>
      <c r="M39" s="19"/>
      <c r="N39" s="1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54" t="s">
        <v>70</v>
      </c>
      <c r="AC39" s="54">
        <f>SUM(AP13:AP28)</f>
        <v>6154.4</v>
      </c>
      <c r="AD39" s="54" t="s">
        <v>71</v>
      </c>
      <c r="AE39" s="54" t="str">
        <f>IF(AE35&gt;0,"Bad shape","Fit shape")</f>
        <v>Fit shape</v>
      </c>
      <c r="AF39" s="2"/>
      <c r="AG39" s="19"/>
      <c r="AH39" s="19"/>
      <c r="AI39" s="19"/>
      <c r="AJ39" s="19"/>
      <c r="AK39" s="19"/>
      <c r="AL39" s="19"/>
      <c r="AM39" s="19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54" t="s">
        <v>70</v>
      </c>
      <c r="BB39" s="54">
        <f>SUM(BO13:BO28)</f>
        <v>6154.4</v>
      </c>
      <c r="BC39" s="54" t="s">
        <v>71</v>
      </c>
      <c r="BD39" s="54" t="str">
        <f>IF(BD35&gt;0,"Bad shape","Fit shape")</f>
        <v>Fit shape</v>
      </c>
      <c r="BE39" s="2"/>
      <c r="BF39" s="19"/>
      <c r="BG39" s="19"/>
      <c r="BH39" s="19"/>
      <c r="BI39" s="19"/>
      <c r="BJ39" s="19"/>
      <c r="BK39" s="19"/>
      <c r="BL39" s="19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4" t="s">
        <v>70</v>
      </c>
      <c r="CA39" s="54">
        <f>SUM(CN13:CN28)</f>
        <v>6154.4</v>
      </c>
      <c r="CB39" s="54" t="s">
        <v>71</v>
      </c>
      <c r="CC39" s="54" t="str">
        <f>IF(CC35&gt;0,"Bad shape","Fit shape")</f>
        <v>Fit shape</v>
      </c>
      <c r="CD39" s="2"/>
      <c r="CE39" s="19"/>
      <c r="CF39" s="19"/>
      <c r="CG39" s="19"/>
      <c r="CH39" s="19"/>
      <c r="CI39" s="19"/>
      <c r="CJ39" s="19"/>
      <c r="CK39" s="19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54" t="s">
        <v>70</v>
      </c>
      <c r="CZ39" s="54">
        <f>SUM(DM13:DM28)</f>
        <v>6154.4</v>
      </c>
      <c r="DA39" s="54" t="s">
        <v>71</v>
      </c>
      <c r="DB39" s="54" t="str">
        <f>IF(DB35&gt;0,"Bad shape","Fit shape")</f>
        <v>Fit shape</v>
      </c>
      <c r="DC39" s="2"/>
      <c r="DD39" s="19"/>
      <c r="DE39" s="19"/>
      <c r="DF39" s="19"/>
      <c r="DG39" s="19"/>
      <c r="DH39" s="19"/>
      <c r="DI39" s="19"/>
      <c r="DJ39" s="19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54" t="s">
        <v>70</v>
      </c>
      <c r="DY39" s="54">
        <f>SUM(EL13:EL28)</f>
        <v>6154.4</v>
      </c>
      <c r="DZ39" s="54" t="s">
        <v>71</v>
      </c>
      <c r="EA39" s="54" t="str">
        <f>IF(EA35&gt;0,"Bad shape","Fit shape")</f>
        <v>Fit shape</v>
      </c>
      <c r="EB39" s="2"/>
      <c r="EC39" s="19"/>
      <c r="ED39" s="19"/>
      <c r="EE39" s="19"/>
      <c r="EF39" s="19"/>
      <c r="EG39" s="19"/>
      <c r="EH39" s="19"/>
      <c r="EI39" s="19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54" t="s">
        <v>70</v>
      </c>
      <c r="EX39" s="54">
        <f>SUM(FK13:FK28)</f>
        <v>6154.4</v>
      </c>
      <c r="EY39" s="54" t="s">
        <v>71</v>
      </c>
      <c r="EZ39" s="54" t="str">
        <f>IF(EZ35&gt;0,"Bad shape","Fit shape")</f>
        <v>Fit shape</v>
      </c>
      <c r="FA39" s="2"/>
      <c r="FB39" s="19"/>
      <c r="FC39" s="19"/>
      <c r="FD39" s="19"/>
      <c r="FE39" s="19"/>
      <c r="FF39" s="19"/>
      <c r="FG39" s="19"/>
      <c r="FH39" s="19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</row>
    <row r="40" spans="1:175">
      <c r="A40" s="2"/>
      <c r="B40" s="2"/>
      <c r="C40" s="54"/>
      <c r="D40" s="54"/>
      <c r="E40" s="54"/>
      <c r="F40" s="54"/>
      <c r="G40" s="2"/>
      <c r="H40" s="19"/>
      <c r="I40" s="19"/>
      <c r="J40" s="19"/>
      <c r="K40" s="19"/>
      <c r="L40" s="19"/>
      <c r="M40" s="19"/>
      <c r="N40" s="1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54"/>
      <c r="AC40" s="54"/>
      <c r="AD40" s="54"/>
      <c r="AE40" s="54"/>
      <c r="AF40" s="2"/>
      <c r="AG40" s="19"/>
      <c r="AH40" s="19"/>
      <c r="AI40" s="19"/>
      <c r="AJ40" s="19"/>
      <c r="AK40" s="19"/>
      <c r="AL40" s="19"/>
      <c r="AM40" s="19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54"/>
      <c r="BB40" s="54"/>
      <c r="BC40" s="54"/>
      <c r="BD40" s="54"/>
      <c r="BE40" s="2"/>
      <c r="BF40" s="19"/>
      <c r="BG40" s="19"/>
      <c r="BH40" s="19"/>
      <c r="BI40" s="19"/>
      <c r="BJ40" s="19"/>
      <c r="BK40" s="19"/>
      <c r="BL40" s="19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4"/>
      <c r="CA40" s="54"/>
      <c r="CB40" s="54"/>
      <c r="CC40" s="54"/>
      <c r="CD40" s="2"/>
      <c r="CE40" s="19"/>
      <c r="CF40" s="19"/>
      <c r="CG40" s="19"/>
      <c r="CH40" s="19"/>
      <c r="CI40" s="19"/>
      <c r="CJ40" s="19"/>
      <c r="CK40" s="19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54"/>
      <c r="CZ40" s="54"/>
      <c r="DA40" s="54"/>
      <c r="DB40" s="54"/>
      <c r="DC40" s="2"/>
      <c r="DD40" s="19"/>
      <c r="DE40" s="19"/>
      <c r="DF40" s="19"/>
      <c r="DG40" s="19"/>
      <c r="DH40" s="19"/>
      <c r="DI40" s="19"/>
      <c r="DJ40" s="19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54"/>
      <c r="DY40" s="54"/>
      <c r="DZ40" s="54"/>
      <c r="EA40" s="54"/>
      <c r="EB40" s="2"/>
      <c r="EC40" s="19"/>
      <c r="ED40" s="19"/>
      <c r="EE40" s="19"/>
      <c r="EF40" s="19"/>
      <c r="EG40" s="19"/>
      <c r="EH40" s="19"/>
      <c r="EI40" s="19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54"/>
      <c r="EX40" s="54"/>
      <c r="EY40" s="54"/>
      <c r="EZ40" s="54"/>
      <c r="FA40" s="2"/>
      <c r="FB40" s="19"/>
      <c r="FC40" s="19"/>
      <c r="FD40" s="19"/>
      <c r="FE40" s="19"/>
      <c r="FF40" s="19"/>
      <c r="FG40" s="19"/>
      <c r="FH40" s="19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</row>
    <row r="41" spans="1:175">
      <c r="A41" s="2"/>
      <c r="B41" s="2"/>
      <c r="C41" s="54"/>
      <c r="D41" s="54"/>
      <c r="E41" s="54"/>
      <c r="F41" s="54"/>
      <c r="G41" s="2"/>
      <c r="H41" s="19"/>
      <c r="I41" s="19"/>
      <c r="J41" s="19"/>
      <c r="K41" s="19"/>
      <c r="L41" s="19"/>
      <c r="M41" s="19"/>
      <c r="N41" s="19"/>
      <c r="O41" s="19"/>
      <c r="P41" s="19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54"/>
      <c r="AC41" s="54"/>
      <c r="AD41" s="54"/>
      <c r="AE41" s="54"/>
      <c r="AF41" s="2"/>
      <c r="AG41" s="19"/>
      <c r="AH41" s="19"/>
      <c r="AI41" s="19"/>
      <c r="AJ41" s="19"/>
      <c r="AK41" s="19"/>
      <c r="AL41" s="19"/>
      <c r="AM41" s="19"/>
      <c r="AN41" s="19"/>
      <c r="AO41" s="19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54"/>
      <c r="BB41" s="54"/>
      <c r="BC41" s="54"/>
      <c r="BD41" s="54"/>
      <c r="BE41" s="2"/>
      <c r="BF41" s="19"/>
      <c r="BG41" s="19"/>
      <c r="BH41" s="19"/>
      <c r="BI41" s="19"/>
      <c r="BJ41" s="19"/>
      <c r="BK41" s="19"/>
      <c r="BL41" s="19"/>
      <c r="BM41" s="19"/>
      <c r="BN41" s="19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4"/>
      <c r="CA41" s="54"/>
      <c r="CB41" s="54"/>
      <c r="CC41" s="54"/>
      <c r="CD41" s="2"/>
      <c r="CE41" s="19"/>
      <c r="CF41" s="19"/>
      <c r="CG41" s="19"/>
      <c r="CH41" s="19"/>
      <c r="CI41" s="19"/>
      <c r="CJ41" s="19"/>
      <c r="CK41" s="19"/>
      <c r="CL41" s="19"/>
      <c r="CM41" s="19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54"/>
      <c r="CZ41" s="54"/>
      <c r="DA41" s="54"/>
      <c r="DB41" s="54"/>
      <c r="DC41" s="2"/>
      <c r="DD41" s="19"/>
      <c r="DE41" s="19"/>
      <c r="DF41" s="19"/>
      <c r="DG41" s="19"/>
      <c r="DH41" s="19"/>
      <c r="DI41" s="19"/>
      <c r="DJ41" s="19"/>
      <c r="DK41" s="19"/>
      <c r="DL41" s="19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54"/>
      <c r="DY41" s="54"/>
      <c r="DZ41" s="54"/>
      <c r="EA41" s="54"/>
      <c r="EB41" s="2"/>
      <c r="EC41" s="19"/>
      <c r="ED41" s="19"/>
      <c r="EE41" s="19"/>
      <c r="EF41" s="19"/>
      <c r="EG41" s="19"/>
      <c r="EH41" s="19"/>
      <c r="EI41" s="19"/>
      <c r="EJ41" s="19"/>
      <c r="EK41" s="19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54"/>
      <c r="EX41" s="54"/>
      <c r="EY41" s="54"/>
      <c r="EZ41" s="54"/>
      <c r="FA41" s="2"/>
      <c r="FB41" s="19"/>
      <c r="FC41" s="19"/>
      <c r="FD41" s="19"/>
      <c r="FE41" s="19"/>
      <c r="FF41" s="19"/>
      <c r="FG41" s="19"/>
      <c r="FH41" s="19"/>
      <c r="FI41" s="19"/>
      <c r="FJ41" s="19"/>
      <c r="FK41" s="2"/>
      <c r="FL41" s="2"/>
      <c r="FM41" s="2"/>
      <c r="FN41" s="2"/>
      <c r="FO41" s="2"/>
      <c r="FP41" s="2"/>
      <c r="FQ41" s="2"/>
      <c r="FR41" s="2"/>
      <c r="FS41" s="2"/>
    </row>
    <row r="42" spans="1:175" ht="15.75" thickBot="1">
      <c r="A42" s="2"/>
      <c r="B42" s="2"/>
      <c r="C42" s="55"/>
      <c r="D42" s="55"/>
      <c r="E42" s="55"/>
      <c r="F42" s="55"/>
      <c r="G42" s="2"/>
      <c r="H42" s="19"/>
      <c r="I42" s="19"/>
      <c r="J42" s="19"/>
      <c r="K42" s="19"/>
      <c r="L42" s="19"/>
      <c r="M42" s="19"/>
      <c r="N42" s="19"/>
      <c r="O42" s="19"/>
      <c r="P42" s="19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55"/>
      <c r="AC42" s="55"/>
      <c r="AD42" s="55"/>
      <c r="AE42" s="55"/>
      <c r="AF42" s="2"/>
      <c r="AG42" s="19"/>
      <c r="AH42" s="19"/>
      <c r="AI42" s="19"/>
      <c r="AJ42" s="19"/>
      <c r="AK42" s="19"/>
      <c r="AL42" s="19"/>
      <c r="AM42" s="19"/>
      <c r="AN42" s="19"/>
      <c r="AO42" s="19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55"/>
      <c r="BB42" s="55"/>
      <c r="BC42" s="55"/>
      <c r="BD42" s="55"/>
      <c r="BE42" s="2"/>
      <c r="BF42" s="19"/>
      <c r="BG42" s="19"/>
      <c r="BH42" s="19"/>
      <c r="BI42" s="19"/>
      <c r="BJ42" s="19"/>
      <c r="BK42" s="19"/>
      <c r="BL42" s="19"/>
      <c r="BM42" s="19"/>
      <c r="BN42" s="19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5"/>
      <c r="CA42" s="55"/>
      <c r="CB42" s="55"/>
      <c r="CC42" s="55"/>
      <c r="CD42" s="2"/>
      <c r="CE42" s="19"/>
      <c r="CF42" s="19"/>
      <c r="CG42" s="19"/>
      <c r="CH42" s="19"/>
      <c r="CI42" s="19"/>
      <c r="CJ42" s="19"/>
      <c r="CK42" s="19"/>
      <c r="CL42" s="19"/>
      <c r="CM42" s="19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5"/>
      <c r="CZ42" s="55"/>
      <c r="DA42" s="55"/>
      <c r="DB42" s="55"/>
      <c r="DC42" s="2"/>
      <c r="DD42" s="19"/>
      <c r="DE42" s="19"/>
      <c r="DF42" s="19"/>
      <c r="DG42" s="19"/>
      <c r="DH42" s="19"/>
      <c r="DI42" s="19"/>
      <c r="DJ42" s="19"/>
      <c r="DK42" s="19"/>
      <c r="DL42" s="19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55"/>
      <c r="DY42" s="55"/>
      <c r="DZ42" s="55"/>
      <c r="EA42" s="55"/>
      <c r="EB42" s="2"/>
      <c r="EC42" s="19"/>
      <c r="ED42" s="19"/>
      <c r="EE42" s="19"/>
      <c r="EF42" s="19"/>
      <c r="EG42" s="19"/>
      <c r="EH42" s="19"/>
      <c r="EI42" s="19"/>
      <c r="EJ42" s="19"/>
      <c r="EK42" s="19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55"/>
      <c r="EX42" s="55"/>
      <c r="EY42" s="55"/>
      <c r="EZ42" s="55"/>
      <c r="FA42" s="2"/>
      <c r="FB42" s="19"/>
      <c r="FC42" s="19"/>
      <c r="FD42" s="19"/>
      <c r="FE42" s="19"/>
      <c r="FF42" s="19"/>
      <c r="FG42" s="19"/>
      <c r="FH42" s="19"/>
      <c r="FI42" s="19"/>
      <c r="FJ42" s="19"/>
      <c r="FK42" s="2"/>
      <c r="FL42" s="2"/>
      <c r="FM42" s="2"/>
      <c r="FN42" s="2"/>
      <c r="FO42" s="2"/>
      <c r="FP42" s="2"/>
      <c r="FQ42" s="2"/>
      <c r="FR42" s="2"/>
      <c r="FS42" s="2"/>
    </row>
    <row r="43" spans="1:175">
      <c r="A43" s="2"/>
      <c r="B43" s="2"/>
      <c r="C43" s="2"/>
      <c r="D43" s="2"/>
      <c r="E43" s="2"/>
      <c r="F43" s="2"/>
      <c r="G43" s="2"/>
      <c r="H43" s="19"/>
      <c r="I43" s="19"/>
      <c r="J43" s="19"/>
      <c r="K43" s="19"/>
      <c r="L43" s="19"/>
      <c r="M43" s="19"/>
      <c r="N43" s="19"/>
      <c r="O43" s="19"/>
      <c r="P43" s="19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9"/>
      <c r="AH43" s="19"/>
      <c r="AI43" s="19"/>
      <c r="AJ43" s="19"/>
      <c r="AK43" s="19"/>
      <c r="AL43" s="19"/>
      <c r="AM43" s="19"/>
      <c r="AN43" s="19"/>
      <c r="AO43" s="19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9"/>
      <c r="BG43" s="19"/>
      <c r="BH43" s="19"/>
      <c r="BI43" s="19"/>
      <c r="BJ43" s="19"/>
      <c r="BK43" s="19"/>
      <c r="BL43" s="19"/>
      <c r="BM43" s="19"/>
      <c r="BN43" s="19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9"/>
      <c r="CF43" s="19"/>
      <c r="CG43" s="19"/>
      <c r="CH43" s="19"/>
      <c r="CI43" s="19"/>
      <c r="CJ43" s="19"/>
      <c r="CK43" s="19"/>
      <c r="CL43" s="19"/>
      <c r="CM43" s="19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19"/>
      <c r="DE43" s="19"/>
      <c r="DF43" s="19"/>
      <c r="DG43" s="19"/>
      <c r="DH43" s="19"/>
      <c r="DI43" s="19"/>
      <c r="DJ43" s="19"/>
      <c r="DK43" s="19"/>
      <c r="DL43" s="19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19"/>
      <c r="ED43" s="19"/>
      <c r="EE43" s="19"/>
      <c r="EF43" s="19"/>
      <c r="EG43" s="19"/>
      <c r="EH43" s="19"/>
      <c r="EI43" s="19"/>
      <c r="EJ43" s="19"/>
      <c r="EK43" s="19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19"/>
      <c r="FC43" s="19"/>
      <c r="FD43" s="19"/>
      <c r="FE43" s="19"/>
      <c r="FF43" s="19"/>
      <c r="FG43" s="19"/>
      <c r="FH43" s="19"/>
      <c r="FI43" s="19"/>
      <c r="FJ43" s="19"/>
      <c r="FK43" s="2"/>
      <c r="FL43" s="2"/>
      <c r="FM43" s="2"/>
      <c r="FN43" s="2"/>
      <c r="FO43" s="2"/>
      <c r="FP43" s="2"/>
      <c r="FQ43" s="2"/>
      <c r="FR43" s="2"/>
      <c r="FS43" s="2"/>
    </row>
    <row r="44" spans="1:175">
      <c r="A44" s="2"/>
      <c r="B44" s="2"/>
      <c r="C44" s="2"/>
      <c r="D44" s="2"/>
      <c r="E44" s="2"/>
      <c r="F44" s="2"/>
      <c r="G44" s="2"/>
      <c r="H44" s="19"/>
      <c r="I44" s="19"/>
      <c r="J44" s="19"/>
      <c r="K44" s="19"/>
      <c r="L44" s="19"/>
      <c r="M44" s="19"/>
      <c r="N44" s="19"/>
      <c r="O44" s="19"/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19"/>
      <c r="AH44" s="19"/>
      <c r="AI44" s="19"/>
      <c r="AJ44" s="19"/>
      <c r="AK44" s="19"/>
      <c r="AL44" s="19"/>
      <c r="AM44" s="19"/>
      <c r="AN44" s="19"/>
      <c r="AO44" s="19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19"/>
      <c r="BG44" s="19"/>
      <c r="BH44" s="19"/>
      <c r="BI44" s="19"/>
      <c r="BJ44" s="19"/>
      <c r="BK44" s="19"/>
      <c r="BL44" s="19"/>
      <c r="BM44" s="19"/>
      <c r="BN44" s="19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9"/>
      <c r="CF44" s="19"/>
      <c r="CG44" s="19"/>
      <c r="CH44" s="19"/>
      <c r="CI44" s="19"/>
      <c r="CJ44" s="19"/>
      <c r="CK44" s="19"/>
      <c r="CL44" s="19"/>
      <c r="CM44" s="19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19"/>
      <c r="DE44" s="19"/>
      <c r="DF44" s="19"/>
      <c r="DG44" s="19"/>
      <c r="DH44" s="19"/>
      <c r="DI44" s="19"/>
      <c r="DJ44" s="19"/>
      <c r="DK44" s="19"/>
      <c r="DL44" s="19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19"/>
      <c r="ED44" s="19"/>
      <c r="EE44" s="19"/>
      <c r="EF44" s="19"/>
      <c r="EG44" s="19"/>
      <c r="EH44" s="19"/>
      <c r="EI44" s="19"/>
      <c r="EJ44" s="19"/>
      <c r="EK44" s="19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19"/>
      <c r="FC44" s="19"/>
      <c r="FD44" s="19"/>
      <c r="FE44" s="19"/>
      <c r="FF44" s="19"/>
      <c r="FG44" s="19"/>
      <c r="FH44" s="19"/>
      <c r="FI44" s="19"/>
      <c r="FJ44" s="19"/>
      <c r="FK44" s="2"/>
      <c r="FL44" s="2"/>
      <c r="FM44" s="2"/>
      <c r="FN44" s="2"/>
      <c r="FO44" s="2"/>
      <c r="FP44" s="2"/>
      <c r="FQ44" s="2"/>
      <c r="FR44" s="2"/>
      <c r="FS44" s="2"/>
    </row>
    <row r="45" spans="1:175">
      <c r="A45" s="2"/>
      <c r="B45" s="2"/>
      <c r="C45" s="2"/>
      <c r="D45" s="2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19"/>
      <c r="AH45" s="19"/>
      <c r="AI45" s="19"/>
      <c r="AJ45" s="19"/>
      <c r="AK45" s="19"/>
      <c r="AL45" s="19"/>
      <c r="AM45" s="19"/>
      <c r="AN45" s="19"/>
      <c r="AO45" s="19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19"/>
      <c r="BG45" s="19"/>
      <c r="BH45" s="19"/>
      <c r="BI45" s="19"/>
      <c r="BJ45" s="19"/>
      <c r="BK45" s="19"/>
      <c r="BL45" s="19"/>
      <c r="BM45" s="19"/>
      <c r="BN45" s="19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9"/>
      <c r="CF45" s="19"/>
      <c r="CG45" s="19"/>
      <c r="CH45" s="19"/>
      <c r="CI45" s="19"/>
      <c r="CJ45" s="19"/>
      <c r="CK45" s="19"/>
      <c r="CL45" s="19"/>
      <c r="CM45" s="19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19"/>
      <c r="DE45" s="19"/>
      <c r="DF45" s="19"/>
      <c r="DG45" s="19"/>
      <c r="DH45" s="19"/>
      <c r="DI45" s="19"/>
      <c r="DJ45" s="19"/>
      <c r="DK45" s="19"/>
      <c r="DL45" s="19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19"/>
      <c r="ED45" s="19"/>
      <c r="EE45" s="19"/>
      <c r="EF45" s="19"/>
      <c r="EG45" s="19"/>
      <c r="EH45" s="19"/>
      <c r="EI45" s="19"/>
      <c r="EJ45" s="19"/>
      <c r="EK45" s="19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19"/>
      <c r="FC45" s="19"/>
      <c r="FD45" s="19"/>
      <c r="FE45" s="19"/>
      <c r="FF45" s="19"/>
      <c r="FG45" s="19"/>
      <c r="FH45" s="19"/>
      <c r="FI45" s="19"/>
      <c r="FJ45" s="19"/>
      <c r="FK45" s="2"/>
      <c r="FL45" s="2"/>
      <c r="FM45" s="2"/>
      <c r="FN45" s="2"/>
      <c r="FO45" s="2"/>
      <c r="FP45" s="2"/>
      <c r="FQ45" s="2"/>
      <c r="FR45" s="2"/>
      <c r="FS45" s="2"/>
    </row>
    <row r="46" spans="1:175">
      <c r="A46" s="2"/>
      <c r="B46" s="2"/>
      <c r="C46" s="2"/>
      <c r="D46" s="2"/>
      <c r="E46" s="2"/>
      <c r="F46" s="2"/>
      <c r="G46" s="2"/>
      <c r="H46" s="19"/>
      <c r="I46" s="19"/>
      <c r="J46" s="19"/>
      <c r="K46" s="19"/>
      <c r="L46" s="19"/>
      <c r="M46" s="19"/>
      <c r="N46" s="19"/>
      <c r="O46" s="19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9"/>
      <c r="AH46" s="19"/>
      <c r="AI46" s="19"/>
      <c r="AJ46" s="19"/>
      <c r="AK46" s="19"/>
      <c r="AL46" s="19"/>
      <c r="AM46" s="19"/>
      <c r="AN46" s="19"/>
      <c r="AO46" s="19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19"/>
      <c r="BG46" s="19"/>
      <c r="BH46" s="19"/>
      <c r="BI46" s="19"/>
      <c r="BJ46" s="19"/>
      <c r="BK46" s="19"/>
      <c r="BL46" s="19"/>
      <c r="BM46" s="19"/>
      <c r="BN46" s="19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19"/>
      <c r="CF46" s="19"/>
      <c r="CG46" s="19"/>
      <c r="CH46" s="19"/>
      <c r="CI46" s="19"/>
      <c r="CJ46" s="19"/>
      <c r="CK46" s="19"/>
      <c r="CL46" s="19"/>
      <c r="CM46" s="19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19"/>
      <c r="DE46" s="19"/>
      <c r="DF46" s="19"/>
      <c r="DG46" s="19"/>
      <c r="DH46" s="19"/>
      <c r="DI46" s="19"/>
      <c r="DJ46" s="19"/>
      <c r="DK46" s="19"/>
      <c r="DL46" s="19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19"/>
      <c r="ED46" s="19"/>
      <c r="EE46" s="19"/>
      <c r="EF46" s="19"/>
      <c r="EG46" s="19"/>
      <c r="EH46" s="19"/>
      <c r="EI46" s="19"/>
      <c r="EJ46" s="19"/>
      <c r="EK46" s="19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19"/>
      <c r="FC46" s="19"/>
      <c r="FD46" s="19"/>
      <c r="FE46" s="19"/>
      <c r="FF46" s="19"/>
      <c r="FG46" s="19"/>
      <c r="FH46" s="19"/>
      <c r="FI46" s="19"/>
      <c r="FJ46" s="19"/>
      <c r="FK46" s="2"/>
      <c r="FL46" s="2"/>
      <c r="FM46" s="2"/>
      <c r="FN46" s="2"/>
      <c r="FO46" s="2"/>
      <c r="FP46" s="2"/>
      <c r="FQ46" s="2"/>
      <c r="FR46" s="2"/>
      <c r="FS46" s="2"/>
    </row>
    <row r="47" spans="1:175">
      <c r="A47" s="2"/>
      <c r="B47" s="2"/>
      <c r="C47" s="2"/>
      <c r="D47" s="2"/>
      <c r="E47" s="2"/>
      <c r="F47" s="2"/>
      <c r="G47" s="2"/>
      <c r="H47" s="19"/>
      <c r="I47" s="19"/>
      <c r="J47" s="19"/>
      <c r="K47" s="19"/>
      <c r="L47" s="19"/>
      <c r="M47" s="19"/>
      <c r="N47" s="19"/>
      <c r="O47" s="19"/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19"/>
      <c r="AH47" s="19"/>
      <c r="AI47" s="19"/>
      <c r="AJ47" s="19"/>
      <c r="AK47" s="19"/>
      <c r="AL47" s="19"/>
      <c r="AM47" s="19"/>
      <c r="AN47" s="19"/>
      <c r="AO47" s="19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19"/>
      <c r="BG47" s="19"/>
      <c r="BH47" s="19"/>
      <c r="BI47" s="19"/>
      <c r="BJ47" s="19"/>
      <c r="BK47" s="19"/>
      <c r="BL47" s="19"/>
      <c r="BM47" s="19"/>
      <c r="BN47" s="19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19"/>
      <c r="CF47" s="19"/>
      <c r="CG47" s="19"/>
      <c r="CH47" s="19"/>
      <c r="CI47" s="19"/>
      <c r="CJ47" s="19"/>
      <c r="CK47" s="19"/>
      <c r="CL47" s="19"/>
      <c r="CM47" s="19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19"/>
      <c r="DE47" s="19"/>
      <c r="DF47" s="19"/>
      <c r="DG47" s="19"/>
      <c r="DH47" s="19"/>
      <c r="DI47" s="19"/>
      <c r="DJ47" s="19"/>
      <c r="DK47" s="19"/>
      <c r="DL47" s="19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19"/>
      <c r="ED47" s="19"/>
      <c r="EE47" s="19"/>
      <c r="EF47" s="19"/>
      <c r="EG47" s="19"/>
      <c r="EH47" s="19"/>
      <c r="EI47" s="19"/>
      <c r="EJ47" s="19"/>
      <c r="EK47" s="19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19"/>
      <c r="FC47" s="19"/>
      <c r="FD47" s="19"/>
      <c r="FE47" s="19"/>
      <c r="FF47" s="19"/>
      <c r="FG47" s="19"/>
      <c r="FH47" s="19"/>
      <c r="FI47" s="19"/>
      <c r="FJ47" s="19"/>
      <c r="FK47" s="2"/>
      <c r="FL47" s="2"/>
      <c r="FM47" s="2"/>
      <c r="FN47" s="2"/>
      <c r="FO47" s="2"/>
      <c r="FP47" s="2"/>
      <c r="FQ47" s="2"/>
      <c r="FR47" s="2"/>
      <c r="FS47" s="2"/>
    </row>
    <row r="48" spans="1:175">
      <c r="A48" s="2"/>
      <c r="B48" s="2"/>
      <c r="C48" s="2"/>
      <c r="D48" s="2"/>
      <c r="E48" s="2"/>
      <c r="F48" s="2"/>
      <c r="G48" s="2"/>
      <c r="H48" s="19"/>
      <c r="I48" s="19"/>
      <c r="J48" s="19"/>
      <c r="K48" s="19"/>
      <c r="L48" s="19"/>
      <c r="M48" s="19"/>
      <c r="N48" s="19"/>
      <c r="O48" s="19"/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19"/>
      <c r="AH48" s="19"/>
      <c r="AI48" s="19"/>
      <c r="AJ48" s="19"/>
      <c r="AK48" s="19"/>
      <c r="AL48" s="19"/>
      <c r="AM48" s="19"/>
      <c r="AN48" s="19"/>
      <c r="AO48" s="19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19"/>
      <c r="BG48" s="19"/>
      <c r="BH48" s="19"/>
      <c r="BI48" s="19"/>
      <c r="BJ48" s="19"/>
      <c r="BK48" s="19"/>
      <c r="BL48" s="19"/>
      <c r="BM48" s="19"/>
      <c r="BN48" s="19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9"/>
      <c r="CF48" s="19"/>
      <c r="CG48" s="19"/>
      <c r="CH48" s="19"/>
      <c r="CI48" s="19"/>
      <c r="CJ48" s="19"/>
      <c r="CK48" s="19"/>
      <c r="CL48" s="19"/>
      <c r="CM48" s="19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19"/>
      <c r="DE48" s="19"/>
      <c r="DF48" s="19"/>
      <c r="DG48" s="19"/>
      <c r="DH48" s="19"/>
      <c r="DI48" s="19"/>
      <c r="DJ48" s="19"/>
      <c r="DK48" s="19"/>
      <c r="DL48" s="19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19"/>
      <c r="ED48" s="19"/>
      <c r="EE48" s="19"/>
      <c r="EF48" s="19"/>
      <c r="EG48" s="19"/>
      <c r="EH48" s="19"/>
      <c r="EI48" s="19"/>
      <c r="EJ48" s="19"/>
      <c r="EK48" s="19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19"/>
      <c r="FC48" s="19"/>
      <c r="FD48" s="19"/>
      <c r="FE48" s="19"/>
      <c r="FF48" s="19"/>
      <c r="FG48" s="19"/>
      <c r="FH48" s="19"/>
      <c r="FI48" s="19"/>
      <c r="FJ48" s="19"/>
      <c r="FK48" s="2"/>
      <c r="FL48" s="2"/>
      <c r="FM48" s="2"/>
      <c r="FN48" s="2"/>
      <c r="FO48" s="2"/>
      <c r="FP48" s="2"/>
      <c r="FQ48" s="2"/>
      <c r="FR48" s="2"/>
      <c r="FS48" s="2"/>
    </row>
    <row r="49" spans="1:175" ht="15.75" thickBot="1">
      <c r="A49" s="2"/>
      <c r="B49" s="2"/>
      <c r="C49" s="2"/>
      <c r="D49" s="2"/>
      <c r="E49" s="2"/>
      <c r="F49" s="2"/>
      <c r="G49" s="2"/>
      <c r="H49" s="19"/>
      <c r="I49" s="19"/>
      <c r="J49" s="19"/>
      <c r="K49" s="19"/>
      <c r="L49" s="19"/>
      <c r="M49" s="19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19"/>
      <c r="AH49" s="19"/>
      <c r="AI49" s="19"/>
      <c r="AJ49" s="19"/>
      <c r="AK49" s="19"/>
      <c r="AL49" s="19"/>
      <c r="AM49" s="19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19"/>
      <c r="BG49" s="19"/>
      <c r="BH49" s="19"/>
      <c r="BI49" s="19"/>
      <c r="BJ49" s="19"/>
      <c r="BK49" s="19"/>
      <c r="BL49" s="19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19"/>
      <c r="CF49" s="19"/>
      <c r="CG49" s="19"/>
      <c r="CH49" s="19"/>
      <c r="CI49" s="19"/>
      <c r="CJ49" s="19"/>
      <c r="CK49" s="19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19"/>
      <c r="DE49" s="19"/>
      <c r="DF49" s="19"/>
      <c r="DG49" s="19"/>
      <c r="DH49" s="19"/>
      <c r="DI49" s="19"/>
      <c r="DJ49" s="19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19"/>
      <c r="ED49" s="19"/>
      <c r="EE49" s="19"/>
      <c r="EF49" s="19"/>
      <c r="EG49" s="19"/>
      <c r="EH49" s="19"/>
      <c r="EI49" s="19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19"/>
      <c r="FC49" s="19"/>
      <c r="FD49" s="19"/>
      <c r="FE49" s="19"/>
      <c r="FF49" s="19"/>
      <c r="FG49" s="19"/>
      <c r="FH49" s="19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</row>
    <row r="50" spans="1:175" ht="18.75">
      <c r="A50" s="2"/>
      <c r="B50" s="2"/>
      <c r="C50" s="2"/>
      <c r="D50" s="2"/>
      <c r="E50" s="48" t="s">
        <v>72</v>
      </c>
      <c r="F50" s="49"/>
      <c r="G50" s="49"/>
      <c r="H50" s="50"/>
      <c r="I50" s="19"/>
      <c r="J50" s="19"/>
      <c r="K50" s="19"/>
      <c r="L50" s="19"/>
      <c r="M50" s="19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4"/>
      <c r="AE50" s="34"/>
      <c r="AF50" s="34"/>
      <c r="AG50" s="34"/>
      <c r="AH50" s="19"/>
      <c r="AI50" s="19"/>
      <c r="AJ50" s="19"/>
      <c r="AK50" s="19"/>
      <c r="AL50" s="19"/>
      <c r="AM50" s="19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79"/>
      <c r="BD50" s="79"/>
      <c r="BE50" s="79"/>
      <c r="BF50" s="79"/>
      <c r="BG50" s="19"/>
      <c r="BH50" s="19"/>
      <c r="BI50" s="19"/>
      <c r="BJ50" s="19"/>
      <c r="BK50" s="19"/>
      <c r="BL50" s="19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56" t="s">
        <v>72</v>
      </c>
      <c r="CC50" s="57"/>
      <c r="CD50" s="57"/>
      <c r="CE50" s="58"/>
      <c r="CF50" s="19"/>
      <c r="CG50" s="19"/>
      <c r="CH50" s="19"/>
      <c r="CI50" s="19"/>
      <c r="CJ50" s="19"/>
      <c r="CK50" s="19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56" t="s">
        <v>72</v>
      </c>
      <c r="DB50" s="57"/>
      <c r="DC50" s="57"/>
      <c r="DD50" s="58"/>
      <c r="DE50" s="19"/>
      <c r="DF50" s="19"/>
      <c r="DG50" s="19"/>
      <c r="DH50" s="19"/>
      <c r="DI50" s="19"/>
      <c r="DJ50" s="19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56" t="s">
        <v>72</v>
      </c>
      <c r="EA50" s="57"/>
      <c r="EB50" s="57"/>
      <c r="EC50" s="58"/>
      <c r="ED50" s="19"/>
      <c r="EE50" s="19"/>
      <c r="EF50" s="19"/>
      <c r="EG50" s="19"/>
      <c r="EH50" s="19"/>
      <c r="EI50" s="19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56" t="s">
        <v>72</v>
      </c>
      <c r="EZ50" s="57"/>
      <c r="FA50" s="57"/>
      <c r="FB50" s="58"/>
      <c r="FC50" s="19"/>
      <c r="FD50" s="19"/>
      <c r="FE50" s="19"/>
      <c r="FF50" s="19"/>
      <c r="FG50" s="19"/>
      <c r="FH50" s="19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</row>
    <row r="51" spans="1:175" ht="19.5" thickBot="1">
      <c r="A51" s="2"/>
      <c r="B51" s="2"/>
      <c r="C51" s="2"/>
      <c r="D51" s="2"/>
      <c r="E51" s="51"/>
      <c r="F51" s="52"/>
      <c r="G51" s="52"/>
      <c r="H51" s="53"/>
      <c r="I51" s="19"/>
      <c r="J51" s="19"/>
      <c r="K51" s="19"/>
      <c r="L51" s="19"/>
      <c r="M51" s="19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4"/>
      <c r="AE51" s="34"/>
      <c r="AF51" s="34"/>
      <c r="AG51" s="34"/>
      <c r="AH51" s="19"/>
      <c r="AI51" s="19"/>
      <c r="AJ51" s="19"/>
      <c r="AK51" s="19"/>
      <c r="AL51" s="19"/>
      <c r="AM51" s="19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79"/>
      <c r="BD51" s="79"/>
      <c r="BE51" s="79"/>
      <c r="BF51" s="79"/>
      <c r="BG51" s="19"/>
      <c r="BH51" s="19"/>
      <c r="BI51" s="19"/>
      <c r="BJ51" s="19"/>
      <c r="BK51" s="19"/>
      <c r="BL51" s="19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59"/>
      <c r="CC51" s="60"/>
      <c r="CD51" s="60"/>
      <c r="CE51" s="61"/>
      <c r="CF51" s="19"/>
      <c r="CG51" s="19"/>
      <c r="CH51" s="19"/>
      <c r="CI51" s="19"/>
      <c r="CJ51" s="19"/>
      <c r="CK51" s="19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59"/>
      <c r="DB51" s="60"/>
      <c r="DC51" s="60"/>
      <c r="DD51" s="61"/>
      <c r="DE51" s="19"/>
      <c r="DF51" s="19"/>
      <c r="DG51" s="19"/>
      <c r="DH51" s="19"/>
      <c r="DI51" s="19"/>
      <c r="DJ51" s="19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59"/>
      <c r="EA51" s="60"/>
      <c r="EB51" s="60"/>
      <c r="EC51" s="61"/>
      <c r="ED51" s="19"/>
      <c r="EE51" s="19"/>
      <c r="EF51" s="19"/>
      <c r="EG51" s="19"/>
      <c r="EH51" s="19"/>
      <c r="EI51" s="19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59"/>
      <c r="EZ51" s="60"/>
      <c r="FA51" s="60"/>
      <c r="FB51" s="61"/>
      <c r="FC51" s="19"/>
      <c r="FD51" s="19"/>
      <c r="FE51" s="19"/>
      <c r="FF51" s="19"/>
      <c r="FG51" s="19"/>
      <c r="FH51" s="19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ht="15.75">
      <c r="A52" s="2"/>
      <c r="B52" s="2"/>
      <c r="C52" s="2"/>
      <c r="D52" s="2"/>
      <c r="E52" s="54" t="s">
        <v>68</v>
      </c>
      <c r="F52" s="67">
        <f>F35+AE35+BD35+CC35+DB35+EA35+EZ35</f>
        <v>-35025.800000000003</v>
      </c>
      <c r="G52" s="80"/>
      <c r="H52" s="8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5"/>
      <c r="AE52" s="35"/>
      <c r="AF52" s="35"/>
      <c r="AG52" s="35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36"/>
      <c r="BD52" s="36"/>
      <c r="BE52" s="36"/>
      <c r="BF52" s="3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40" t="s">
        <v>68</v>
      </c>
      <c r="CC52" s="37"/>
      <c r="CD52" s="38"/>
      <c r="CE52" s="38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40" t="s">
        <v>68</v>
      </c>
      <c r="DB52" s="37"/>
      <c r="DC52" s="38"/>
      <c r="DD52" s="38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0" t="s">
        <v>68</v>
      </c>
      <c r="EA52" s="37"/>
      <c r="EB52" s="38"/>
      <c r="EC52" s="38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40" t="s">
        <v>68</v>
      </c>
      <c r="EZ52" s="37"/>
      <c r="FA52" s="38"/>
      <c r="FB52" s="38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</row>
    <row r="53" spans="1:175" ht="15.75">
      <c r="A53" s="2"/>
      <c r="B53" s="2"/>
      <c r="C53" s="2"/>
      <c r="D53" s="2"/>
      <c r="E53" s="54"/>
      <c r="F53" s="69"/>
      <c r="G53" s="81"/>
      <c r="H53" s="8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5"/>
      <c r="AE53" s="35"/>
      <c r="AF53" s="35"/>
      <c r="AG53" s="35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36"/>
      <c r="BD53" s="36"/>
      <c r="BE53" s="36"/>
      <c r="BF53" s="3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40"/>
      <c r="CC53" s="39"/>
      <c r="CD53" s="36"/>
      <c r="CE53" s="36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40"/>
      <c r="DB53" s="39"/>
      <c r="DC53" s="36"/>
      <c r="DD53" s="36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40"/>
      <c r="EA53" s="39"/>
      <c r="EB53" s="36"/>
      <c r="EC53" s="36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40"/>
      <c r="EZ53" s="39"/>
      <c r="FA53" s="36"/>
      <c r="FB53" s="36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</row>
    <row r="54" spans="1:175" ht="15.75">
      <c r="A54" s="2"/>
      <c r="B54" s="2"/>
      <c r="C54" s="2"/>
      <c r="D54" s="2"/>
      <c r="E54" s="54"/>
      <c r="F54" s="69"/>
      <c r="G54" s="81"/>
      <c r="H54" s="8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5"/>
      <c r="AE54" s="35"/>
      <c r="AF54" s="35"/>
      <c r="AG54" s="35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6"/>
      <c r="BD54" s="36"/>
      <c r="BE54" s="36"/>
      <c r="BF54" s="3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40"/>
      <c r="CC54" s="39"/>
      <c r="CD54" s="36"/>
      <c r="CE54" s="36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40"/>
      <c r="DB54" s="39"/>
      <c r="DC54" s="36"/>
      <c r="DD54" s="36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40"/>
      <c r="EA54" s="39"/>
      <c r="EB54" s="36"/>
      <c r="EC54" s="36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40"/>
      <c r="EZ54" s="39"/>
      <c r="FA54" s="36"/>
      <c r="FB54" s="36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</row>
    <row r="55" spans="1:175" ht="16.5" thickBot="1">
      <c r="A55" s="2"/>
      <c r="B55" s="2"/>
      <c r="C55" s="2"/>
      <c r="D55" s="2"/>
      <c r="E55" s="55"/>
      <c r="F55" s="69"/>
      <c r="G55" s="81"/>
      <c r="H55" s="8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5"/>
      <c r="AE55" s="35"/>
      <c r="AF55" s="35"/>
      <c r="AG55" s="35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36"/>
      <c r="BD55" s="36"/>
      <c r="BE55" s="36"/>
      <c r="BF55" s="3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41"/>
      <c r="CC55" s="39"/>
      <c r="CD55" s="36"/>
      <c r="CE55" s="36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41"/>
      <c r="DB55" s="39"/>
      <c r="DC55" s="36"/>
      <c r="DD55" s="36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41"/>
      <c r="EA55" s="39"/>
      <c r="EB55" s="36"/>
      <c r="EC55" s="36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41"/>
      <c r="EZ55" s="39"/>
      <c r="FA55" s="36"/>
      <c r="FB55" s="36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</row>
    <row r="56" spans="1:175" ht="15.75">
      <c r="A56" s="2"/>
      <c r="B56" s="2"/>
      <c r="C56" s="2"/>
      <c r="D56" s="2"/>
      <c r="E56" s="54" t="s">
        <v>70</v>
      </c>
      <c r="F56" s="67">
        <f>D39+AC39+BB39+CA39+CZ39+DY39+EX39</f>
        <v>43080.800000000003</v>
      </c>
      <c r="G56" s="80"/>
      <c r="H56" s="8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5"/>
      <c r="AE56" s="35"/>
      <c r="AF56" s="35"/>
      <c r="AG56" s="35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36"/>
      <c r="BD56" s="36"/>
      <c r="BE56" s="36"/>
      <c r="BF56" s="3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40" t="s">
        <v>70</v>
      </c>
      <c r="CC56" s="37"/>
      <c r="CD56" s="38"/>
      <c r="CE56" s="38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40" t="s">
        <v>70</v>
      </c>
      <c r="DB56" s="37"/>
      <c r="DC56" s="38"/>
      <c r="DD56" s="38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40" t="s">
        <v>70</v>
      </c>
      <c r="EA56" s="37"/>
      <c r="EB56" s="38"/>
      <c r="EC56" s="38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40" t="s">
        <v>70</v>
      </c>
      <c r="EZ56" s="37"/>
      <c r="FA56" s="38"/>
      <c r="FB56" s="38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</row>
    <row r="57" spans="1:175" ht="15.75">
      <c r="A57" s="2"/>
      <c r="B57" s="2"/>
      <c r="C57" s="2"/>
      <c r="D57" s="2"/>
      <c r="E57" s="54"/>
      <c r="F57" s="69"/>
      <c r="G57" s="81"/>
      <c r="H57" s="8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5"/>
      <c r="AE57" s="35"/>
      <c r="AF57" s="35"/>
      <c r="AG57" s="35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36"/>
      <c r="BD57" s="36"/>
      <c r="BE57" s="36"/>
      <c r="BF57" s="3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40"/>
      <c r="CC57" s="39"/>
      <c r="CD57" s="36"/>
      <c r="CE57" s="36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40"/>
      <c r="DB57" s="39"/>
      <c r="DC57" s="36"/>
      <c r="DD57" s="36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40"/>
      <c r="EA57" s="39"/>
      <c r="EB57" s="36"/>
      <c r="EC57" s="36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40"/>
      <c r="EZ57" s="39"/>
      <c r="FA57" s="36"/>
      <c r="FB57" s="36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</row>
    <row r="58" spans="1:175" ht="15.75">
      <c r="A58" s="2"/>
      <c r="B58" s="2"/>
      <c r="C58" s="2"/>
      <c r="D58" s="2"/>
      <c r="E58" s="54"/>
      <c r="F58" s="69"/>
      <c r="G58" s="81"/>
      <c r="H58" s="8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5"/>
      <c r="AE58" s="35"/>
      <c r="AF58" s="35"/>
      <c r="AG58" s="35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36"/>
      <c r="BD58" s="36"/>
      <c r="BE58" s="36"/>
      <c r="BF58" s="3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40"/>
      <c r="CC58" s="39"/>
      <c r="CD58" s="36"/>
      <c r="CE58" s="36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40"/>
      <c r="DB58" s="39"/>
      <c r="DC58" s="36"/>
      <c r="DD58" s="36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40"/>
      <c r="EA58" s="39"/>
      <c r="EB58" s="36"/>
      <c r="EC58" s="36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40"/>
      <c r="EZ58" s="39"/>
      <c r="FA58" s="36"/>
      <c r="FB58" s="36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</row>
    <row r="59" spans="1:175" ht="16.5" thickBot="1">
      <c r="A59" s="2"/>
      <c r="B59" s="2"/>
      <c r="C59" s="2"/>
      <c r="D59" s="2"/>
      <c r="E59" s="55"/>
      <c r="F59" s="69"/>
      <c r="G59" s="81"/>
      <c r="H59" s="8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5"/>
      <c r="AE59" s="35"/>
      <c r="AF59" s="35"/>
      <c r="AG59" s="35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36"/>
      <c r="BD59" s="36"/>
      <c r="BE59" s="36"/>
      <c r="BF59" s="3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41"/>
      <c r="CC59" s="39"/>
      <c r="CD59" s="36"/>
      <c r="CE59" s="36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41"/>
      <c r="DB59" s="39"/>
      <c r="DC59" s="36"/>
      <c r="DD59" s="36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41"/>
      <c r="EA59" s="39"/>
      <c r="EB59" s="36"/>
      <c r="EC59" s="36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41"/>
      <c r="EZ59" s="39"/>
      <c r="FA59" s="36"/>
      <c r="FB59" s="36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</row>
    <row r="60" spans="1:175" ht="15.75">
      <c r="A60" s="2"/>
      <c r="B60" s="2"/>
      <c r="C60" s="2"/>
      <c r="D60" s="2"/>
      <c r="E60" s="54" t="s">
        <v>73</v>
      </c>
      <c r="F60" s="67">
        <f>F56-F52</f>
        <v>78106.600000000006</v>
      </c>
      <c r="G60" s="80"/>
      <c r="H60" s="8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5"/>
      <c r="AE60" s="35"/>
      <c r="AF60" s="35"/>
      <c r="AG60" s="35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36"/>
      <c r="BD60" s="36"/>
      <c r="BE60" s="36"/>
      <c r="BF60" s="3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40" t="s">
        <v>73</v>
      </c>
      <c r="CC60" s="37"/>
      <c r="CD60" s="38"/>
      <c r="CE60" s="38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40" t="s">
        <v>73</v>
      </c>
      <c r="DB60" s="37"/>
      <c r="DC60" s="38"/>
      <c r="DD60" s="38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40" t="s">
        <v>73</v>
      </c>
      <c r="EA60" s="37"/>
      <c r="EB60" s="38"/>
      <c r="EC60" s="38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40" t="s">
        <v>73</v>
      </c>
      <c r="EZ60" s="37"/>
      <c r="FA60" s="38"/>
      <c r="FB60" s="38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</row>
    <row r="61" spans="1:175" ht="15.75">
      <c r="A61" s="2"/>
      <c r="B61" s="2"/>
      <c r="C61" s="2"/>
      <c r="D61" s="2"/>
      <c r="E61" s="54"/>
      <c r="F61" s="69"/>
      <c r="G61" s="81"/>
      <c r="H61" s="8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5"/>
      <c r="AE61" s="35"/>
      <c r="AF61" s="35"/>
      <c r="AG61" s="35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36"/>
      <c r="BD61" s="36"/>
      <c r="BE61" s="36"/>
      <c r="BF61" s="3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40"/>
      <c r="CC61" s="39"/>
      <c r="CD61" s="36"/>
      <c r="CE61" s="36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40"/>
      <c r="DB61" s="39"/>
      <c r="DC61" s="36"/>
      <c r="DD61" s="36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40"/>
      <c r="EA61" s="39"/>
      <c r="EB61" s="36"/>
      <c r="EC61" s="36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40"/>
      <c r="EZ61" s="39"/>
      <c r="FA61" s="36"/>
      <c r="FB61" s="36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</row>
    <row r="62" spans="1:175" ht="15.75">
      <c r="A62" s="2"/>
      <c r="B62" s="2"/>
      <c r="C62" s="2"/>
      <c r="D62" s="2"/>
      <c r="E62" s="54"/>
      <c r="F62" s="69"/>
      <c r="G62" s="81"/>
      <c r="H62" s="8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5"/>
      <c r="AE62" s="35"/>
      <c r="AF62" s="35"/>
      <c r="AG62" s="35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36"/>
      <c r="BD62" s="36"/>
      <c r="BE62" s="36"/>
      <c r="BF62" s="3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40"/>
      <c r="CC62" s="39"/>
      <c r="CD62" s="36"/>
      <c r="CE62" s="36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40"/>
      <c r="DB62" s="39"/>
      <c r="DC62" s="36"/>
      <c r="DD62" s="36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40"/>
      <c r="EA62" s="39"/>
      <c r="EB62" s="36"/>
      <c r="EC62" s="36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40"/>
      <c r="EZ62" s="39"/>
      <c r="FA62" s="36"/>
      <c r="FB62" s="36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</row>
    <row r="63" spans="1:175" ht="16.5" thickBot="1">
      <c r="A63" s="2"/>
      <c r="B63" s="2"/>
      <c r="C63" s="2"/>
      <c r="D63" s="2"/>
      <c r="E63" s="55"/>
      <c r="F63" s="69"/>
      <c r="G63" s="81"/>
      <c r="H63" s="8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5"/>
      <c r="AE63" s="35"/>
      <c r="AF63" s="35"/>
      <c r="AG63" s="35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36"/>
      <c r="BD63" s="36"/>
      <c r="BE63" s="36"/>
      <c r="BF63" s="3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41"/>
      <c r="CC63" s="39"/>
      <c r="CD63" s="36"/>
      <c r="CE63" s="36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41"/>
      <c r="DB63" s="39"/>
      <c r="DC63" s="36"/>
      <c r="DD63" s="36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41"/>
      <c r="EA63" s="39"/>
      <c r="EB63" s="36"/>
      <c r="EC63" s="36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41"/>
      <c r="EZ63" s="39"/>
      <c r="FA63" s="36"/>
      <c r="FB63" s="36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</row>
    <row r="64" spans="1:175" ht="15.75">
      <c r="A64" s="2"/>
      <c r="B64" s="2"/>
      <c r="C64" s="2"/>
      <c r="D64" s="2"/>
      <c r="E64" s="54" t="s">
        <v>74</v>
      </c>
      <c r="F64" s="67">
        <f>(F60)/7700</f>
        <v>10.143714285714287</v>
      </c>
      <c r="G64" s="80"/>
      <c r="H64" s="8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5"/>
      <c r="AF64" s="35"/>
      <c r="AG64" s="35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36"/>
      <c r="BD64" s="36"/>
      <c r="BE64" s="36"/>
      <c r="BF64" s="3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40" t="s">
        <v>74</v>
      </c>
      <c r="CC64" s="37"/>
      <c r="CD64" s="38"/>
      <c r="CE64" s="38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40" t="s">
        <v>74</v>
      </c>
      <c r="DB64" s="37"/>
      <c r="DC64" s="38"/>
      <c r="DD64" s="38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40" t="s">
        <v>74</v>
      </c>
      <c r="EA64" s="37"/>
      <c r="EB64" s="38"/>
      <c r="EC64" s="38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40" t="s">
        <v>74</v>
      </c>
      <c r="EZ64" s="37"/>
      <c r="FA64" s="38"/>
      <c r="FB64" s="38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</row>
    <row r="65" spans="1:175" ht="15.75">
      <c r="A65" s="2"/>
      <c r="B65" s="2"/>
      <c r="C65" s="2"/>
      <c r="D65" s="2"/>
      <c r="E65" s="54"/>
      <c r="F65" s="69"/>
      <c r="G65" s="81"/>
      <c r="H65" s="8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5"/>
      <c r="AE65" s="35"/>
      <c r="AF65" s="35"/>
      <c r="AG65" s="35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36"/>
      <c r="BD65" s="36"/>
      <c r="BE65" s="36"/>
      <c r="BF65" s="3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40"/>
      <c r="CC65" s="39"/>
      <c r="CD65" s="36"/>
      <c r="CE65" s="36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40"/>
      <c r="DB65" s="39"/>
      <c r="DC65" s="36"/>
      <c r="DD65" s="36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40"/>
      <c r="EA65" s="39"/>
      <c r="EB65" s="36"/>
      <c r="EC65" s="36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40"/>
      <c r="EZ65" s="39"/>
      <c r="FA65" s="36"/>
      <c r="FB65" s="36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</row>
    <row r="66" spans="1:175" ht="15.75">
      <c r="A66" s="2"/>
      <c r="B66" s="2"/>
      <c r="C66" s="2"/>
      <c r="D66" s="2"/>
      <c r="E66" s="54"/>
      <c r="F66" s="69"/>
      <c r="G66" s="81"/>
      <c r="H66" s="8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5"/>
      <c r="AE66" s="35"/>
      <c r="AF66" s="35"/>
      <c r="AG66" s="35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36"/>
      <c r="BD66" s="36"/>
      <c r="BE66" s="36"/>
      <c r="BF66" s="3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40"/>
      <c r="CC66" s="39"/>
      <c r="CD66" s="36"/>
      <c r="CE66" s="36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40"/>
      <c r="DB66" s="39"/>
      <c r="DC66" s="36"/>
      <c r="DD66" s="36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40"/>
      <c r="EA66" s="39"/>
      <c r="EB66" s="36"/>
      <c r="EC66" s="36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40"/>
      <c r="EZ66" s="39"/>
      <c r="FA66" s="36"/>
      <c r="FB66" s="36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</row>
    <row r="67" spans="1:175" ht="16.5" thickBot="1">
      <c r="A67" s="2"/>
      <c r="B67" s="2"/>
      <c r="C67" s="2"/>
      <c r="D67" s="2"/>
      <c r="E67" s="55"/>
      <c r="F67" s="69"/>
      <c r="G67" s="81"/>
      <c r="H67" s="8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5"/>
      <c r="AE67" s="35"/>
      <c r="AF67" s="35"/>
      <c r="AG67" s="35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36"/>
      <c r="BD67" s="36"/>
      <c r="BE67" s="36"/>
      <c r="BF67" s="3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41"/>
      <c r="CC67" s="39"/>
      <c r="CD67" s="36"/>
      <c r="CE67" s="36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41"/>
      <c r="DB67" s="39"/>
      <c r="DC67" s="36"/>
      <c r="DD67" s="36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41"/>
      <c r="EA67" s="39"/>
      <c r="EB67" s="36"/>
      <c r="EC67" s="36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41"/>
      <c r="EZ67" s="39"/>
      <c r="FA67" s="36"/>
      <c r="FB67" s="36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</row>
    <row r="68" spans="1:175">
      <c r="A68" s="2"/>
      <c r="B68" s="2"/>
      <c r="C68" s="2"/>
      <c r="D68" s="2"/>
      <c r="E68" s="54" t="s">
        <v>84</v>
      </c>
      <c r="F68" s="67">
        <f>D3-F64</f>
        <v>87.856285714285718</v>
      </c>
      <c r="G68" s="80"/>
      <c r="H68" s="8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36"/>
      <c r="BD68" s="36"/>
      <c r="BE68" s="36"/>
      <c r="BF68" s="3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40" t="s">
        <v>75</v>
      </c>
      <c r="CC68" s="37"/>
      <c r="CD68" s="38"/>
      <c r="CE68" s="38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40" t="s">
        <v>75</v>
      </c>
      <c r="DB68" s="37"/>
      <c r="DC68" s="38"/>
      <c r="DD68" s="38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40" t="s">
        <v>75</v>
      </c>
      <c r="EA68" s="37"/>
      <c r="EB68" s="38"/>
      <c r="EC68" s="38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40" t="s">
        <v>75</v>
      </c>
      <c r="EZ68" s="37"/>
      <c r="FA68" s="38"/>
      <c r="FB68" s="38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</row>
    <row r="69" spans="1:175">
      <c r="A69" s="2"/>
      <c r="B69" s="2"/>
      <c r="C69" s="2"/>
      <c r="D69" s="2"/>
      <c r="E69" s="54"/>
      <c r="F69" s="69"/>
      <c r="G69" s="81"/>
      <c r="H69" s="8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36"/>
      <c r="BD69" s="36"/>
      <c r="BE69" s="36"/>
      <c r="BF69" s="3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40"/>
      <c r="CC69" s="39"/>
      <c r="CD69" s="36"/>
      <c r="CE69" s="36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40"/>
      <c r="DB69" s="39"/>
      <c r="DC69" s="36"/>
      <c r="DD69" s="36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40"/>
      <c r="EA69" s="39"/>
      <c r="EB69" s="36"/>
      <c r="EC69" s="36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40"/>
      <c r="EZ69" s="39"/>
      <c r="FA69" s="36"/>
      <c r="FB69" s="36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</row>
    <row r="70" spans="1:175">
      <c r="A70" s="2"/>
      <c r="B70" s="2"/>
      <c r="C70" s="2"/>
      <c r="D70" s="2"/>
      <c r="E70" s="54"/>
      <c r="F70" s="69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36"/>
      <c r="BD70" s="36"/>
      <c r="BE70" s="36"/>
      <c r="BF70" s="3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40"/>
      <c r="CC70" s="39"/>
      <c r="CD70" s="36"/>
      <c r="CE70" s="36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40"/>
      <c r="DB70" s="39"/>
      <c r="DC70" s="36"/>
      <c r="DD70" s="36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40"/>
      <c r="EA70" s="39"/>
      <c r="EB70" s="36"/>
      <c r="EC70" s="36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40"/>
      <c r="EZ70" s="39"/>
      <c r="FA70" s="36"/>
      <c r="FB70" s="36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</row>
    <row r="71" spans="1:175" ht="15.75" thickBot="1">
      <c r="A71" s="2"/>
      <c r="B71" s="2"/>
      <c r="C71" s="2"/>
      <c r="D71" s="2"/>
      <c r="E71" s="55"/>
      <c r="F71" s="69"/>
      <c r="G71" s="81"/>
      <c r="H71" s="8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36"/>
      <c r="BD71" s="36"/>
      <c r="BE71" s="36"/>
      <c r="BF71" s="3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41"/>
      <c r="CC71" s="39"/>
      <c r="CD71" s="36"/>
      <c r="CE71" s="36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41"/>
      <c r="DB71" s="39"/>
      <c r="DC71" s="36"/>
      <c r="DD71" s="36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41"/>
      <c r="EA71" s="39"/>
      <c r="EB71" s="36"/>
      <c r="EC71" s="36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41"/>
      <c r="EZ71" s="39"/>
      <c r="FA71" s="36"/>
      <c r="FB71" s="36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</row>
    <row r="72" spans="1:175">
      <c r="A72" s="2"/>
      <c r="B72" s="2"/>
      <c r="C72" s="2"/>
      <c r="D72" s="2"/>
      <c r="E72" s="54" t="s">
        <v>85</v>
      </c>
      <c r="F72" s="67">
        <f>148.95/(1.6^2)</f>
        <v>58.183593749999986</v>
      </c>
      <c r="G72" s="80"/>
      <c r="H72" s="8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6"/>
      <c r="BD72" s="36"/>
      <c r="BE72" s="36"/>
      <c r="BF72" s="3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40" t="s">
        <v>76</v>
      </c>
      <c r="CC72" s="37"/>
      <c r="CD72" s="38"/>
      <c r="CE72" s="38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40" t="s">
        <v>76</v>
      </c>
      <c r="DB72" s="37"/>
      <c r="DC72" s="38"/>
      <c r="DD72" s="38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40" t="s">
        <v>76</v>
      </c>
      <c r="EA72" s="37"/>
      <c r="EB72" s="38"/>
      <c r="EC72" s="38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40" t="s">
        <v>76</v>
      </c>
      <c r="EZ72" s="37"/>
      <c r="FA72" s="38"/>
      <c r="FB72" s="38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</row>
    <row r="73" spans="1:175">
      <c r="A73" s="2"/>
      <c r="B73" s="2"/>
      <c r="C73" s="2"/>
      <c r="D73" s="2"/>
      <c r="E73" s="54"/>
      <c r="F73" s="69"/>
      <c r="G73" s="81"/>
      <c r="H73" s="8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6"/>
      <c r="BD73" s="36"/>
      <c r="BE73" s="36"/>
      <c r="BF73" s="3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40"/>
      <c r="CC73" s="39"/>
      <c r="CD73" s="36"/>
      <c r="CE73" s="36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40"/>
      <c r="DB73" s="39"/>
      <c r="DC73" s="36"/>
      <c r="DD73" s="36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40"/>
      <c r="EA73" s="39"/>
      <c r="EB73" s="36"/>
      <c r="EC73" s="36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40"/>
      <c r="EZ73" s="39"/>
      <c r="FA73" s="36"/>
      <c r="FB73" s="36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</row>
    <row r="74" spans="1:175">
      <c r="A74" s="2"/>
      <c r="B74" s="2"/>
      <c r="C74" s="2"/>
      <c r="D74" s="2"/>
      <c r="E74" s="54"/>
      <c r="F74" s="69"/>
      <c r="G74" s="81"/>
      <c r="H74" s="8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6"/>
      <c r="BD74" s="36"/>
      <c r="BE74" s="36"/>
      <c r="BF74" s="3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40"/>
      <c r="CC74" s="39"/>
      <c r="CD74" s="36"/>
      <c r="CE74" s="36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40"/>
      <c r="DB74" s="39"/>
      <c r="DC74" s="36"/>
      <c r="DD74" s="36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40"/>
      <c r="EA74" s="39"/>
      <c r="EB74" s="36"/>
      <c r="EC74" s="36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40"/>
      <c r="EZ74" s="39"/>
      <c r="FA74" s="36"/>
      <c r="FB74" s="36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</row>
    <row r="75" spans="1:175" ht="15.75" thickBot="1">
      <c r="A75" s="2"/>
      <c r="B75" s="2"/>
      <c r="C75" s="2"/>
      <c r="D75" s="2"/>
      <c r="E75" s="55"/>
      <c r="F75" s="69"/>
      <c r="G75" s="81"/>
      <c r="H75" s="8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6"/>
      <c r="BD75" s="36"/>
      <c r="BE75" s="36"/>
      <c r="BF75" s="3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41"/>
      <c r="CC75" s="39"/>
      <c r="CD75" s="36"/>
      <c r="CE75" s="36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41"/>
      <c r="DB75" s="39"/>
      <c r="DC75" s="36"/>
      <c r="DD75" s="36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41"/>
      <c r="EA75" s="39"/>
      <c r="EB75" s="36"/>
      <c r="EC75" s="36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41"/>
      <c r="EZ75" s="39"/>
      <c r="FA75" s="36"/>
      <c r="FB75" s="36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</row>
    <row r="76" spans="1:1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</row>
    <row r="77" spans="1:1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</row>
    <row r="78" spans="1:1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</row>
  </sheetData>
  <mergeCells count="253">
    <mergeCell ref="DA72:DA75"/>
    <mergeCell ref="DB72:DD75"/>
    <mergeCell ref="DZ72:DZ75"/>
    <mergeCell ref="EA72:EC75"/>
    <mergeCell ref="EY72:EY75"/>
    <mergeCell ref="EZ72:FB75"/>
    <mergeCell ref="E72:E75"/>
    <mergeCell ref="F72:H75"/>
    <mergeCell ref="BC72:BC75"/>
    <mergeCell ref="BD72:BF75"/>
    <mergeCell ref="CB72:CB75"/>
    <mergeCell ref="CC72:CE75"/>
    <mergeCell ref="DA68:DA71"/>
    <mergeCell ref="DB68:DD71"/>
    <mergeCell ref="DZ68:DZ71"/>
    <mergeCell ref="EA68:EC71"/>
    <mergeCell ref="EY68:EY71"/>
    <mergeCell ref="EZ68:FB71"/>
    <mergeCell ref="E68:E71"/>
    <mergeCell ref="F68:H71"/>
    <mergeCell ref="BC68:BC71"/>
    <mergeCell ref="BD68:BF71"/>
    <mergeCell ref="CB68:CB71"/>
    <mergeCell ref="CC68:CE71"/>
    <mergeCell ref="DA64:DA67"/>
    <mergeCell ref="DB64:DD67"/>
    <mergeCell ref="DZ64:DZ67"/>
    <mergeCell ref="EA64:EC67"/>
    <mergeCell ref="EY64:EY67"/>
    <mergeCell ref="EZ64:FB67"/>
    <mergeCell ref="E64:E67"/>
    <mergeCell ref="F64:H67"/>
    <mergeCell ref="BC64:BC67"/>
    <mergeCell ref="BD64:BF67"/>
    <mergeCell ref="CB64:CB67"/>
    <mergeCell ref="CC64:CE67"/>
    <mergeCell ref="DA60:DA63"/>
    <mergeCell ref="DB60:DD63"/>
    <mergeCell ref="DZ60:DZ63"/>
    <mergeCell ref="EA60:EC63"/>
    <mergeCell ref="EY60:EY63"/>
    <mergeCell ref="EZ60:FB63"/>
    <mergeCell ref="E60:E63"/>
    <mergeCell ref="F60:H63"/>
    <mergeCell ref="BC60:BC63"/>
    <mergeCell ref="BD60:BF63"/>
    <mergeCell ref="CB60:CB63"/>
    <mergeCell ref="CC60:CE63"/>
    <mergeCell ref="DA56:DA59"/>
    <mergeCell ref="DB56:DD59"/>
    <mergeCell ref="DZ56:DZ59"/>
    <mergeCell ref="EA56:EC59"/>
    <mergeCell ref="EY56:EY59"/>
    <mergeCell ref="EZ56:FB59"/>
    <mergeCell ref="E56:E59"/>
    <mergeCell ref="F56:H59"/>
    <mergeCell ref="BC56:BC59"/>
    <mergeCell ref="BD56:BF59"/>
    <mergeCell ref="CB56:CB59"/>
    <mergeCell ref="CC56:CE59"/>
    <mergeCell ref="DA52:DA55"/>
    <mergeCell ref="DB52:DD55"/>
    <mergeCell ref="DZ52:DZ55"/>
    <mergeCell ref="EA52:EC55"/>
    <mergeCell ref="EY52:EY55"/>
    <mergeCell ref="EZ52:FB55"/>
    <mergeCell ref="E52:E55"/>
    <mergeCell ref="F52:H55"/>
    <mergeCell ref="BC52:BC55"/>
    <mergeCell ref="BD52:BF55"/>
    <mergeCell ref="CB52:CB55"/>
    <mergeCell ref="CC52:CE55"/>
    <mergeCell ref="EZ39:EZ42"/>
    <mergeCell ref="E50:H51"/>
    <mergeCell ref="BC50:BF51"/>
    <mergeCell ref="CB50:CE51"/>
    <mergeCell ref="DA50:DD51"/>
    <mergeCell ref="DZ50:EC51"/>
    <mergeCell ref="EY50:FB51"/>
    <mergeCell ref="DY39:DY42"/>
    <mergeCell ref="DZ39:DZ42"/>
    <mergeCell ref="EA39:EA42"/>
    <mergeCell ref="EW39:EW42"/>
    <mergeCell ref="EX39:EX42"/>
    <mergeCell ref="EY39:EY42"/>
    <mergeCell ref="CC39:CC42"/>
    <mergeCell ref="CY39:CY42"/>
    <mergeCell ref="CZ39:CZ42"/>
    <mergeCell ref="DA39:DA42"/>
    <mergeCell ref="DB39:DB42"/>
    <mergeCell ref="DX39:DX42"/>
    <mergeCell ref="BB39:BB42"/>
    <mergeCell ref="BC39:BC42"/>
    <mergeCell ref="BD39:BD42"/>
    <mergeCell ref="BZ39:BZ42"/>
    <mergeCell ref="CA39:CA42"/>
    <mergeCell ref="CB39:CB42"/>
    <mergeCell ref="EZ35:EZ38"/>
    <mergeCell ref="C39:C42"/>
    <mergeCell ref="D39:D42"/>
    <mergeCell ref="E39:E42"/>
    <mergeCell ref="F39:F42"/>
    <mergeCell ref="AB39:AB42"/>
    <mergeCell ref="AC39:AC42"/>
    <mergeCell ref="AD39:AD42"/>
    <mergeCell ref="AE39:AE42"/>
    <mergeCell ref="BA39:BA42"/>
    <mergeCell ref="DY35:DY38"/>
    <mergeCell ref="DZ35:DZ38"/>
    <mergeCell ref="EA35:EA38"/>
    <mergeCell ref="EW35:EW38"/>
    <mergeCell ref="EX35:EX38"/>
    <mergeCell ref="EY35:EY38"/>
    <mergeCell ref="CC35:CC38"/>
    <mergeCell ref="CY35:CY38"/>
    <mergeCell ref="CZ35:CZ38"/>
    <mergeCell ref="DA35:DA38"/>
    <mergeCell ref="DB35:DB38"/>
    <mergeCell ref="DX35:DX38"/>
    <mergeCell ref="BB35:BB38"/>
    <mergeCell ref="BC35:BC38"/>
    <mergeCell ref="BD35:BD38"/>
    <mergeCell ref="BZ35:BZ38"/>
    <mergeCell ref="CA35:CA38"/>
    <mergeCell ref="CB35:CB38"/>
    <mergeCell ref="EW33:EZ34"/>
    <mergeCell ref="C35:C38"/>
    <mergeCell ref="D35:D38"/>
    <mergeCell ref="E35:E38"/>
    <mergeCell ref="F35:F38"/>
    <mergeCell ref="AB35:AB38"/>
    <mergeCell ref="AC35:AC38"/>
    <mergeCell ref="AD35:AD38"/>
    <mergeCell ref="AE35:AE38"/>
    <mergeCell ref="BA35:BA38"/>
    <mergeCell ref="EU19:EV22"/>
    <mergeCell ref="EW19:EW22"/>
    <mergeCell ref="EX19:EY22"/>
    <mergeCell ref="EZ19:EZ22"/>
    <mergeCell ref="C33:F34"/>
    <mergeCell ref="AB33:AE34"/>
    <mergeCell ref="BA33:BD34"/>
    <mergeCell ref="BZ33:CC34"/>
    <mergeCell ref="CY33:DB34"/>
    <mergeCell ref="DX33:EA34"/>
    <mergeCell ref="CZ19:DA22"/>
    <mergeCell ref="DB19:DB22"/>
    <mergeCell ref="DV19:DW22"/>
    <mergeCell ref="DX19:DX22"/>
    <mergeCell ref="DY19:DZ22"/>
    <mergeCell ref="EA19:EA22"/>
    <mergeCell ref="BX19:BY22"/>
    <mergeCell ref="BZ19:BZ22"/>
    <mergeCell ref="CA19:CB22"/>
    <mergeCell ref="CC19:CC22"/>
    <mergeCell ref="CW19:CX22"/>
    <mergeCell ref="CY19:CY22"/>
    <mergeCell ref="AC19:AD22"/>
    <mergeCell ref="AE19:AE22"/>
    <mergeCell ref="AY19:AZ22"/>
    <mergeCell ref="BA19:BA22"/>
    <mergeCell ref="BB19:BC22"/>
    <mergeCell ref="BD19:BD22"/>
    <mergeCell ref="EU15:EV18"/>
    <mergeCell ref="EW15:EW18"/>
    <mergeCell ref="EX15:EY18"/>
    <mergeCell ref="EZ15:EZ18"/>
    <mergeCell ref="A19:B22"/>
    <mergeCell ref="C19:C22"/>
    <mergeCell ref="D19:E22"/>
    <mergeCell ref="F19:F22"/>
    <mergeCell ref="Z19:AA22"/>
    <mergeCell ref="AB19:AB22"/>
    <mergeCell ref="CZ15:DA18"/>
    <mergeCell ref="DB15:DB18"/>
    <mergeCell ref="DV15:DW18"/>
    <mergeCell ref="DX15:DX18"/>
    <mergeCell ref="DY15:DZ18"/>
    <mergeCell ref="EA15:EA18"/>
    <mergeCell ref="BX15:BY18"/>
    <mergeCell ref="BZ15:BZ18"/>
    <mergeCell ref="CA15:CB18"/>
    <mergeCell ref="CC15:CC18"/>
    <mergeCell ref="CW15:CX18"/>
    <mergeCell ref="CY15:CY18"/>
    <mergeCell ref="AC15:AD18"/>
    <mergeCell ref="AE15:AE18"/>
    <mergeCell ref="AY15:AZ18"/>
    <mergeCell ref="BA15:BA18"/>
    <mergeCell ref="BB15:BC18"/>
    <mergeCell ref="BD15:BD18"/>
    <mergeCell ref="EU11:EV14"/>
    <mergeCell ref="BA11:BA14"/>
    <mergeCell ref="BB11:BC14"/>
    <mergeCell ref="BD11:BD14"/>
    <mergeCell ref="BB3:BB4"/>
    <mergeCell ref="DV9:EA10"/>
    <mergeCell ref="EW11:EW14"/>
    <mergeCell ref="EX11:EY14"/>
    <mergeCell ref="EZ11:EZ14"/>
    <mergeCell ref="A15:B18"/>
    <mergeCell ref="C15:C18"/>
    <mergeCell ref="D15:E18"/>
    <mergeCell ref="F15:F18"/>
    <mergeCell ref="Z15:AA18"/>
    <mergeCell ref="AB15:AB18"/>
    <mergeCell ref="CZ11:DA14"/>
    <mergeCell ref="DB11:DB14"/>
    <mergeCell ref="DV11:DW14"/>
    <mergeCell ref="DX11:DX14"/>
    <mergeCell ref="DY11:DZ14"/>
    <mergeCell ref="EA11:EA14"/>
    <mergeCell ref="BX11:BY14"/>
    <mergeCell ref="BZ11:BZ14"/>
    <mergeCell ref="CA11:CB14"/>
    <mergeCell ref="CC11:CC14"/>
    <mergeCell ref="CW11:CX14"/>
    <mergeCell ref="CY11:CY14"/>
    <mergeCell ref="AC11:AD14"/>
    <mergeCell ref="A11:B14"/>
    <mergeCell ref="C11:C14"/>
    <mergeCell ref="D11:E14"/>
    <mergeCell ref="F11:F14"/>
    <mergeCell ref="Z11:AA14"/>
    <mergeCell ref="AB11:AB14"/>
    <mergeCell ref="CW9:DB10"/>
    <mergeCell ref="DE9:DN10"/>
    <mergeCell ref="AY11:AZ14"/>
    <mergeCell ref="AE11:AE14"/>
    <mergeCell ref="ED9:EM10"/>
    <mergeCell ref="EU9:EZ10"/>
    <mergeCell ref="FC9:FL10"/>
    <mergeCell ref="EV3:EW4"/>
    <mergeCell ref="EX3:EX4"/>
    <mergeCell ref="A9:F10"/>
    <mergeCell ref="I9:R10"/>
    <mergeCell ref="Z9:AE10"/>
    <mergeCell ref="AH9:AQ10"/>
    <mergeCell ref="AY9:BD10"/>
    <mergeCell ref="BG9:BP10"/>
    <mergeCell ref="BX9:CC10"/>
    <mergeCell ref="CF9:CO10"/>
    <mergeCell ref="BY3:BZ4"/>
    <mergeCell ref="CA3:CA4"/>
    <mergeCell ref="CX3:CY4"/>
    <mergeCell ref="CZ3:CZ4"/>
    <mergeCell ref="DW3:DX4"/>
    <mergeCell ref="DY3:DY4"/>
    <mergeCell ref="B3:C4"/>
    <mergeCell ref="D3:D4"/>
    <mergeCell ref="AA3:AB4"/>
    <mergeCell ref="AC3:AC4"/>
    <mergeCell ref="AZ3:BA4"/>
  </mergeCells>
  <conditionalFormatting sqref="F39:F42">
    <cfRule type="containsText" dxfId="13" priority="13" operator="containsText" text="Bad shape">
      <formula>NOT(ISERROR(SEARCH("Bad shape",F39)))</formula>
    </cfRule>
    <cfRule type="containsText" dxfId="12" priority="14" operator="containsText" text="Fit shape">
      <formula>NOT(ISERROR(SEARCH("Fit shape",F39)))</formula>
    </cfRule>
  </conditionalFormatting>
  <conditionalFormatting sqref="AE39:AE42">
    <cfRule type="containsText" dxfId="11" priority="11" operator="containsText" text="Bad shape">
      <formula>NOT(ISERROR(SEARCH("Bad shape",AE39)))</formula>
    </cfRule>
    <cfRule type="containsText" dxfId="10" priority="12" operator="containsText" text="Fit shape">
      <formula>NOT(ISERROR(SEARCH("Fit shape",AE39)))</formula>
    </cfRule>
  </conditionalFormatting>
  <conditionalFormatting sqref="BD39:BD42">
    <cfRule type="containsText" dxfId="9" priority="9" operator="containsText" text="Bad shape">
      <formula>NOT(ISERROR(SEARCH("Bad shape",BD39)))</formula>
    </cfRule>
    <cfRule type="containsText" dxfId="8" priority="10" operator="containsText" text="Fit shape">
      <formula>NOT(ISERROR(SEARCH("Fit shape",BD39)))</formula>
    </cfRule>
  </conditionalFormatting>
  <conditionalFormatting sqref="CC39:CC42">
    <cfRule type="containsText" dxfId="7" priority="7" operator="containsText" text="Bad shape">
      <formula>NOT(ISERROR(SEARCH("Bad shape",CC39)))</formula>
    </cfRule>
    <cfRule type="containsText" dxfId="6" priority="8" operator="containsText" text="Fit shape">
      <formula>NOT(ISERROR(SEARCH("Fit shape",CC39)))</formula>
    </cfRule>
  </conditionalFormatting>
  <conditionalFormatting sqref="DB39:DB42">
    <cfRule type="containsText" dxfId="5" priority="5" operator="containsText" text="Bad shape">
      <formula>NOT(ISERROR(SEARCH("Bad shape",DB39)))</formula>
    </cfRule>
    <cfRule type="containsText" dxfId="4" priority="6" operator="containsText" text="Fit shape">
      <formula>NOT(ISERROR(SEARCH("Fit shape",DB39)))</formula>
    </cfRule>
  </conditionalFormatting>
  <conditionalFormatting sqref="EA39:EA42">
    <cfRule type="containsText" dxfId="3" priority="3" operator="containsText" text="Bad shape">
      <formula>NOT(ISERROR(SEARCH("Bad shape",EA39)))</formula>
    </cfRule>
    <cfRule type="containsText" dxfId="2" priority="4" operator="containsText" text="Fit shape">
      <formula>NOT(ISERROR(SEARCH("Fit shape",EA39)))</formula>
    </cfRule>
  </conditionalFormatting>
  <conditionalFormatting sqref="EZ39:EZ42">
    <cfRule type="containsText" dxfId="1" priority="1" operator="containsText" text="Bad shape">
      <formula>NOT(ISERROR(SEARCH("Bad shape",EZ39)))</formula>
    </cfRule>
    <cfRule type="containsText" dxfId="0" priority="2" operator="containsText" text="Fit shape">
      <formula>NOT(ISERROR(SEARCH("Fit shape",EZ39)))</formula>
    </cfRule>
  </conditionalFormatting>
  <dataValidations count="4">
    <dataValidation type="list" allowBlank="1" showInputMessage="1" showErrorMessage="1" errorTitle="error" error="Please ensure the right breakfast" promptTitle="Hint" prompt="Select your breakfast" sqref="C11:C14 AB11:AB14 BA11:BA14 BZ11:BZ14 CY11:CY14 DX11:DX14 EW11:EW14" xr:uid="{6D2529F8-FD49-427B-9DDC-98449688C76B}">
      <formula1>BREAKFAST</formula1>
    </dataValidation>
    <dataValidation type="list" allowBlank="1" showInputMessage="1" showErrorMessage="1" errorTitle="error" error="Please ensure the right lunch" promptTitle="Hint" prompt="select your lunch" sqref="C15:C18 AB15:AB18 BA15:BA18 BZ15:BZ18 CY15:CY18 DX15:DX18 EW15:EW18" xr:uid="{E8A828D9-BEF5-4737-B3E0-5D9F138F1C47}">
      <formula1>LUNCH</formula1>
    </dataValidation>
    <dataValidation type="list" allowBlank="1" showInputMessage="1" showErrorMessage="1" errorTitle="Error" error="Please ensure the right dinner" promptTitle="Hint" prompt="Select your dinner" sqref="C19:C22 AB19:AB22 BA19:BA22 BZ19:BZ22 CY19:CY22 DX19:DX22 EW19:EW22" xr:uid="{5D81B546-7BD2-42B6-8C98-0E4C1B77AB84}">
      <formula1>DINNER</formula1>
    </dataValidation>
    <dataValidation type="list" allowBlank="1" showInputMessage="1" showErrorMessage="1" sqref="I13:J30 AH13:AI30 BG13:BH30 CF13:CG30 DE13:DF30 ED13:EE30 FC13:FD30" xr:uid="{FB4CCB75-2002-43B6-8A37-0D7170C9C242}">
      <formula1>EXERCISES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1E15-4194-4DC2-9479-684D442CF993}">
  <dimension ref="A1:AF37"/>
  <sheetViews>
    <sheetView zoomScale="60" zoomScaleNormal="60" workbookViewId="0">
      <selection activeCell="S5" sqref="S5:W6"/>
    </sheetView>
  </sheetViews>
  <sheetFormatPr defaultRowHeight="15"/>
  <sheetData>
    <row r="1" spans="1:32">
      <c r="A1" s="91" t="s">
        <v>86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3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32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</row>
    <row r="4" spans="1:32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</row>
    <row r="5" spans="1:32" ht="15" customHeight="1">
      <c r="A5" s="2"/>
      <c r="B5" s="103" t="s">
        <v>87</v>
      </c>
      <c r="C5" s="103"/>
      <c r="D5" s="103"/>
      <c r="E5" s="103"/>
      <c r="F5" s="103"/>
      <c r="G5" s="2"/>
      <c r="H5" s="2"/>
      <c r="I5" s="2"/>
      <c r="J5" s="2"/>
      <c r="K5" s="104" t="s">
        <v>88</v>
      </c>
      <c r="L5" s="104"/>
      <c r="M5" s="104"/>
      <c r="N5" s="104"/>
      <c r="O5" s="2"/>
      <c r="P5" s="2"/>
      <c r="Q5" s="2"/>
      <c r="R5" s="2"/>
      <c r="S5" s="101" t="s">
        <v>89</v>
      </c>
      <c r="T5" s="102"/>
      <c r="U5" s="102"/>
      <c r="V5" s="102"/>
      <c r="W5" s="102"/>
      <c r="X5" s="2"/>
      <c r="Y5" s="2"/>
      <c r="Z5" s="2"/>
      <c r="AA5" s="2"/>
      <c r="AB5" s="2"/>
      <c r="AC5" s="2"/>
      <c r="AD5" s="2"/>
      <c r="AE5" s="2"/>
      <c r="AF5" s="2"/>
    </row>
    <row r="6" spans="1:32">
      <c r="A6" s="2" cm="1">
        <f t="array" aca="1" ref="A6" ca="1">A6:Z32</f>
        <v>0</v>
      </c>
      <c r="B6" s="103"/>
      <c r="C6" s="103"/>
      <c r="D6" s="103"/>
      <c r="E6" s="103"/>
      <c r="F6" s="103"/>
      <c r="G6" s="2"/>
      <c r="H6" s="2"/>
      <c r="I6" s="2"/>
      <c r="J6" s="2"/>
      <c r="K6" s="104"/>
      <c r="L6" s="104"/>
      <c r="M6" s="104"/>
      <c r="N6" s="104"/>
      <c r="O6" s="2"/>
      <c r="P6" s="2"/>
      <c r="Q6" s="2"/>
      <c r="R6" s="2"/>
      <c r="S6" s="102"/>
      <c r="T6" s="102"/>
      <c r="U6" s="102"/>
      <c r="V6" s="102"/>
      <c r="W6" s="10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 s="2"/>
      <c r="B7" s="19"/>
      <c r="C7" s="19"/>
      <c r="D7" s="19"/>
      <c r="E7" s="19"/>
      <c r="F7" s="2"/>
      <c r="G7" s="2"/>
      <c r="H7" s="2"/>
      <c r="I7" s="2"/>
      <c r="J7" s="2"/>
      <c r="K7" s="19"/>
      <c r="L7" s="19"/>
      <c r="M7" s="1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>
      <c r="A8" s="2" t="s">
        <v>90</v>
      </c>
      <c r="B8" s="2">
        <f>weightKG0</f>
        <v>200</v>
      </c>
      <c r="C8" s="2"/>
      <c r="D8" s="2"/>
      <c r="E8" s="2"/>
      <c r="F8" s="2"/>
      <c r="G8" s="2"/>
      <c r="H8" s="2"/>
      <c r="I8" s="2"/>
      <c r="J8" s="2"/>
      <c r="K8" s="2" t="s">
        <v>90</v>
      </c>
      <c r="L8" s="2">
        <v>50</v>
      </c>
      <c r="M8" s="2"/>
      <c r="N8" s="2"/>
      <c r="O8" s="2"/>
      <c r="P8" s="2"/>
      <c r="Q8" s="2"/>
      <c r="R8" s="2"/>
      <c r="S8" s="2" t="s">
        <v>91</v>
      </c>
      <c r="T8" s="2">
        <f>Weight1KG</f>
        <v>18.346753246753245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>
      <c r="A9" s="2" t="s">
        <v>92</v>
      </c>
      <c r="B9" s="2">
        <f>Week1endweight</f>
        <v>-181.65324675324675</v>
      </c>
      <c r="C9" s="2"/>
      <c r="D9" s="2"/>
      <c r="E9" s="2"/>
      <c r="F9" s="2"/>
      <c r="G9" s="2"/>
      <c r="H9" s="2"/>
      <c r="I9" s="2"/>
      <c r="J9" s="2"/>
      <c r="K9" s="2" t="s">
        <v>92</v>
      </c>
      <c r="L9" s="2">
        <f>BMIWeek1</f>
        <v>58.183593749999986</v>
      </c>
      <c r="M9" s="2"/>
      <c r="N9" s="2"/>
      <c r="O9" s="2"/>
      <c r="P9" s="2"/>
      <c r="Q9" s="2"/>
      <c r="R9" s="2"/>
      <c r="S9" s="2" t="s">
        <v>93</v>
      </c>
      <c r="T9" s="2">
        <f>Weight2Kg</f>
        <v>19.620805194805197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>
      <c r="A10" s="2" t="s">
        <v>94</v>
      </c>
      <c r="B10" s="2">
        <f>Week2endweight</f>
        <v>161.3791948051948</v>
      </c>
      <c r="C10" s="2"/>
      <c r="D10" s="2"/>
      <c r="E10" s="2"/>
      <c r="F10" s="2"/>
      <c r="G10" s="2"/>
      <c r="H10" s="2"/>
      <c r="I10" s="2"/>
      <c r="J10" s="2"/>
      <c r="K10" s="2" t="s">
        <v>94</v>
      </c>
      <c r="L10" s="2">
        <f>BMIWeek2</f>
        <v>58.183593749999986</v>
      </c>
      <c r="M10" s="2"/>
      <c r="N10" s="2"/>
      <c r="O10" s="2"/>
      <c r="P10" s="2"/>
      <c r="Q10" s="2"/>
      <c r="R10" s="2"/>
      <c r="S10" s="2" t="s">
        <v>95</v>
      </c>
      <c r="T10" s="2">
        <f>Weight3kg</f>
        <v>17.451350649350648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>
      <c r="A11" s="2" t="s">
        <v>96</v>
      </c>
      <c r="B11" s="2">
        <f>Week3endweight</f>
        <v>144.54864935064936</v>
      </c>
      <c r="C11" s="2"/>
      <c r="D11" s="2"/>
      <c r="E11" s="2"/>
      <c r="F11" s="2"/>
      <c r="G11" s="2"/>
      <c r="H11" s="2"/>
      <c r="I11" s="2"/>
      <c r="J11" s="2"/>
      <c r="K11" s="2" t="s">
        <v>96</v>
      </c>
      <c r="L11" s="2">
        <f>BMIweek3</f>
        <v>58.183593749999986</v>
      </c>
      <c r="M11" s="2"/>
      <c r="N11" s="2"/>
      <c r="O11" s="2"/>
      <c r="P11" s="2"/>
      <c r="Q11" s="2"/>
      <c r="R11" s="2"/>
      <c r="S11" s="2" t="s">
        <v>97</v>
      </c>
      <c r="T11" s="2">
        <f>Weight4kg</f>
        <v>11.513896103896103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>
      <c r="A12" s="2" t="s">
        <v>98</v>
      </c>
      <c r="B12" s="2">
        <f>Week4endweight</f>
        <v>98.486103896103899</v>
      </c>
      <c r="C12" s="2"/>
      <c r="D12" s="2"/>
      <c r="E12" s="2"/>
      <c r="F12" s="2"/>
      <c r="G12" s="2"/>
      <c r="H12" s="2"/>
      <c r="I12" s="2"/>
      <c r="J12" s="2"/>
      <c r="K12" s="2" t="s">
        <v>98</v>
      </c>
      <c r="L12" s="2">
        <f>BMIweek4</f>
        <v>58.183593749999986</v>
      </c>
      <c r="M12" s="2"/>
      <c r="N12" s="2"/>
      <c r="O12" s="2"/>
      <c r="P12" s="2"/>
      <c r="Q12" s="2"/>
      <c r="R12" s="2"/>
      <c r="S12" s="2" t="s">
        <v>99</v>
      </c>
      <c r="T12" s="2">
        <f>Weight5kg</f>
        <v>10.143714285714287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>
      <c r="A13" s="2" t="s">
        <v>100</v>
      </c>
      <c r="B13" s="2">
        <f>Week5endweight</f>
        <v>87.856285714285718</v>
      </c>
      <c r="C13" s="2"/>
      <c r="D13" s="2"/>
      <c r="E13" s="2"/>
      <c r="F13" s="2"/>
      <c r="G13" s="2"/>
      <c r="H13" s="2"/>
      <c r="I13" s="2"/>
      <c r="J13" s="2"/>
      <c r="K13" s="2" t="s">
        <v>100</v>
      </c>
      <c r="L13" s="2">
        <f>BMIweek5</f>
        <v>58.183593749999986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6"/>
      <c r="AD26" s="2"/>
      <c r="AE26" s="2"/>
      <c r="AF26" s="2"/>
    </row>
    <row r="27" spans="1:3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36"/>
      <c r="AD27" s="2"/>
      <c r="AE27" s="2"/>
      <c r="AF27" s="2"/>
    </row>
    <row r="28" spans="1:3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6"/>
      <c r="AD28" s="2"/>
      <c r="AE28" s="2"/>
      <c r="AF28" s="2"/>
    </row>
    <row r="29" spans="1:3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36"/>
      <c r="AD29" s="2"/>
      <c r="AE29" s="2"/>
      <c r="AF29" s="2"/>
    </row>
    <row r="30" spans="1:3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6"/>
      <c r="AD30" s="2"/>
      <c r="AE30" s="2"/>
      <c r="AF30" s="2"/>
    </row>
    <row r="31" spans="1:3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36"/>
      <c r="AD31" s="2"/>
      <c r="AE31" s="2"/>
      <c r="AF31" s="2"/>
    </row>
    <row r="32" spans="1: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6"/>
      <c r="AD32" s="2"/>
      <c r="AE32" s="2"/>
      <c r="AF32" s="2"/>
    </row>
    <row r="33" spans="1:3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6"/>
      <c r="AD33" s="2"/>
      <c r="AE33" s="2"/>
      <c r="AF33" s="2"/>
    </row>
    <row r="34" spans="1:3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</sheetData>
  <mergeCells count="6">
    <mergeCell ref="A1:AF4"/>
    <mergeCell ref="AC26:AC29"/>
    <mergeCell ref="AC30:AC33"/>
    <mergeCell ref="S5:W6"/>
    <mergeCell ref="B5:F6"/>
    <mergeCell ref="K5:N6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Haque D16741</dc:creator>
  <cp:keywords/>
  <dc:description/>
  <cp:lastModifiedBy>Adam Haque D16741</cp:lastModifiedBy>
  <cp:revision/>
  <dcterms:created xsi:type="dcterms:W3CDTF">2026-01-29T15:56:44Z</dcterms:created>
  <dcterms:modified xsi:type="dcterms:W3CDTF">2026-09-30T11:41:15Z</dcterms:modified>
  <cp:category/>
  <cp:contentStatus/>
</cp:coreProperties>
</file>