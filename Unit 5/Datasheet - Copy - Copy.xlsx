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jcsfc-my.sharepoint.com/personal/d16741_jcc_ac_uk/Documents/"/>
    </mc:Choice>
  </mc:AlternateContent>
  <xr:revisionPtr revIDLastSave="486" documentId="8_{48CEADEF-B26D-4CC3-92A6-2FDC92F74549}" xr6:coauthVersionLast="47" xr6:coauthVersionMax="47" xr10:uidLastSave="{5D168D53-6AEB-455A-8494-9F72E68BD636}"/>
  <bookViews>
    <workbookView xWindow="-110" yWindow="-110" windowWidth="19420" windowHeight="10300" firstSheet="7" activeTab="7" xr2:uid="{ED72D031-D89C-4801-8B1D-AA306862C0E8}"/>
  </bookViews>
  <sheets>
    <sheet name="Datasheet" sheetId="1" r:id="rId1"/>
    <sheet name="Start menu " sheetId="2" r:id="rId2"/>
    <sheet name="Week1" sheetId="3" r:id="rId3"/>
    <sheet name="Week2" sheetId="4" r:id="rId4"/>
    <sheet name="Week3" sheetId="5" r:id="rId5"/>
    <sheet name="Week4" sheetId="6" r:id="rId6"/>
    <sheet name="Week 5" sheetId="8" r:id="rId7"/>
    <sheet name="Progress Week" sheetId="10" r:id="rId8"/>
  </sheets>
  <definedNames>
    <definedName name="BMIWeek1">Week1!$F$72</definedName>
    <definedName name="BMIWeek2">Week2!$F$72</definedName>
    <definedName name="BMIweek3">Week3!$F$72</definedName>
    <definedName name="BMIweek4">Week4!$F$72</definedName>
    <definedName name="BMIweek5">'Week 5'!$F$72</definedName>
    <definedName name="BREAKFAST">Datasheet!$A$12:$A$16</definedName>
    <definedName name="BREAKFASTTABLE">Datasheet!$A$12:$B$16</definedName>
    <definedName name="DINNER">Datasheet!$A$24:$A$28</definedName>
    <definedName name="DINNERTABLE">Datasheet!$A$24:$B$28</definedName>
    <definedName name="EXERCISES">Datasheet!$E$13:$E$21</definedName>
    <definedName name="HeightMeters">'Start menu '!$E$14</definedName>
    <definedName name="LUNCH">Datasheet!$A$18:$A$22</definedName>
    <definedName name="LUNCHTABLE">Datasheet!$A$18:$B$22</definedName>
    <definedName name="METVALUE">Datasheet!$E$13:$F$21</definedName>
    <definedName name="Week1endweight">Week1!$F$68</definedName>
    <definedName name="Week2endweight">Week2!$F$68</definedName>
    <definedName name="Week3endweight">Week3!$F$68</definedName>
    <definedName name="Week4endweight">Week4!$F$68</definedName>
    <definedName name="Week5endweight">'Week 5'!$F$68</definedName>
    <definedName name="weight">'Start menu '!$G$14</definedName>
    <definedName name="Weight1KG">Week1!$F$64</definedName>
    <definedName name="Weight2Kg">Week2!$F$64</definedName>
    <definedName name="Weight3kg">Week3!$F$64</definedName>
    <definedName name="Weight4kg">Week4!$F$64</definedName>
    <definedName name="Weight5kg">'Week 5'!$F$64</definedName>
    <definedName name="weightKG0">'Start menu '!$E$15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0" l="1"/>
  <c r="T11" i="10"/>
  <c r="T10" i="10"/>
  <c r="T9" i="10"/>
  <c r="T8" i="10"/>
  <c r="L13" i="10"/>
  <c r="L12" i="10"/>
  <c r="L11" i="10"/>
  <c r="L10" i="10"/>
  <c r="L9" i="10"/>
  <c r="F72" i="5"/>
  <c r="B13" i="10"/>
  <c r="B12" i="10"/>
  <c r="B11" i="10"/>
  <c r="F60" i="8"/>
  <c r="F60" i="6"/>
  <c r="F60" i="5"/>
  <c r="B10" i="10"/>
  <c r="F60" i="4"/>
  <c r="F68" i="3"/>
  <c r="F52" i="3"/>
  <c r="AJ22" i="3"/>
  <c r="AN28" i="3"/>
  <c r="AJ28" i="3"/>
  <c r="AP28" i="3"/>
  <c r="AN25" i="3"/>
  <c r="AN22" i="3"/>
  <c r="AP25" i="3"/>
  <c r="AP22" i="3"/>
  <c r="AN19" i="3"/>
  <c r="AP19" i="3" s="1"/>
  <c r="AN16" i="3"/>
  <c r="AP16" i="3" s="1"/>
  <c r="AN13" i="3"/>
  <c r="AP13" i="3" s="1"/>
  <c r="Q13" i="3"/>
  <c r="D39" i="3" s="1"/>
  <c r="Q22" i="3"/>
  <c r="F72" i="3"/>
  <c r="B8" i="10"/>
  <c r="F72" i="8"/>
  <c r="EX35" i="8"/>
  <c r="DY35" i="8"/>
  <c r="FE28" i="8"/>
  <c r="FI28" i="8" s="1"/>
  <c r="FK28" i="8" s="1"/>
  <c r="EF28" i="8"/>
  <c r="EJ28" i="8" s="1"/>
  <c r="EL28" i="8" s="1"/>
  <c r="DG28" i="8"/>
  <c r="DK28" i="8" s="1"/>
  <c r="DM28" i="8" s="1"/>
  <c r="CH28" i="8"/>
  <c r="CL28" i="8" s="1"/>
  <c r="CN28" i="8" s="1"/>
  <c r="BI28" i="8"/>
  <c r="BM28" i="8" s="1"/>
  <c r="BO28" i="8" s="1"/>
  <c r="AJ28" i="8"/>
  <c r="AN28" i="8" s="1"/>
  <c r="AP28" i="8" s="1"/>
  <c r="K28" i="8"/>
  <c r="O28" i="8" s="1"/>
  <c r="Q28" i="8" s="1"/>
  <c r="FE25" i="8"/>
  <c r="FI25" i="8" s="1"/>
  <c r="FK25" i="8" s="1"/>
  <c r="EF25" i="8"/>
  <c r="EJ25" i="8" s="1"/>
  <c r="EL25" i="8" s="1"/>
  <c r="DG25" i="8"/>
  <c r="DK25" i="8" s="1"/>
  <c r="DM25" i="8" s="1"/>
  <c r="CH25" i="8"/>
  <c r="CL25" i="8" s="1"/>
  <c r="CN25" i="8" s="1"/>
  <c r="BI25" i="8"/>
  <c r="BM25" i="8" s="1"/>
  <c r="BO25" i="8" s="1"/>
  <c r="AJ25" i="8"/>
  <c r="AN25" i="8" s="1"/>
  <c r="AP25" i="8" s="1"/>
  <c r="K25" i="8"/>
  <c r="O25" i="8" s="1"/>
  <c r="Q25" i="8" s="1"/>
  <c r="FE22" i="8"/>
  <c r="FI22" i="8" s="1"/>
  <c r="FK22" i="8" s="1"/>
  <c r="EF22" i="8"/>
  <c r="EJ22" i="8" s="1"/>
  <c r="EL22" i="8" s="1"/>
  <c r="DG22" i="8"/>
  <c r="DK22" i="8" s="1"/>
  <c r="DM22" i="8" s="1"/>
  <c r="CH22" i="8"/>
  <c r="CL22" i="8" s="1"/>
  <c r="CN22" i="8" s="1"/>
  <c r="BI22" i="8"/>
  <c r="BM22" i="8" s="1"/>
  <c r="BO22" i="8" s="1"/>
  <c r="AJ22" i="8"/>
  <c r="AN22" i="8" s="1"/>
  <c r="AP22" i="8" s="1"/>
  <c r="K22" i="8"/>
  <c r="O22" i="8" s="1"/>
  <c r="Q22" i="8" s="1"/>
  <c r="FE19" i="8"/>
  <c r="FI19" i="8" s="1"/>
  <c r="FK19" i="8" s="1"/>
  <c r="EZ19" i="8"/>
  <c r="EF19" i="8"/>
  <c r="EJ19" i="8" s="1"/>
  <c r="EL19" i="8" s="1"/>
  <c r="EA19" i="8"/>
  <c r="DG19" i="8"/>
  <c r="DK19" i="8" s="1"/>
  <c r="DM19" i="8" s="1"/>
  <c r="DB19" i="8"/>
  <c r="CH19" i="8"/>
  <c r="CL19" i="8" s="1"/>
  <c r="CN19" i="8" s="1"/>
  <c r="CC19" i="8"/>
  <c r="BI19" i="8"/>
  <c r="BM19" i="8" s="1"/>
  <c r="BO19" i="8" s="1"/>
  <c r="BD19" i="8"/>
  <c r="AJ19" i="8"/>
  <c r="AN19" i="8" s="1"/>
  <c r="AP19" i="8" s="1"/>
  <c r="AE19" i="8"/>
  <c r="K19" i="8"/>
  <c r="O19" i="8" s="1"/>
  <c r="Q19" i="8" s="1"/>
  <c r="F19" i="8"/>
  <c r="FE16" i="8"/>
  <c r="FI16" i="8" s="1"/>
  <c r="FK16" i="8" s="1"/>
  <c r="EF16" i="8"/>
  <c r="EJ16" i="8" s="1"/>
  <c r="EL16" i="8" s="1"/>
  <c r="DK16" i="8"/>
  <c r="DM16" i="8" s="1"/>
  <c r="DG16" i="8"/>
  <c r="CH16" i="8"/>
  <c r="CL16" i="8" s="1"/>
  <c r="CN16" i="8" s="1"/>
  <c r="BI16" i="8"/>
  <c r="BM16" i="8" s="1"/>
  <c r="BO16" i="8" s="1"/>
  <c r="AJ16" i="8"/>
  <c r="AN16" i="8" s="1"/>
  <c r="AP16" i="8" s="1"/>
  <c r="O16" i="8"/>
  <c r="Q16" i="8" s="1"/>
  <c r="K16" i="8"/>
  <c r="EZ15" i="8"/>
  <c r="EA15" i="8"/>
  <c r="DB15" i="8"/>
  <c r="CC15" i="8"/>
  <c r="BD15" i="8"/>
  <c r="AE15" i="8"/>
  <c r="F15" i="8"/>
  <c r="FE13" i="8"/>
  <c r="FI13" i="8" s="1"/>
  <c r="FK13" i="8" s="1"/>
  <c r="EF13" i="8"/>
  <c r="EJ13" i="8" s="1"/>
  <c r="EL13" i="8" s="1"/>
  <c r="DG13" i="8"/>
  <c r="DK13" i="8" s="1"/>
  <c r="DM13" i="8" s="1"/>
  <c r="CH13" i="8"/>
  <c r="CL13" i="8" s="1"/>
  <c r="CN13" i="8" s="1"/>
  <c r="BM13" i="8"/>
  <c r="BO13" i="8" s="1"/>
  <c r="BI13" i="8"/>
  <c r="AJ13" i="8"/>
  <c r="AN13" i="8" s="1"/>
  <c r="AP13" i="8" s="1"/>
  <c r="K13" i="8"/>
  <c r="O13" i="8" s="1"/>
  <c r="Q13" i="8" s="1"/>
  <c r="EZ11" i="8"/>
  <c r="EA11" i="8"/>
  <c r="DB11" i="8"/>
  <c r="CC11" i="8"/>
  <c r="CA35" i="8" s="1"/>
  <c r="BD11" i="8"/>
  <c r="BB35" i="8" s="1"/>
  <c r="AE11" i="8"/>
  <c r="AC35" i="8" s="1"/>
  <c r="F11" i="8"/>
  <c r="D35" i="8" s="1"/>
  <c r="F72" i="6"/>
  <c r="EX35" i="6"/>
  <c r="DY35" i="6"/>
  <c r="D35" i="6"/>
  <c r="FI28" i="6"/>
  <c r="FK28" i="6" s="1"/>
  <c r="FE28" i="6"/>
  <c r="EF28" i="6"/>
  <c r="EJ28" i="6" s="1"/>
  <c r="EL28" i="6" s="1"/>
  <c r="DG28" i="6"/>
  <c r="DK28" i="6" s="1"/>
  <c r="DM28" i="6" s="1"/>
  <c r="CH28" i="6"/>
  <c r="CL28" i="6" s="1"/>
  <c r="CN28" i="6" s="1"/>
  <c r="BM28" i="6"/>
  <c r="BO28" i="6" s="1"/>
  <c r="BI28" i="6"/>
  <c r="AJ28" i="6"/>
  <c r="AN28" i="6" s="1"/>
  <c r="AP28" i="6" s="1"/>
  <c r="K28" i="6"/>
  <c r="O28" i="6" s="1"/>
  <c r="Q28" i="6" s="1"/>
  <c r="FE25" i="6"/>
  <c r="FI25" i="6" s="1"/>
  <c r="FK25" i="6" s="1"/>
  <c r="EJ25" i="6"/>
  <c r="EL25" i="6" s="1"/>
  <c r="EF25" i="6"/>
  <c r="DG25" i="6"/>
  <c r="DK25" i="6" s="1"/>
  <c r="DM25" i="6" s="1"/>
  <c r="CH25" i="6"/>
  <c r="CL25" i="6" s="1"/>
  <c r="CN25" i="6" s="1"/>
  <c r="BI25" i="6"/>
  <c r="BM25" i="6" s="1"/>
  <c r="BO25" i="6" s="1"/>
  <c r="AN25" i="6"/>
  <c r="AP25" i="6" s="1"/>
  <c r="AJ25" i="6"/>
  <c r="K25" i="6"/>
  <c r="O25" i="6" s="1"/>
  <c r="Q25" i="6" s="1"/>
  <c r="FE22" i="6"/>
  <c r="FI22" i="6" s="1"/>
  <c r="FK22" i="6" s="1"/>
  <c r="EF22" i="6"/>
  <c r="EJ22" i="6" s="1"/>
  <c r="EL22" i="6" s="1"/>
  <c r="DK22" i="6"/>
  <c r="DM22" i="6" s="1"/>
  <c r="DG22" i="6"/>
  <c r="CH22" i="6"/>
  <c r="CL22" i="6" s="1"/>
  <c r="CN22" i="6" s="1"/>
  <c r="BI22" i="6"/>
  <c r="BM22" i="6" s="1"/>
  <c r="BO22" i="6" s="1"/>
  <c r="AJ22" i="6"/>
  <c r="AN22" i="6" s="1"/>
  <c r="AP22" i="6" s="1"/>
  <c r="O22" i="6"/>
  <c r="Q22" i="6" s="1"/>
  <c r="K22" i="6"/>
  <c r="FE19" i="6"/>
  <c r="FI19" i="6" s="1"/>
  <c r="FK19" i="6" s="1"/>
  <c r="EZ19" i="6"/>
  <c r="EF19" i="6"/>
  <c r="EJ19" i="6" s="1"/>
  <c r="EL19" i="6" s="1"/>
  <c r="EA19" i="6"/>
  <c r="DG19" i="6"/>
  <c r="DK19" i="6" s="1"/>
  <c r="DM19" i="6" s="1"/>
  <c r="DB19" i="6"/>
  <c r="CH19" i="6"/>
  <c r="CL19" i="6" s="1"/>
  <c r="CN19" i="6" s="1"/>
  <c r="CC19" i="6"/>
  <c r="BI19" i="6"/>
  <c r="BM19" i="6" s="1"/>
  <c r="BO19" i="6" s="1"/>
  <c r="BD19" i="6"/>
  <c r="AJ19" i="6"/>
  <c r="AN19" i="6" s="1"/>
  <c r="AP19" i="6" s="1"/>
  <c r="AE19" i="6"/>
  <c r="K19" i="6"/>
  <c r="O19" i="6" s="1"/>
  <c r="Q19" i="6" s="1"/>
  <c r="F19" i="6"/>
  <c r="FE16" i="6"/>
  <c r="FI16" i="6" s="1"/>
  <c r="FK16" i="6" s="1"/>
  <c r="EF16" i="6"/>
  <c r="EJ16" i="6" s="1"/>
  <c r="EL16" i="6" s="1"/>
  <c r="DK16" i="6"/>
  <c r="DM16" i="6" s="1"/>
  <c r="DG16" i="6"/>
  <c r="CH16" i="6"/>
  <c r="CL16" i="6" s="1"/>
  <c r="CN16" i="6" s="1"/>
  <c r="BI16" i="6"/>
  <c r="BM16" i="6" s="1"/>
  <c r="BO16" i="6" s="1"/>
  <c r="AJ16" i="6"/>
  <c r="AN16" i="6" s="1"/>
  <c r="AP16" i="6" s="1"/>
  <c r="O16" i="6"/>
  <c r="Q16" i="6" s="1"/>
  <c r="K16" i="6"/>
  <c r="EZ15" i="6"/>
  <c r="EA15" i="6"/>
  <c r="DB15" i="6"/>
  <c r="CC15" i="6"/>
  <c r="BD15" i="6"/>
  <c r="AE15" i="6"/>
  <c r="F15" i="6"/>
  <c r="FE13" i="6"/>
  <c r="FI13" i="6" s="1"/>
  <c r="FK13" i="6" s="1"/>
  <c r="EF13" i="6"/>
  <c r="EJ13" i="6" s="1"/>
  <c r="EL13" i="6" s="1"/>
  <c r="DG13" i="6"/>
  <c r="DK13" i="6" s="1"/>
  <c r="DM13" i="6" s="1"/>
  <c r="CH13" i="6"/>
  <c r="CL13" i="6" s="1"/>
  <c r="CN13" i="6" s="1"/>
  <c r="BI13" i="6"/>
  <c r="BM13" i="6" s="1"/>
  <c r="BO13" i="6" s="1"/>
  <c r="AJ13" i="6"/>
  <c r="AN13" i="6" s="1"/>
  <c r="AP13" i="6" s="1"/>
  <c r="K13" i="6"/>
  <c r="O13" i="6" s="1"/>
  <c r="Q13" i="6" s="1"/>
  <c r="EZ11" i="6"/>
  <c r="EA11" i="6"/>
  <c r="DB11" i="6"/>
  <c r="CZ35" i="6" s="1"/>
  <c r="CC11" i="6"/>
  <c r="CA35" i="6" s="1"/>
  <c r="BD11" i="6"/>
  <c r="BB35" i="6" s="1"/>
  <c r="AE11" i="6"/>
  <c r="AC35" i="6" s="1"/>
  <c r="F11" i="6"/>
  <c r="EX35" i="5"/>
  <c r="DY35" i="5"/>
  <c r="FI28" i="5"/>
  <c r="FK28" i="5" s="1"/>
  <c r="FE28" i="5"/>
  <c r="EF28" i="5"/>
  <c r="EJ28" i="5" s="1"/>
  <c r="EL28" i="5" s="1"/>
  <c r="DG28" i="5"/>
  <c r="DK28" i="5" s="1"/>
  <c r="DM28" i="5" s="1"/>
  <c r="CH28" i="5"/>
  <c r="CL28" i="5" s="1"/>
  <c r="CN28" i="5" s="1"/>
  <c r="BM28" i="5"/>
  <c r="BO28" i="5" s="1"/>
  <c r="BI28" i="5"/>
  <c r="AJ28" i="5"/>
  <c r="AN28" i="5" s="1"/>
  <c r="AP28" i="5" s="1"/>
  <c r="K28" i="5"/>
  <c r="O28" i="5" s="1"/>
  <c r="Q28" i="5" s="1"/>
  <c r="FE25" i="5"/>
  <c r="FI25" i="5" s="1"/>
  <c r="FK25" i="5" s="1"/>
  <c r="EJ25" i="5"/>
  <c r="EL25" i="5" s="1"/>
  <c r="EF25" i="5"/>
  <c r="DG25" i="5"/>
  <c r="DK25" i="5" s="1"/>
  <c r="DM25" i="5" s="1"/>
  <c r="CH25" i="5"/>
  <c r="CL25" i="5" s="1"/>
  <c r="CN25" i="5" s="1"/>
  <c r="BI25" i="5"/>
  <c r="BM25" i="5" s="1"/>
  <c r="BO25" i="5" s="1"/>
  <c r="AN25" i="5"/>
  <c r="AP25" i="5" s="1"/>
  <c r="AJ25" i="5"/>
  <c r="K25" i="5"/>
  <c r="O25" i="5" s="1"/>
  <c r="Q25" i="5" s="1"/>
  <c r="FE22" i="5"/>
  <c r="FI22" i="5" s="1"/>
  <c r="FK22" i="5" s="1"/>
  <c r="EF22" i="5"/>
  <c r="EJ22" i="5" s="1"/>
  <c r="EL22" i="5" s="1"/>
  <c r="DG22" i="5"/>
  <c r="DK22" i="5" s="1"/>
  <c r="DM22" i="5" s="1"/>
  <c r="CH22" i="5"/>
  <c r="CL22" i="5" s="1"/>
  <c r="CN22" i="5" s="1"/>
  <c r="BI22" i="5"/>
  <c r="BM22" i="5" s="1"/>
  <c r="BO22" i="5" s="1"/>
  <c r="AJ22" i="5"/>
  <c r="AN22" i="5" s="1"/>
  <c r="AP22" i="5" s="1"/>
  <c r="K22" i="5"/>
  <c r="O22" i="5" s="1"/>
  <c r="Q22" i="5" s="1"/>
  <c r="FE19" i="5"/>
  <c r="FI19" i="5" s="1"/>
  <c r="FK19" i="5" s="1"/>
  <c r="EZ19" i="5"/>
  <c r="EF19" i="5"/>
  <c r="EJ19" i="5" s="1"/>
  <c r="EL19" i="5" s="1"/>
  <c r="EA19" i="5"/>
  <c r="DG19" i="5"/>
  <c r="DK19" i="5" s="1"/>
  <c r="DM19" i="5" s="1"/>
  <c r="DB19" i="5"/>
  <c r="CH19" i="5"/>
  <c r="CL19" i="5" s="1"/>
  <c r="CN19" i="5" s="1"/>
  <c r="CC19" i="5"/>
  <c r="BI19" i="5"/>
  <c r="BM19" i="5" s="1"/>
  <c r="BO19" i="5" s="1"/>
  <c r="BD19" i="5"/>
  <c r="AJ19" i="5"/>
  <c r="AN19" i="5" s="1"/>
  <c r="AP19" i="5" s="1"/>
  <c r="AE19" i="5"/>
  <c r="K19" i="5"/>
  <c r="O19" i="5" s="1"/>
  <c r="Q19" i="5" s="1"/>
  <c r="F19" i="5"/>
  <c r="FE16" i="5"/>
  <c r="FI16" i="5" s="1"/>
  <c r="FK16" i="5" s="1"/>
  <c r="EF16" i="5"/>
  <c r="EJ16" i="5" s="1"/>
  <c r="EL16" i="5" s="1"/>
  <c r="DK16" i="5"/>
  <c r="DM16" i="5" s="1"/>
  <c r="DG16" i="5"/>
  <c r="CH16" i="5"/>
  <c r="CL16" i="5" s="1"/>
  <c r="CN16" i="5" s="1"/>
  <c r="BI16" i="5"/>
  <c r="BM16" i="5" s="1"/>
  <c r="BO16" i="5" s="1"/>
  <c r="AJ16" i="5"/>
  <c r="AN16" i="5" s="1"/>
  <c r="AP16" i="5" s="1"/>
  <c r="O16" i="5"/>
  <c r="Q16" i="5" s="1"/>
  <c r="K16" i="5"/>
  <c r="EZ15" i="5"/>
  <c r="EA15" i="5"/>
  <c r="DB15" i="5"/>
  <c r="CC15" i="5"/>
  <c r="BD15" i="5"/>
  <c r="AE15" i="5"/>
  <c r="F15" i="5"/>
  <c r="FE13" i="5"/>
  <c r="FI13" i="5" s="1"/>
  <c r="FK13" i="5" s="1"/>
  <c r="EF13" i="5"/>
  <c r="EJ13" i="5" s="1"/>
  <c r="EL13" i="5" s="1"/>
  <c r="DG13" i="5"/>
  <c r="DK13" i="5" s="1"/>
  <c r="DM13" i="5" s="1"/>
  <c r="CH13" i="5"/>
  <c r="CL13" i="5" s="1"/>
  <c r="CN13" i="5" s="1"/>
  <c r="CA39" i="5" s="1"/>
  <c r="BI13" i="5"/>
  <c r="BM13" i="5" s="1"/>
  <c r="BO13" i="5" s="1"/>
  <c r="BB39" i="5" s="1"/>
  <c r="AJ13" i="5"/>
  <c r="AN13" i="5" s="1"/>
  <c r="AP13" i="5" s="1"/>
  <c r="K13" i="5"/>
  <c r="O13" i="5" s="1"/>
  <c r="Q13" i="5" s="1"/>
  <c r="EZ11" i="5"/>
  <c r="EA11" i="5"/>
  <c r="DB11" i="5"/>
  <c r="CZ35" i="5" s="1"/>
  <c r="CC11" i="5"/>
  <c r="CA35" i="5" s="1"/>
  <c r="BD11" i="5"/>
  <c r="BB35" i="5" s="1"/>
  <c r="AE11" i="5"/>
  <c r="AC35" i="5" s="1"/>
  <c r="F11" i="5"/>
  <c r="D35" i="5" s="1"/>
  <c r="F72" i="4"/>
  <c r="EX35" i="4"/>
  <c r="DY35" i="4"/>
  <c r="FE28" i="4"/>
  <c r="FI28" i="4" s="1"/>
  <c r="FK28" i="4" s="1"/>
  <c r="EF28" i="4"/>
  <c r="EJ28" i="4" s="1"/>
  <c r="EL28" i="4" s="1"/>
  <c r="DG28" i="4"/>
  <c r="DK28" i="4" s="1"/>
  <c r="DM28" i="4" s="1"/>
  <c r="CH28" i="4"/>
  <c r="CL28" i="4" s="1"/>
  <c r="CN28" i="4" s="1"/>
  <c r="BI28" i="4"/>
  <c r="BM28" i="4" s="1"/>
  <c r="BO28" i="4" s="1"/>
  <c r="AJ28" i="4"/>
  <c r="AN28" i="4" s="1"/>
  <c r="AP28" i="4" s="1"/>
  <c r="K28" i="4"/>
  <c r="O28" i="4" s="1"/>
  <c r="Q28" i="4" s="1"/>
  <c r="FE25" i="4"/>
  <c r="FI25" i="4" s="1"/>
  <c r="FK25" i="4" s="1"/>
  <c r="EF25" i="4"/>
  <c r="EJ25" i="4" s="1"/>
  <c r="EL25" i="4" s="1"/>
  <c r="DG25" i="4"/>
  <c r="DK25" i="4" s="1"/>
  <c r="DM25" i="4" s="1"/>
  <c r="CH25" i="4"/>
  <c r="CL25" i="4" s="1"/>
  <c r="CN25" i="4" s="1"/>
  <c r="BI25" i="4"/>
  <c r="BM25" i="4" s="1"/>
  <c r="BO25" i="4" s="1"/>
  <c r="AJ25" i="4"/>
  <c r="AN25" i="4" s="1"/>
  <c r="AP25" i="4" s="1"/>
  <c r="K25" i="4"/>
  <c r="O25" i="4" s="1"/>
  <c r="Q25" i="4" s="1"/>
  <c r="FE22" i="4"/>
  <c r="FI22" i="4" s="1"/>
  <c r="FK22" i="4" s="1"/>
  <c r="EF22" i="4"/>
  <c r="EJ22" i="4" s="1"/>
  <c r="EL22" i="4" s="1"/>
  <c r="DG22" i="4"/>
  <c r="DK22" i="4" s="1"/>
  <c r="DM22" i="4" s="1"/>
  <c r="CH22" i="4"/>
  <c r="CL22" i="4" s="1"/>
  <c r="CN22" i="4" s="1"/>
  <c r="BI22" i="4"/>
  <c r="BM22" i="4" s="1"/>
  <c r="BO22" i="4" s="1"/>
  <c r="AJ22" i="4"/>
  <c r="AN22" i="4" s="1"/>
  <c r="AP22" i="4" s="1"/>
  <c r="K22" i="4"/>
  <c r="O22" i="4" s="1"/>
  <c r="Q22" i="4" s="1"/>
  <c r="FE19" i="4"/>
  <c r="FI19" i="4" s="1"/>
  <c r="FK19" i="4" s="1"/>
  <c r="EZ19" i="4"/>
  <c r="EF19" i="4"/>
  <c r="EJ19" i="4" s="1"/>
  <c r="EL19" i="4" s="1"/>
  <c r="EA19" i="4"/>
  <c r="DG19" i="4"/>
  <c r="DK19" i="4" s="1"/>
  <c r="DM19" i="4" s="1"/>
  <c r="DB19" i="4"/>
  <c r="CZ35" i="4" s="1"/>
  <c r="CH19" i="4"/>
  <c r="CL19" i="4" s="1"/>
  <c r="CN19" i="4" s="1"/>
  <c r="CC19" i="4"/>
  <c r="BI19" i="4"/>
  <c r="BM19" i="4" s="1"/>
  <c r="BO19" i="4" s="1"/>
  <c r="BD19" i="4"/>
  <c r="AJ19" i="4"/>
  <c r="AN19" i="4" s="1"/>
  <c r="AP19" i="4" s="1"/>
  <c r="AE19" i="4"/>
  <c r="K19" i="4"/>
  <c r="O19" i="4" s="1"/>
  <c r="Q19" i="4" s="1"/>
  <c r="F19" i="4"/>
  <c r="FE16" i="4"/>
  <c r="FI16" i="4" s="1"/>
  <c r="FK16" i="4" s="1"/>
  <c r="EF16" i="4"/>
  <c r="EJ16" i="4" s="1"/>
  <c r="EL16" i="4" s="1"/>
  <c r="DG16" i="4"/>
  <c r="DK16" i="4" s="1"/>
  <c r="DM16" i="4" s="1"/>
  <c r="CH16" i="4"/>
  <c r="CL16" i="4" s="1"/>
  <c r="CN16" i="4" s="1"/>
  <c r="BI16" i="4"/>
  <c r="BM16" i="4" s="1"/>
  <c r="BO16" i="4" s="1"/>
  <c r="AJ16" i="4"/>
  <c r="AN16" i="4" s="1"/>
  <c r="AP16" i="4" s="1"/>
  <c r="K16" i="4"/>
  <c r="O16" i="4" s="1"/>
  <c r="Q16" i="4" s="1"/>
  <c r="EZ15" i="4"/>
  <c r="EA15" i="4"/>
  <c r="DB15" i="4"/>
  <c r="CC15" i="4"/>
  <c r="BD15" i="4"/>
  <c r="AE15" i="4"/>
  <c r="F15" i="4"/>
  <c r="FE13" i="4"/>
  <c r="FI13" i="4" s="1"/>
  <c r="FK13" i="4" s="1"/>
  <c r="EJ13" i="4"/>
  <c r="EL13" i="4" s="1"/>
  <c r="EF13" i="4"/>
  <c r="DG13" i="4"/>
  <c r="DK13" i="4" s="1"/>
  <c r="DM13" i="4" s="1"/>
  <c r="CH13" i="4"/>
  <c r="CL13" i="4" s="1"/>
  <c r="CN13" i="4" s="1"/>
  <c r="BI13" i="4"/>
  <c r="BM13" i="4" s="1"/>
  <c r="BO13" i="4" s="1"/>
  <c r="AN13" i="4"/>
  <c r="AP13" i="4" s="1"/>
  <c r="AJ13" i="4"/>
  <c r="K13" i="4"/>
  <c r="O13" i="4" s="1"/>
  <c r="Q13" i="4" s="1"/>
  <c r="EZ11" i="4"/>
  <c r="EA11" i="4"/>
  <c r="DB11" i="4"/>
  <c r="CC11" i="4"/>
  <c r="CA35" i="4" s="1"/>
  <c r="BD11" i="4"/>
  <c r="BB35" i="4" s="1"/>
  <c r="AE11" i="4"/>
  <c r="AC35" i="4" s="1"/>
  <c r="F11" i="4"/>
  <c r="D35" i="4" s="1"/>
  <c r="FE28" i="3"/>
  <c r="FI28" i="3" s="1"/>
  <c r="FK28" i="3" s="1"/>
  <c r="FE25" i="3"/>
  <c r="FI25" i="3" s="1"/>
  <c r="FK25" i="3" s="1"/>
  <c r="FE22" i="3"/>
  <c r="FI22" i="3" s="1"/>
  <c r="FK22" i="3" s="1"/>
  <c r="FE19" i="3"/>
  <c r="FI19" i="3" s="1"/>
  <c r="FK19" i="3" s="1"/>
  <c r="EZ19" i="3"/>
  <c r="FE16" i="3"/>
  <c r="FI16" i="3" s="1"/>
  <c r="FK16" i="3" s="1"/>
  <c r="EZ15" i="3"/>
  <c r="FE13" i="3"/>
  <c r="FI13" i="3" s="1"/>
  <c r="FK13" i="3" s="1"/>
  <c r="EZ11" i="3"/>
  <c r="EX35" i="3" s="1"/>
  <c r="EF28" i="3"/>
  <c r="EJ28" i="3" s="1"/>
  <c r="EL28" i="3" s="1"/>
  <c r="EF25" i="3"/>
  <c r="EJ25" i="3" s="1"/>
  <c r="EL25" i="3" s="1"/>
  <c r="EJ22" i="3"/>
  <c r="EL22" i="3" s="1"/>
  <c r="EF22" i="3"/>
  <c r="EF19" i="3"/>
  <c r="EJ19" i="3" s="1"/>
  <c r="EL19" i="3" s="1"/>
  <c r="EA19" i="3"/>
  <c r="EF16" i="3"/>
  <c r="EJ16" i="3" s="1"/>
  <c r="EL16" i="3" s="1"/>
  <c r="EA15" i="3"/>
  <c r="DY35" i="3" s="1"/>
  <c r="EF13" i="3"/>
  <c r="EJ13" i="3" s="1"/>
  <c r="EL13" i="3" s="1"/>
  <c r="EA11" i="3"/>
  <c r="DG28" i="3"/>
  <c r="DK28" i="3" s="1"/>
  <c r="DM28" i="3" s="1"/>
  <c r="DG25" i="3"/>
  <c r="DK25" i="3" s="1"/>
  <c r="DM25" i="3" s="1"/>
  <c r="DG22" i="3"/>
  <c r="DK22" i="3" s="1"/>
  <c r="DM22" i="3" s="1"/>
  <c r="DG19" i="3"/>
  <c r="DK19" i="3" s="1"/>
  <c r="DM19" i="3" s="1"/>
  <c r="DB19" i="3"/>
  <c r="DG16" i="3"/>
  <c r="DK16" i="3" s="1"/>
  <c r="DM16" i="3" s="1"/>
  <c r="DB15" i="3"/>
  <c r="DG13" i="3"/>
  <c r="DK13" i="3" s="1"/>
  <c r="DM13" i="3" s="1"/>
  <c r="DB11" i="3"/>
  <c r="CH28" i="3"/>
  <c r="CL28" i="3" s="1"/>
  <c r="CN28" i="3" s="1"/>
  <c r="CH25" i="3"/>
  <c r="CL25" i="3" s="1"/>
  <c r="CN25" i="3" s="1"/>
  <c r="CL22" i="3"/>
  <c r="CN22" i="3" s="1"/>
  <c r="CH22" i="3"/>
  <c r="CH19" i="3"/>
  <c r="CL19" i="3" s="1"/>
  <c r="CN19" i="3" s="1"/>
  <c r="CC19" i="3"/>
  <c r="CH16" i="3"/>
  <c r="CL16" i="3" s="1"/>
  <c r="CN16" i="3" s="1"/>
  <c r="CC15" i="3"/>
  <c r="CH13" i="3"/>
  <c r="CL13" i="3" s="1"/>
  <c r="CN13" i="3" s="1"/>
  <c r="CC11" i="3"/>
  <c r="BI28" i="3"/>
  <c r="BM28" i="3" s="1"/>
  <c r="BO28" i="3" s="1"/>
  <c r="BI25" i="3"/>
  <c r="BM25" i="3" s="1"/>
  <c r="BO25" i="3" s="1"/>
  <c r="BI22" i="3"/>
  <c r="BM22" i="3" s="1"/>
  <c r="BO22" i="3" s="1"/>
  <c r="BI19" i="3"/>
  <c r="BM19" i="3" s="1"/>
  <c r="BO19" i="3" s="1"/>
  <c r="BD19" i="3"/>
  <c r="BI16" i="3"/>
  <c r="BM16" i="3" s="1"/>
  <c r="BO16" i="3" s="1"/>
  <c r="BD15" i="3"/>
  <c r="BI13" i="3"/>
  <c r="BM13" i="3" s="1"/>
  <c r="BO13" i="3" s="1"/>
  <c r="BD11" i="3"/>
  <c r="AJ25" i="3"/>
  <c r="AJ19" i="3"/>
  <c r="AE19" i="3"/>
  <c r="AJ16" i="3"/>
  <c r="AE15" i="3"/>
  <c r="AJ13" i="3"/>
  <c r="AE11" i="3"/>
  <c r="AC35" i="3" s="1"/>
  <c r="O22" i="3"/>
  <c r="K28" i="3"/>
  <c r="O28" i="3" s="1"/>
  <c r="Q28" i="3" s="1"/>
  <c r="K25" i="3"/>
  <c r="O25" i="3" s="1"/>
  <c r="Q25" i="3" s="1"/>
  <c r="K22" i="3"/>
  <c r="K19" i="3"/>
  <c r="O19" i="3" s="1"/>
  <c r="Q19" i="3" s="1"/>
  <c r="K16" i="3"/>
  <c r="O16" i="3" s="1"/>
  <c r="Q16" i="3" s="1"/>
  <c r="K13" i="3"/>
  <c r="O13" i="3" s="1"/>
  <c r="F19" i="3"/>
  <c r="F15" i="3"/>
  <c r="F11" i="3"/>
  <c r="E16" i="2"/>
  <c r="I10" i="2"/>
  <c r="EX39" i="8" l="1"/>
  <c r="CZ39" i="8"/>
  <c r="BB39" i="8"/>
  <c r="EX39" i="5"/>
  <c r="DY39" i="5"/>
  <c r="CA39" i="4"/>
  <c r="BB39" i="4"/>
  <c r="AC39" i="4"/>
  <c r="DY39" i="3"/>
  <c r="CZ39" i="3"/>
  <c r="CA39" i="3"/>
  <c r="AC39" i="3"/>
  <c r="DY39" i="8"/>
  <c r="EA35" i="8" s="1"/>
  <c r="EA39" i="8" s="1"/>
  <c r="AC39" i="8"/>
  <c r="AE35" i="8" s="1"/>
  <c r="AE39" i="8" s="1"/>
  <c r="CA39" i="8"/>
  <c r="BD35" i="8"/>
  <c r="BD39" i="8" s="1"/>
  <c r="CC35" i="8"/>
  <c r="CC39" i="8" s="1"/>
  <c r="CZ35" i="8"/>
  <c r="DB35" i="8" s="1"/>
  <c r="DB39" i="8" s="1"/>
  <c r="D39" i="8"/>
  <c r="EZ35" i="8"/>
  <c r="EZ39" i="8" s="1"/>
  <c r="EZ35" i="6"/>
  <c r="EZ39" i="6" s="1"/>
  <c r="BB39" i="6"/>
  <c r="BD35" i="6" s="1"/>
  <c r="BD39" i="6" s="1"/>
  <c r="D39" i="6"/>
  <c r="F35" i="6" s="1"/>
  <c r="AC39" i="6"/>
  <c r="AE35" i="6" s="1"/>
  <c r="AE39" i="6" s="1"/>
  <c r="CA39" i="6"/>
  <c r="CC35" i="6" s="1"/>
  <c r="CC39" i="6" s="1"/>
  <c r="CZ39" i="6"/>
  <c r="DB35" i="6" s="1"/>
  <c r="DB39" i="6" s="1"/>
  <c r="DY39" i="6"/>
  <c r="EA35" i="6" s="1"/>
  <c r="EA39" i="6" s="1"/>
  <c r="EX39" i="6"/>
  <c r="BD35" i="5"/>
  <c r="BD39" i="5" s="1"/>
  <c r="CC35" i="5"/>
  <c r="CC39" i="5" s="1"/>
  <c r="D39" i="5"/>
  <c r="AC39" i="5"/>
  <c r="AE35" i="5" s="1"/>
  <c r="AE39" i="5" s="1"/>
  <c r="EZ35" i="5"/>
  <c r="EZ39" i="5" s="1"/>
  <c r="EA35" i="5"/>
  <c r="EA39" i="5" s="1"/>
  <c r="CZ39" i="5"/>
  <c r="DB35" i="5" s="1"/>
  <c r="DB39" i="5" s="1"/>
  <c r="CZ39" i="4"/>
  <c r="DB35" i="4" s="1"/>
  <c r="DB39" i="4" s="1"/>
  <c r="DY39" i="4"/>
  <c r="EA35" i="4" s="1"/>
  <c r="EA39" i="4" s="1"/>
  <c r="EX39" i="4"/>
  <c r="EZ35" i="4" s="1"/>
  <c r="EZ39" i="4" s="1"/>
  <c r="AE35" i="4"/>
  <c r="AE39" i="4" s="1"/>
  <c r="BD35" i="4"/>
  <c r="BD39" i="4" s="1"/>
  <c r="CC35" i="4"/>
  <c r="CC39" i="4" s="1"/>
  <c r="D39" i="4"/>
  <c r="CZ35" i="3"/>
  <c r="DB35" i="3" s="1"/>
  <c r="DB39" i="3" s="1"/>
  <c r="CA35" i="3"/>
  <c r="CC35" i="3" s="1"/>
  <c r="CC39" i="3" s="1"/>
  <c r="BB35" i="3"/>
  <c r="EX39" i="3"/>
  <c r="EZ35" i="3" s="1"/>
  <c r="EZ39" i="3" s="1"/>
  <c r="EA35" i="3"/>
  <c r="EA39" i="3" s="1"/>
  <c r="BB39" i="3"/>
  <c r="BD35" i="3"/>
  <c r="BD39" i="3" s="1"/>
  <c r="D35" i="3"/>
  <c r="F56" i="3" l="1"/>
  <c r="AE35" i="3"/>
  <c r="AE39" i="3" s="1"/>
  <c r="F35" i="3"/>
  <c r="F39" i="3" s="1"/>
  <c r="F56" i="8"/>
  <c r="F35" i="8"/>
  <c r="F56" i="6"/>
  <c r="F52" i="6"/>
  <c r="F64" i="6" s="1"/>
  <c r="F68" i="6" s="1"/>
  <c r="F39" i="6"/>
  <c r="F56" i="5"/>
  <c r="F35" i="5"/>
  <c r="F56" i="4"/>
  <c r="F35" i="4"/>
  <c r="F60" i="3" l="1"/>
  <c r="F64" i="3" s="1"/>
  <c r="B9" i="10" s="1"/>
  <c r="F52" i="8"/>
  <c r="F64" i="8" s="1"/>
  <c r="F68" i="8" s="1"/>
  <c r="F39" i="8"/>
  <c r="F52" i="5"/>
  <c r="F64" i="5" s="1"/>
  <c r="F68" i="5" s="1"/>
  <c r="F39" i="5"/>
  <c r="F52" i="4"/>
  <c r="F39" i="4"/>
  <c r="F64" i="4" l="1"/>
  <c r="F68" i="4" s="1"/>
  <c r="A6" i="10"/>
  <c r="A6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<sst xmlns="http://schemas.openxmlformats.org/spreadsheetml/2006/main" count="1222" uniqueCount="101">
  <si>
    <r>
      <rPr>
        <b/>
        <u/>
        <sz val="36"/>
        <color theme="1"/>
        <rFont val="Aptos Narrow"/>
        <family val="2"/>
        <scheme val="minor"/>
      </rPr>
      <t xml:space="preserve"> Adams BMI Checker</t>
    </r>
    <r>
      <rPr>
        <b/>
        <sz val="36"/>
        <color theme="1"/>
        <rFont val="Aptos Narrow"/>
        <family val="2"/>
        <scheme val="minor"/>
      </rPr>
      <t xml:space="preserve"> </t>
    </r>
  </si>
  <si>
    <t>Breakfast</t>
  </si>
  <si>
    <t>Calories counted</t>
  </si>
  <si>
    <t>Exercises</t>
  </si>
  <si>
    <t>Met value</t>
  </si>
  <si>
    <t>Exercises Times</t>
  </si>
  <si>
    <t>Oatmeal with Berries &amp; Nuts</t>
  </si>
  <si>
    <t>Greek Yogurt with Honey &amp; Fruit</t>
  </si>
  <si>
    <t>Boxing</t>
  </si>
  <si>
    <t>Avocado Toast with Egg</t>
  </si>
  <si>
    <t>Jogging (5 mph)</t>
  </si>
  <si>
    <t>Protein Fruit Smoothie</t>
  </si>
  <si>
    <t>Cycling (leisurely, 10 mph)</t>
  </si>
  <si>
    <t>Egg &amp; Veggie Scramble</t>
  </si>
  <si>
    <t>Running (6 mph)</t>
  </si>
  <si>
    <t>Lunch</t>
  </si>
  <si>
    <r>
      <t xml:space="preserve">        </t>
    </r>
    <r>
      <rPr>
        <b/>
        <sz val="22"/>
        <color theme="1"/>
        <rFont val="Aptos Narrow"/>
        <family val="2"/>
        <scheme val="minor"/>
      </rPr>
      <t>Calories counted</t>
    </r>
  </si>
  <si>
    <t>Swimming (moderate)</t>
  </si>
  <si>
    <t>Grilled Chicken Breast with Greens</t>
  </si>
  <si>
    <t>Yoga (hatha)</t>
  </si>
  <si>
    <t>Quinoa &amp; Roasted Vegetables Bowl</t>
  </si>
  <si>
    <t>Jump Rope</t>
  </si>
  <si>
    <t>Whole Wheat Turkey &amp; Avocado Wrap</t>
  </si>
  <si>
    <t>Dancing (ballroom)</t>
  </si>
  <si>
    <t>Lentil Soup with Whole Grain Bread</t>
  </si>
  <si>
    <t>Strength Training (general)</t>
  </si>
  <si>
    <t>Sushi Rolls (Salmon &amp; Veggie)</t>
  </si>
  <si>
    <t>Dinner</t>
  </si>
  <si>
    <t>Grilled Salmon with Steamed Vegetables</t>
  </si>
  <si>
    <t>Stir-fried Tofu with Brown Rice</t>
  </si>
  <si>
    <t>Baked Chicken Breast with Quinoa &amp; Asparagus</t>
  </si>
  <si>
    <t>Stuffed Bell Peppers with Lean Turkey</t>
  </si>
  <si>
    <t>Vegetable &amp; Chickpea Curry with Whole Grain Rice</t>
  </si>
  <si>
    <t>Adams BMI Checker</t>
  </si>
  <si>
    <t>if you do not know your weight in KG, use the converter to find how much you weigh</t>
  </si>
  <si>
    <t xml:space="preserve">Enter weight in lbl </t>
  </si>
  <si>
    <t>your weight in kg is:</t>
  </si>
  <si>
    <t>Starting heights (meters)</t>
  </si>
  <si>
    <t>Starting weights (KG)</t>
  </si>
  <si>
    <t xml:space="preserve">Your BMI is: </t>
  </si>
  <si>
    <t>Starting Weight</t>
  </si>
  <si>
    <t xml:space="preserve">Day 1 - Select your meal for the first day </t>
  </si>
  <si>
    <t>Day 1 - Select an activity</t>
  </si>
  <si>
    <t xml:space="preserve">Day 2 - Select your meal for the first day </t>
  </si>
  <si>
    <t>Day 2 - Select an activity</t>
  </si>
  <si>
    <t xml:space="preserve">Day 3 - Select your meal for the first day </t>
  </si>
  <si>
    <t>Day 3- Select an activity</t>
  </si>
  <si>
    <t xml:space="preserve">Day 4 - Select your meal for the first day </t>
  </si>
  <si>
    <t>Day 4- Select an activity</t>
  </si>
  <si>
    <t xml:space="preserve">Day 5- Select your meal for the first day </t>
  </si>
  <si>
    <t>Day 5 - Select an activity</t>
  </si>
  <si>
    <t xml:space="preserve">Day 6 - Select your meal for the first day </t>
  </si>
  <si>
    <t>Day 6- Select an activity</t>
  </si>
  <si>
    <t xml:space="preserve">Day 7 - Select your meal for the first day </t>
  </si>
  <si>
    <t>Day 7- Select an activity</t>
  </si>
  <si>
    <t xml:space="preserve">Calorie intake/Breakfast </t>
  </si>
  <si>
    <t>Activity</t>
  </si>
  <si>
    <t>Time spent on activity</t>
  </si>
  <si>
    <t>Calories per hour</t>
  </si>
  <si>
    <t>Calories per session</t>
  </si>
  <si>
    <t xml:space="preserve">Dancing </t>
  </si>
  <si>
    <t>Day 1- Results</t>
  </si>
  <si>
    <t>Day 2- Results</t>
  </si>
  <si>
    <t>Day 3- Results</t>
  </si>
  <si>
    <t>Day 4- Results</t>
  </si>
  <si>
    <t>Day 5- Results</t>
  </si>
  <si>
    <t>Day 6- Results</t>
  </si>
  <si>
    <t>Day 7- Results</t>
  </si>
  <si>
    <t>Total calories intake</t>
  </si>
  <si>
    <t>Calories diffrence-</t>
  </si>
  <si>
    <t>Total calories burned</t>
  </si>
  <si>
    <t>Result</t>
  </si>
  <si>
    <t>Weekly progess</t>
  </si>
  <si>
    <t>Total calories diffrence</t>
  </si>
  <si>
    <t>Weight lost (KG)</t>
  </si>
  <si>
    <t>Weight week 1</t>
  </si>
  <si>
    <t>BMI Week 1</t>
  </si>
  <si>
    <t>#</t>
  </si>
  <si>
    <t>Weight week 2</t>
  </si>
  <si>
    <t>BMI Week 2</t>
  </si>
  <si>
    <t>Weight week 3</t>
  </si>
  <si>
    <t>BMI Week 3</t>
  </si>
  <si>
    <t>Weight week 4</t>
  </si>
  <si>
    <t>BMI Week 4</t>
  </si>
  <si>
    <t>Weight week 5</t>
  </si>
  <si>
    <t>BMI Week 5</t>
  </si>
  <si>
    <t>Progress chart</t>
  </si>
  <si>
    <t>Change in weight across 5 weeks</t>
  </si>
  <si>
    <t>BMI across 5 weeks</t>
  </si>
  <si>
    <t>KG lost across 5 weeks</t>
  </si>
  <si>
    <t>Week 0</t>
  </si>
  <si>
    <t>Week1</t>
  </si>
  <si>
    <t>Week 1</t>
  </si>
  <si>
    <t>Week2</t>
  </si>
  <si>
    <t>Week 2</t>
  </si>
  <si>
    <t>Week3</t>
  </si>
  <si>
    <t>Week 3</t>
  </si>
  <si>
    <t>Week4</t>
  </si>
  <si>
    <t>Week 4</t>
  </si>
  <si>
    <t>Week5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</si>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</sst>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3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u/>
      <sz val="3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3" borderId="0" xfId="0" applyFill="1"/>
    <xf numFmtId="0" fontId="0" fillId="4" borderId="0" xfId="0" applyFill="1"/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17" xfId="0" applyFill="1" applyBorder="1"/>
    <xf numFmtId="2" fontId="0" fillId="2" borderId="17" xfId="0" applyNumberFormat="1" applyFill="1" applyBorder="1"/>
    <xf numFmtId="0" fontId="0" fillId="2" borderId="22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13" fillId="4" borderId="0" xfId="0" applyFont="1" applyFill="1"/>
    <xf numFmtId="0" fontId="6" fillId="2" borderId="11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2" fontId="0" fillId="2" borderId="17" xfId="0" applyNumberFormat="1" applyFill="1" applyBorder="1" applyAlignment="1">
      <alignment horizontal="center"/>
    </xf>
    <xf numFmtId="2" fontId="0" fillId="2" borderId="18" xfId="0" applyNumberFormat="1" applyFill="1" applyBorder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</cellXfs>
  <cellStyles count="1">
    <cellStyle name="Normal" xfId="0" builtinId="0"/>
  </cellStyles>
  <dxfs count="70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DC-4D4F-99F1-8864A34181D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DC-4D4F-99F1-8864A34181DA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DC-4D4F-99F1-8864A34181DA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DC-4D4F-99F1-8864A34181DA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DC-4D4F-99F1-8864A34181DA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0DC-4D4F-99F1-8864A34181DA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0DC-4D4F-99F1-8864A34181DA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0DC-4D4F-99F1-8864A34181DA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0DC-4D4F-99F1-8864A34181DA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0DC-4D4F-99F1-8864A34181DA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0DC-4D4F-99F1-8864A34181DA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0DC-4D4F-99F1-8864A34181DA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0DC-4D4F-99F1-8864A34181DA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0DC-4D4F-99F1-8864A34181DA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0DC-4D4F-99F1-8864A34181DA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0DC-4D4F-99F1-8864A34181DA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0DC-4D4F-99F1-8864A34181DA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0DC-4D4F-99F1-8864A34181DA}"/>
              </c:ext>
            </c:extLst>
          </c:dP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6-4F95-B8BA-B9B2ED1677E9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0DC-4D4F-99F1-8864A34181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0DC-4D4F-99F1-8864A34181D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0DC-4D4F-99F1-8864A34181D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0DC-4D4F-99F1-8864A34181D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0DC-4D4F-99F1-8864A34181D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0DC-4D4F-99F1-8864A34181D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0DC-4D4F-99F1-8864A34181D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0DC-4D4F-99F1-8864A34181D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0DC-4D4F-99F1-8864A34181D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0DC-4D4F-99F1-8864A34181D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0DC-4D4F-99F1-8864A34181D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0DC-4D4F-99F1-8864A34181D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0DC-4D4F-99F1-8864A34181D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0DC-4D4F-99F1-8864A34181D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60DC-4D4F-99F1-8864A34181D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60DC-4D4F-99F1-8864A34181D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60DC-4D4F-99F1-8864A34181D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60DC-4D4F-99F1-8864A34181DA}"/>
              </c:ext>
            </c:extLst>
          </c:dP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AD46-4F95-B8BA-B9B2ED1677E9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60DC-4D4F-99F1-8864A34181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0DC-4D4F-99F1-8864A34181D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0DC-4D4F-99F1-8864A34181D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0DC-4D4F-99F1-8864A34181D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0DC-4D4F-99F1-8864A34181D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0DC-4D4F-99F1-8864A34181D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0DC-4D4F-99F1-8864A34181D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0DC-4D4F-99F1-8864A34181D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0DC-4D4F-99F1-8864A34181D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0DC-4D4F-99F1-8864A34181D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0DC-4D4F-99F1-8864A34181D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0DC-4D4F-99F1-8864A34181DA}"/>
              </c:ext>
            </c:extLst>
          </c:dPt>
          <c:val>
            <c:numRef>
              <c:f>Week1!$F$11:$F$22</c:f>
              <c:numCache>
                <c:formatCode>General</c:formatCode>
                <c:ptCount val="12"/>
                <c:pt idx="0">
                  <c:v>310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6-4F95-B8BA-B9B2ED167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12-4C82-8B3F-99B40C98092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12-4C82-8B3F-99B40C98092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12-4C82-8B3F-99B40C980927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12-4C82-8B3F-99B40C980927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12-4C82-8B3F-99B40C980927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212-4C82-8B3F-99B40C980927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212-4C82-8B3F-99B40C980927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212-4C82-8B3F-99B40C980927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212-4C82-8B3F-99B40C980927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212-4C82-8B3F-99B40C980927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212-4C82-8B3F-99B40C980927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212-4C82-8B3F-99B40C980927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212-4C82-8B3F-99B40C980927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212-4C82-8B3F-99B40C980927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212-4C82-8B3F-99B40C980927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212-4C82-8B3F-99B40C980927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212-4C82-8B3F-99B40C980927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212-4C82-8B3F-99B40C980927}"/>
              </c:ext>
            </c:extLst>
          </c:dP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212-4C82-8B3F-99B40C980927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B212-4C82-8B3F-99B40C98092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B212-4C82-8B3F-99B40C98092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B212-4C82-8B3F-99B40C98092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B212-4C82-8B3F-99B40C98092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B212-4C82-8B3F-99B40C98092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B212-4C82-8B3F-99B40C98092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B212-4C82-8B3F-99B40C98092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B212-4C82-8B3F-99B40C98092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B212-4C82-8B3F-99B40C98092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B212-4C82-8B3F-99B40C98092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B212-4C82-8B3F-99B40C98092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B212-4C82-8B3F-99B40C98092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B212-4C82-8B3F-99B40C98092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B212-4C82-8B3F-99B40C98092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B212-4C82-8B3F-99B40C980927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B212-4C82-8B3F-99B40C980927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B212-4C82-8B3F-99B40C980927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B212-4C82-8B3F-99B40C980927}"/>
              </c:ext>
            </c:extLst>
          </c:dP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49-B212-4C82-8B3F-99B40C980927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12-4C82-8B3F-99B40C98092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12-4C82-8B3F-99B40C98092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12-4C82-8B3F-99B40C98092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212-4C82-8B3F-99B40C98092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212-4C82-8B3F-99B40C98092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212-4C82-8B3F-99B40C98092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212-4C82-8B3F-99B40C98092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212-4C82-8B3F-99B40C98092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212-4C82-8B3F-99B40C98092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212-4C82-8B3F-99B40C98092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212-4C82-8B3F-99B40C98092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212-4C82-8B3F-99B40C980927}"/>
              </c:ext>
            </c:extLst>
          </c:dPt>
          <c:val>
            <c:numRef>
              <c:f>Week1!$F$11:$F$22</c:f>
              <c:numCache>
                <c:formatCode>General</c:formatCode>
                <c:ptCount val="12"/>
                <c:pt idx="0">
                  <c:v>310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B212-4C82-8B3F-99B40C980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B0-454D-8013-108639A9DCE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B0-454D-8013-108639A9DCE4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B0-454D-8013-108639A9DCE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B0-454D-8013-108639A9DCE4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B0-454D-8013-108639A9DCE4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4B0-454D-8013-108639A9DCE4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4B0-454D-8013-108639A9DCE4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4B0-454D-8013-108639A9DCE4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4B0-454D-8013-108639A9DCE4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4B0-454D-8013-108639A9DCE4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4B0-454D-8013-108639A9DCE4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4B0-454D-8013-108639A9DCE4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4B0-454D-8013-108639A9DCE4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4B0-454D-8013-108639A9DCE4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4B0-454D-8013-108639A9DCE4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4B0-454D-8013-108639A9DCE4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4B0-454D-8013-108639A9DCE4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4B0-454D-8013-108639A9DCE4}"/>
              </c:ext>
            </c:extLst>
          </c:dP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4B0-454D-8013-108639A9DCE4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E4B0-454D-8013-108639A9DC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E4B0-454D-8013-108639A9DC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E4B0-454D-8013-108639A9DC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E4B0-454D-8013-108639A9DC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E4B0-454D-8013-108639A9DC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E4B0-454D-8013-108639A9DCE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E4B0-454D-8013-108639A9DCE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E4B0-454D-8013-108639A9DCE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E4B0-454D-8013-108639A9DCE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E4B0-454D-8013-108639A9DCE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E4B0-454D-8013-108639A9DCE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E4B0-454D-8013-108639A9DCE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E4B0-454D-8013-108639A9DCE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E4B0-454D-8013-108639A9DCE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E4B0-454D-8013-108639A9DCE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E4B0-454D-8013-108639A9DCE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E4B0-454D-8013-108639A9DCE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E4B0-454D-8013-108639A9DCE4}"/>
              </c:ext>
            </c:extLst>
          </c:dP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49-E4B0-454D-8013-108639A9DCE4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E4B0-454D-8013-108639A9DC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E4B0-454D-8013-108639A9DC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E4B0-454D-8013-108639A9DC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E4B0-454D-8013-108639A9DC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E4B0-454D-8013-108639A9DC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E4B0-454D-8013-108639A9DCE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E4B0-454D-8013-108639A9DCE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E4B0-454D-8013-108639A9DCE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E4B0-454D-8013-108639A9DCE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E4B0-454D-8013-108639A9DCE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E4B0-454D-8013-108639A9DCE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E4B0-454D-8013-108639A9DCE4}"/>
              </c:ext>
            </c:extLst>
          </c:dPt>
          <c:val>
            <c:numRef>
              <c:f>Week1!$F$11:$F$22</c:f>
              <c:numCache>
                <c:formatCode>General</c:formatCode>
                <c:ptCount val="12"/>
                <c:pt idx="0">
                  <c:v>310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E4B0-454D-8013-108639A9D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F3-423F-9111-BFD36D7C45E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F3-423F-9111-BFD36D7C45E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F3-423F-9111-BFD36D7C45E8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F3-423F-9111-BFD36D7C45E8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F3-423F-9111-BFD36D7C45E8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4F3-423F-9111-BFD36D7C45E8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4F3-423F-9111-BFD36D7C45E8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4F3-423F-9111-BFD36D7C45E8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4F3-423F-9111-BFD36D7C45E8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4F3-423F-9111-BFD36D7C45E8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4F3-423F-9111-BFD36D7C45E8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4F3-423F-9111-BFD36D7C45E8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4F3-423F-9111-BFD36D7C45E8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4F3-423F-9111-BFD36D7C45E8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4F3-423F-9111-BFD36D7C45E8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4F3-423F-9111-BFD36D7C45E8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4F3-423F-9111-BFD36D7C45E8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4F3-423F-9111-BFD36D7C45E8}"/>
              </c:ext>
            </c:extLst>
          </c:dP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4F3-423F-9111-BFD36D7C45E8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54F3-423F-9111-BFD36D7C45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54F3-423F-9111-BFD36D7C45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54F3-423F-9111-BFD36D7C45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54F3-423F-9111-BFD36D7C45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54F3-423F-9111-BFD36D7C45E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54F3-423F-9111-BFD36D7C45E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54F3-423F-9111-BFD36D7C45E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54F3-423F-9111-BFD36D7C45E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54F3-423F-9111-BFD36D7C45E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54F3-423F-9111-BFD36D7C45E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54F3-423F-9111-BFD36D7C45E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54F3-423F-9111-BFD36D7C45E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54F3-423F-9111-BFD36D7C45E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54F3-423F-9111-BFD36D7C45E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54F3-423F-9111-BFD36D7C45E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54F3-423F-9111-BFD36D7C45E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54F3-423F-9111-BFD36D7C45E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54F3-423F-9111-BFD36D7C45E8}"/>
              </c:ext>
            </c:extLst>
          </c:dP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49-54F3-423F-9111-BFD36D7C45E8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54F3-423F-9111-BFD36D7C45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54F3-423F-9111-BFD36D7C45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54F3-423F-9111-BFD36D7C45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54F3-423F-9111-BFD36D7C45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54F3-423F-9111-BFD36D7C45E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54F3-423F-9111-BFD36D7C45E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54F3-423F-9111-BFD36D7C45E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54F3-423F-9111-BFD36D7C45E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54F3-423F-9111-BFD36D7C45E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54F3-423F-9111-BFD36D7C45E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54F3-423F-9111-BFD36D7C45E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54F3-423F-9111-BFD36D7C45E8}"/>
              </c:ext>
            </c:extLst>
          </c:dPt>
          <c:val>
            <c:numRef>
              <c:f>Week1!$F$11:$F$22</c:f>
              <c:numCache>
                <c:formatCode>General</c:formatCode>
                <c:ptCount val="12"/>
                <c:pt idx="0">
                  <c:v>310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54F3-423F-9111-BFD36D7C4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B5-4A7C-9736-28719F5BE4B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B5-4A7C-9736-28719F5BE4B0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B5-4A7C-9736-28719F5BE4B0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B5-4A7C-9736-28719F5BE4B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FB5-4A7C-9736-28719F5BE4B0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FB5-4A7C-9736-28719F5BE4B0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FB5-4A7C-9736-28719F5BE4B0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FB5-4A7C-9736-28719F5BE4B0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FB5-4A7C-9736-28719F5BE4B0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FB5-4A7C-9736-28719F5BE4B0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FB5-4A7C-9736-28719F5BE4B0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FB5-4A7C-9736-28719F5BE4B0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FB5-4A7C-9736-28719F5BE4B0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FB5-4A7C-9736-28719F5BE4B0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FB5-4A7C-9736-28719F5BE4B0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FB5-4A7C-9736-28719F5BE4B0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FB5-4A7C-9736-28719F5BE4B0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FB5-4A7C-9736-28719F5BE4B0}"/>
              </c:ext>
            </c:extLst>
          </c:dP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FB5-4A7C-9736-28719F5BE4B0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FB5-4A7C-9736-28719F5BE4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FB5-4A7C-9736-28719F5BE4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FB5-4A7C-9736-28719F5BE4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6FB5-4A7C-9736-28719F5BE4B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6FB5-4A7C-9736-28719F5BE4B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6FB5-4A7C-9736-28719F5BE4B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6FB5-4A7C-9736-28719F5BE4B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6FB5-4A7C-9736-28719F5BE4B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6FB5-4A7C-9736-28719F5BE4B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6FB5-4A7C-9736-28719F5BE4B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6FB5-4A7C-9736-28719F5BE4B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6FB5-4A7C-9736-28719F5BE4B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6FB5-4A7C-9736-28719F5BE4B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6FB5-4A7C-9736-28719F5BE4B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6FB5-4A7C-9736-28719F5BE4B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6FB5-4A7C-9736-28719F5BE4B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6FB5-4A7C-9736-28719F5BE4B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6FB5-4A7C-9736-28719F5BE4B0}"/>
              </c:ext>
            </c:extLst>
          </c:dP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49-6FB5-4A7C-9736-28719F5BE4B0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FB5-4A7C-9736-28719F5BE4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FB5-4A7C-9736-28719F5BE4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FB5-4A7C-9736-28719F5BE4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FB5-4A7C-9736-28719F5BE4B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FB5-4A7C-9736-28719F5BE4B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FB5-4A7C-9736-28719F5BE4B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FB5-4A7C-9736-28719F5BE4B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FB5-4A7C-9736-28719F5BE4B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FB5-4A7C-9736-28719F5BE4B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FB5-4A7C-9736-28719F5BE4B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FB5-4A7C-9736-28719F5BE4B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6FB5-4A7C-9736-28719F5BE4B0}"/>
              </c:ext>
            </c:extLst>
          </c:dPt>
          <c:val>
            <c:numRef>
              <c:f>Week1!$F$11:$F$22</c:f>
              <c:numCache>
                <c:formatCode>General</c:formatCode>
                <c:ptCount val="12"/>
                <c:pt idx="0">
                  <c:v>310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6FB5-4A7C-9736-28719F5B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Weekly weight lost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'Progress Week'!$A$8:$A$13</c:f>
              <c:strCache>
                <c:ptCount val="6"/>
                <c:pt idx="0">
                  <c:v>Week 0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</c:strCache>
            </c:strRef>
          </c:cat>
          <c:val>
            <c:numRef>
              <c:f>'Progress Week'!$B$8:$B$13</c:f>
              <c:numCache>
                <c:formatCode>General</c:formatCode>
                <c:ptCount val="6"/>
                <c:pt idx="0">
                  <c:v>200</c:v>
                </c:pt>
                <c:pt idx="1">
                  <c:v>-178.20974025974027</c:v>
                </c:pt>
                <c:pt idx="2">
                  <c:v>159.17846753246752</c:v>
                </c:pt>
                <c:pt idx="3">
                  <c:v>141.8911948051948</c:v>
                </c:pt>
                <c:pt idx="4">
                  <c:v>125.94646753246754</c:v>
                </c:pt>
                <c:pt idx="5">
                  <c:v>111.77337662337662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A-4248-8E9C-C51FB53A6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5988416"/>
        <c:axId val="1656727024"/>
      </c:lineChart>
      <c:catAx>
        <c:axId val="16759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727024"/>
        <c:crosses val="autoZero"/>
        <c:auto val="1"/>
        <c:lblAlgn val="ctr"/>
        <c:lblOffset val="100"/>
        <c:noMultiLvlLbl val="0"/>
      </c:catAx>
      <c:valAx>
        <c:axId val="16567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8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BMI across 5 weeks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'Progress Week'!$K$8:$K$13</c:f>
              <c:strCache>
                <c:ptCount val="6"/>
                <c:pt idx="0">
                  <c:v>Week 0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</c:strCache>
            </c:strRef>
          </c:cat>
          <c:val>
            <c:numRef>
              <c:f>'Progress Week'!$L$8:$L$13</c:f>
              <c:numCache>
                <c:formatCode>General</c:formatCode>
                <c:ptCount val="6"/>
                <c:pt idx="0">
                  <c:v>50</c:v>
                </c:pt>
                <c:pt idx="1">
                  <c:v>58.183593749999986</c:v>
                </c:pt>
                <c:pt idx="2">
                  <c:v>58.183593749999986</c:v>
                </c:pt>
                <c:pt idx="3">
                  <c:v>58.183593749999986</c:v>
                </c:pt>
                <c:pt idx="4">
                  <c:v>58.183593749999986</c:v>
                </c:pt>
                <c:pt idx="5">
                  <c:v>58.183593749999986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8-4C0E-985E-3EEE948F9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429840"/>
        <c:axId val="1669430800"/>
      </c:lineChart>
      <c:catAx>
        <c:axId val="166942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30800"/>
        <c:crosses val="autoZero"/>
        <c:auto val="1"/>
        <c:lblAlgn val="ctr"/>
        <c:lblOffset val="100"/>
        <c:noMultiLvlLbl val="0"/>
      </c:catAx>
      <c:valAx>
        <c:axId val="16694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2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KG lost</a:t>
            </a:r>
            <a:r>
              <a:rPr lang="en-GB" baseline="0"/>
              <a:t> across 5 weeks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'Progress Week'!$S$8:$S$12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'Progress Week'!$T$8:$T$12</c:f>
              <c:numCache>
                <c:formatCode>General</c:formatCode>
                <c:ptCount val="5"/>
                <c:pt idx="0">
                  <c:v>21.790259740259739</c:v>
                </c:pt>
                <c:pt idx="1">
                  <c:v>18.821532467532467</c:v>
                </c:pt>
                <c:pt idx="2">
                  <c:v>17.108805194805193</c:v>
                </c:pt>
                <c:pt idx="3">
                  <c:v>15.053532467532468</c:v>
                </c:pt>
                <c:pt idx="4">
                  <c:v>13.226623376623376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0-49DC-BAFE-C32F6EC4D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19923775"/>
        <c:axId val="1419922815"/>
      </c:barChart>
      <c:catAx>
        <c:axId val="141992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22815"/>
        <c:crosses val="autoZero"/>
        <c:auto val="1"/>
        <c:lblAlgn val="ctr"/>
        <c:lblOffset val="100"/>
        <c:noMultiLvlLbl val="0"/>
      </c:catAx>
      <c:valAx>
        <c:axId val="141992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2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hart" Target="../charts/chart8.xml"/><Relationship Id="rId7" Type="http://schemas.openxmlformats.org/officeDocument/2006/relationships/image" Target="../media/image6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447675</xdr:colOff>
      <xdr:row>11</xdr:row>
      <xdr:rowOff>73808</xdr:rowOff>
    </xdr:from>
    <xdr:to>
      <xdr:col>12</xdr:col>
      <xdr:colOff>71167</xdr:colOff>
      <xdr:row>25</xdr:row>
      <xdr:rowOff>123826</xdr:rowOff>
    </xdr:to>
    <xdr:pic>
      <xdr:nvPicPr>
        <xdr:cNvPr id="2" name="Picture 1" descr="Body Mass Index Infographic Chart. Colorful BMI Chart Vector ...">
          <a:extLst>
            <a:ext uri="{FF2B5EF4-FFF2-40B4-BE49-F238E27FC236}">
              <a16:creationId xmlns:a16="http://schemas.microsoft.com/office/drawing/2014/main" id="{685A31B6-E66A-6A28-DCB2-84F23879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2197883"/>
          <a:ext cx="4309792" cy="2755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304800</xdr:colOff>
      <xdr:row>22</xdr:row>
      <xdr:rowOff>114300</xdr:rowOff>
    </xdr:to>
    <xdr:sp macro="" textlink="">
      <xdr:nvSpPr>
        <xdr:cNvPr id="1025" name="AutoShape 1" descr="BMI classification chart measurement woman set. Female Body Mass Index ...">
          <a:extLst>
            <a:ext uri="{FF2B5EF4-FFF2-40B4-BE49-F238E27FC236}">
              <a16:creationId xmlns:a16="http://schemas.microsoft.com/office/drawing/2014/main" id="{BB99CEB0-4293-9E22-6B4E-A2080643AB9E}"/>
            </a:ext>
          </a:extLst>
        </xdr:cNvPr>
        <xdr:cNvSpPr>
          <a:spLocks noChangeAspect="1" noChangeArrowheads="1"/>
        </xdr:cNvSpPr>
      </xdr:nvSpPr>
      <xdr:spPr bwMode="auto">
        <a:xfrm>
          <a:off x="107823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304800</xdr:colOff>
      <xdr:row>15</xdr:row>
      <xdr:rowOff>104774</xdr:rowOff>
    </xdr:to>
    <xdr:sp macro="" textlink="">
      <xdr:nvSpPr>
        <xdr:cNvPr id="1026" name="AutoShape 2" descr="BMI classification chart measurement woman set. Female Body Mass Index ...">
          <a:extLst>
            <a:ext uri="{FF2B5EF4-FFF2-40B4-BE49-F238E27FC236}">
              <a16:creationId xmlns:a16="http://schemas.microsoft.com/office/drawing/2014/main" id="{0481F38F-4E05-BBC2-B440-15511CA4C641}"/>
            </a:ext>
          </a:extLst>
        </xdr:cNvPr>
        <xdr:cNvSpPr>
          <a:spLocks noChangeAspect="1" noChangeArrowheads="1"/>
        </xdr:cNvSpPr>
      </xdr:nvSpPr>
      <xdr:spPr bwMode="auto">
        <a:xfrm>
          <a:off x="107823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533400</xdr:colOff>
      <xdr:row>11</xdr:row>
      <xdr:rowOff>92771</xdr:rowOff>
    </xdr:from>
    <xdr:to>
      <xdr:col>20</xdr:col>
      <xdr:colOff>466724</xdr:colOff>
      <xdr:row>24</xdr:row>
      <xdr:rowOff>142873</xdr:rowOff>
    </xdr:to>
    <xdr:pic>
      <xdr:nvPicPr>
        <xdr:cNvPr id="3" name="Picture 2" descr="BMI classification chart measurement woman set. Female Body Mass Index ...">
          <a:extLst>
            <a:ext uri="{FF2B5EF4-FFF2-40B4-BE49-F238E27FC236}">
              <a16:creationId xmlns:a16="http://schemas.microsoft.com/office/drawing/2014/main" id="{AD3560A6-43A7-A646-AACD-DEC894B7C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2216846"/>
          <a:ext cx="4810124" cy="2564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36</xdr:row>
      <xdr:rowOff>173566</xdr:rowOff>
    </xdr:from>
    <xdr:to>
      <xdr:col>18</xdr:col>
      <xdr:colOff>232833</xdr:colOff>
      <xdr:row>58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2D1E2-0F98-03E2-D9CB-31763E0D2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37</xdr:row>
      <xdr:rowOff>148167</xdr:rowOff>
    </xdr:from>
    <xdr:to>
      <xdr:col>18</xdr:col>
      <xdr:colOff>84666</xdr:colOff>
      <xdr:row>59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7B564-5C99-4C62-AF5F-702300F0D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1037167</xdr:colOff>
      <xdr:row>35</xdr:row>
      <xdr:rowOff>148166</xdr:rowOff>
    </xdr:from>
    <xdr:to>
      <xdr:col>19</xdr:col>
      <xdr:colOff>444499</xdr:colOff>
      <xdr:row>57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5E09E-EE72-4FB5-BC0D-9ED015388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169334</xdr:colOff>
      <xdr:row>37</xdr:row>
      <xdr:rowOff>63500</xdr:rowOff>
    </xdr:from>
    <xdr:to>
      <xdr:col>21</xdr:col>
      <xdr:colOff>423333</xdr:colOff>
      <xdr:row>58</xdr:row>
      <xdr:rowOff>143933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E5280-9287-4F0F-BE4D-3A14E76AA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84666</xdr:colOff>
      <xdr:row>45</xdr:row>
      <xdr:rowOff>21167</xdr:rowOff>
    </xdr:from>
    <xdr:to>
      <xdr:col>24</xdr:col>
      <xdr:colOff>359832</xdr:colOff>
      <xdr:row>64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94F00-70DC-4705-890D-FC9B2A4B3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157691</xdr:rowOff>
    </xdr:from>
    <xdr:to>
      <xdr:col>7</xdr:col>
      <xdr:colOff>275167</xdr:colOff>
      <xdr:row>22</xdr:row>
      <xdr:rowOff>22224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7CCB2-C531-B730-7A7B-5901B3A94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15875</xdr:colOff>
      <xdr:row>6</xdr:row>
      <xdr:rowOff>157694</xdr:rowOff>
    </xdr:from>
    <xdr:to>
      <xdr:col>15</xdr:col>
      <xdr:colOff>291042</xdr:colOff>
      <xdr:row>22</xdr:row>
      <xdr:rowOff>22227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BCBE2-BBC3-1873-CDA8-5226E4D33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185209</xdr:colOff>
      <xdr:row>6</xdr:row>
      <xdr:rowOff>136524</xdr:rowOff>
    </xdr:from>
    <xdr:to>
      <xdr:col>24</xdr:col>
      <xdr:colOff>460376</xdr:colOff>
      <xdr:row>22</xdr:row>
      <xdr:rowOff>1057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747E60-796E-571C-5732-15350F39B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444501</xdr:colOff>
      <xdr:row>5</xdr:row>
      <xdr:rowOff>63499</xdr:rowOff>
    </xdr:from>
    <xdr:to>
      <xdr:col>29</xdr:col>
      <xdr:colOff>94192</xdr:colOff>
      <xdr:row>8</xdr:row>
      <xdr:rowOff>152399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7F22CC-596B-16E1-BBCB-0FD1B22E7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0334" y="963082"/>
          <a:ext cx="2105025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253999</xdr:colOff>
      <xdr:row>23</xdr:row>
      <xdr:rowOff>169334</xdr:rowOff>
    </xdr:from>
    <xdr:to>
      <xdr:col>3</xdr:col>
      <xdr:colOff>565149</xdr:colOff>
      <xdr:row>27</xdr:row>
      <xdr:rowOff>78317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42D9D2C-2E91-B095-CAAF-D123E3E4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4307417"/>
          <a:ext cx="2152650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24</xdr:row>
      <xdr:rowOff>0</xdr:rowOff>
    </xdr:from>
    <xdr:to>
      <xdr:col>7</xdr:col>
      <xdr:colOff>307975</xdr:colOff>
      <xdr:row>27</xdr:row>
      <xdr:rowOff>88900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96998C2-0862-902C-6FE7-1CC92F57A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833" y="4318000"/>
          <a:ext cx="1704975" cy="62865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24</xdr:row>
      <xdr:rowOff>10582</xdr:rowOff>
    </xdr:from>
    <xdr:to>
      <xdr:col>10</xdr:col>
      <xdr:colOff>578909</xdr:colOff>
      <xdr:row>27</xdr:row>
      <xdr:rowOff>99482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20CAF00-F2A5-2AD1-26AC-F0F1AD0C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4167" y="4328582"/>
          <a:ext cx="1743075" cy="628650"/>
        </a:xfrm>
        <a:prstGeom prst="rect">
          <a:avLst/>
        </a:prstGeom>
      </xdr:spPr>
    </xdr:pic>
    <xdr:clientData/>
  </xdr:twoCellAnchor>
  <xdr:twoCellAnchor editAs="oneCell">
    <xdr:from>
      <xdr:col>14</xdr:col>
      <xdr:colOff>465666</xdr:colOff>
      <xdr:row>24</xdr:row>
      <xdr:rowOff>42333</xdr:rowOff>
    </xdr:from>
    <xdr:to>
      <xdr:col>17</xdr:col>
      <xdr:colOff>367241</xdr:colOff>
      <xdr:row>27</xdr:row>
      <xdr:rowOff>131233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B8C9E3A-9DC7-E5F2-823E-545E1BD7B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9333" y="4360333"/>
          <a:ext cx="1743075" cy="628650"/>
        </a:xfrm>
        <a:prstGeom prst="rect">
          <a:avLst/>
        </a:prstGeom>
      </xdr:spPr>
    </xdr:pic>
    <xdr:clientData/>
  </xdr:twoCellAnchor>
  <xdr:twoCellAnchor editAs="oneCell">
    <xdr:from>
      <xdr:col>11</xdr:col>
      <xdr:colOff>306917</xdr:colOff>
      <xdr:row>24</xdr:row>
      <xdr:rowOff>42333</xdr:rowOff>
    </xdr:from>
    <xdr:to>
      <xdr:col>14</xdr:col>
      <xdr:colOff>198967</xdr:colOff>
      <xdr:row>27</xdr:row>
      <xdr:rowOff>131233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2F5F4EE-F93E-345C-0E29-E6ED61AA0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9084" y="4360333"/>
          <a:ext cx="1733550" cy="628650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95251</xdr:colOff>
      <xdr:row>24</xdr:row>
      <xdr:rowOff>74083</xdr:rowOff>
    </xdr:from>
    <xdr:to>
      <xdr:col>20</xdr:col>
      <xdr:colOff>601134</xdr:colOff>
      <xdr:row>27</xdr:row>
      <xdr:rowOff>162983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3F66DFF-3D93-169B-7BE4-93F7E0B5C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1" y="4392083"/>
          <a:ext cx="173355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79A1-0293-4610-A87A-54D4D32183F9}">
  <dimension ref="A1:AA38"/>
  <sheetViews>
    <sheetView zoomScale="30" zoomScaleNormal="30" workbookViewId="0">
      <selection activeCell="L38" sqref="L38"/>
    </sheetView>
  </sheetViews>
  <sheetFormatPr defaultRowHeight="14.45"/>
  <cols>
    <col min="1" max="1" width="37.5703125" bestFit="1" customWidth="1"/>
    <col min="2" max="2" width="35.7109375" customWidth="1"/>
    <col min="3" max="3" width="21.7109375" customWidth="1"/>
    <col min="4" max="4" width="6.85546875" customWidth="1"/>
    <col min="5" max="5" width="30.5703125" customWidth="1"/>
    <col min="6" max="6" width="40.42578125" customWidth="1"/>
    <col min="9" max="9" width="29.85546875" customWidth="1"/>
  </cols>
  <sheetData>
    <row r="1" spans="1:27" ht="1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27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thickBot="1">
      <c r="A9" s="38" t="s">
        <v>1</v>
      </c>
      <c r="B9" s="41" t="s">
        <v>2</v>
      </c>
      <c r="C9" s="9"/>
      <c r="D9" s="10"/>
      <c r="E9" s="10"/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>
      <c r="A10" s="39"/>
      <c r="B10" s="42"/>
      <c r="C10" s="9"/>
      <c r="D10" s="10"/>
      <c r="E10" s="38" t="s">
        <v>3</v>
      </c>
      <c r="F10" s="41" t="s">
        <v>4</v>
      </c>
      <c r="G10" s="10"/>
      <c r="H10" s="2"/>
      <c r="I10" s="38" t="s">
        <v>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>
      <c r="A11" s="40"/>
      <c r="B11" s="43"/>
      <c r="C11" s="9"/>
      <c r="D11" s="10"/>
      <c r="E11" s="39"/>
      <c r="F11" s="42"/>
      <c r="G11" s="10"/>
      <c r="H11" s="2"/>
      <c r="I11" s="3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8.75" customHeight="1" thickBot="1">
      <c r="A12" s="3" t="s">
        <v>6</v>
      </c>
      <c r="B12" s="4">
        <v>310</v>
      </c>
      <c r="C12" s="2"/>
      <c r="D12" s="2"/>
      <c r="E12" s="40"/>
      <c r="F12" s="43"/>
      <c r="G12" s="2"/>
      <c r="H12" s="2"/>
      <c r="I12" s="4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5.1">
      <c r="A13" s="3" t="s">
        <v>7</v>
      </c>
      <c r="B13" s="4">
        <v>265</v>
      </c>
      <c r="C13" s="2"/>
      <c r="D13" s="2"/>
      <c r="E13" s="3" t="s">
        <v>8</v>
      </c>
      <c r="F13" s="8">
        <v>5.5</v>
      </c>
      <c r="G13" s="2"/>
      <c r="H13" s="2"/>
      <c r="I13" s="5">
        <v>30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7.45">
      <c r="A14" s="3" t="s">
        <v>9</v>
      </c>
      <c r="B14" s="4">
        <v>340</v>
      </c>
      <c r="C14" s="2"/>
      <c r="D14" s="2"/>
      <c r="E14" s="3" t="s">
        <v>10</v>
      </c>
      <c r="F14" s="8">
        <v>8</v>
      </c>
      <c r="G14" s="2"/>
      <c r="H14" s="2"/>
      <c r="I14" s="8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5.1">
      <c r="A15" s="3" t="s">
        <v>11</v>
      </c>
      <c r="B15" s="4">
        <v>300</v>
      </c>
      <c r="C15" s="2"/>
      <c r="D15" s="2"/>
      <c r="E15" s="3" t="s">
        <v>12</v>
      </c>
      <c r="F15" s="8">
        <v>4</v>
      </c>
      <c r="G15" s="2"/>
      <c r="H15" s="2"/>
      <c r="I15" s="8">
        <v>20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7.45">
      <c r="A16" s="3" t="s">
        <v>13</v>
      </c>
      <c r="B16" s="4">
        <v>250</v>
      </c>
      <c r="C16" s="2"/>
      <c r="D16" s="2"/>
      <c r="E16" s="3" t="s">
        <v>14</v>
      </c>
      <c r="F16" s="8">
        <v>9.8000000000000007</v>
      </c>
      <c r="G16" s="2"/>
      <c r="H16" s="2"/>
      <c r="I16" s="8">
        <v>30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8.5">
      <c r="A17" s="6" t="s">
        <v>15</v>
      </c>
      <c r="B17" s="7" t="s">
        <v>16</v>
      </c>
      <c r="C17" s="2"/>
      <c r="D17" s="2"/>
      <c r="E17" s="3" t="s">
        <v>17</v>
      </c>
      <c r="F17" s="8">
        <v>6</v>
      </c>
      <c r="G17" s="2"/>
      <c r="H17" s="2"/>
      <c r="I17" s="8">
        <v>45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35.1">
      <c r="A18" s="3" t="s">
        <v>18</v>
      </c>
      <c r="B18" s="8">
        <v>350</v>
      </c>
      <c r="C18" s="2"/>
      <c r="D18" s="2"/>
      <c r="E18" s="3" t="s">
        <v>19</v>
      </c>
      <c r="F18" s="8">
        <v>2.5</v>
      </c>
      <c r="G18" s="2"/>
      <c r="H18" s="2"/>
      <c r="I18" s="8">
        <v>15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35.1">
      <c r="A19" s="3" t="s">
        <v>20</v>
      </c>
      <c r="B19" s="8">
        <v>400</v>
      </c>
      <c r="C19" s="2"/>
      <c r="D19" s="2"/>
      <c r="E19" s="3" t="s">
        <v>21</v>
      </c>
      <c r="F19" s="8">
        <v>10</v>
      </c>
      <c r="G19" s="2"/>
      <c r="H19" s="2"/>
      <c r="I19" s="8">
        <v>30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35.1">
      <c r="A20" s="3" t="s">
        <v>22</v>
      </c>
      <c r="B20" s="8">
        <v>450</v>
      </c>
      <c r="C20" s="2"/>
      <c r="D20" s="2"/>
      <c r="E20" s="3" t="s">
        <v>23</v>
      </c>
      <c r="F20" s="8">
        <v>4.8</v>
      </c>
      <c r="G20" s="2"/>
      <c r="H20" s="2"/>
      <c r="I20" s="8">
        <v>45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35.1">
      <c r="A21" s="3" t="s">
        <v>24</v>
      </c>
      <c r="B21" s="8">
        <v>400</v>
      </c>
      <c r="C21" s="2"/>
      <c r="D21" s="2"/>
      <c r="E21" s="3" t="s">
        <v>25</v>
      </c>
      <c r="F21" s="8">
        <v>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5.1">
      <c r="A22" s="3" t="s">
        <v>26</v>
      </c>
      <c r="B22" s="8">
        <v>350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8.5">
      <c r="A23" s="6" t="s">
        <v>27</v>
      </c>
      <c r="B23" s="7" t="s">
        <v>16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35.1">
      <c r="A24" s="3" t="s">
        <v>28</v>
      </c>
      <c r="B24" s="18">
        <v>450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5.1">
      <c r="A25" s="3" t="s">
        <v>29</v>
      </c>
      <c r="B25" s="18">
        <v>500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35.1">
      <c r="A26" s="3" t="s">
        <v>30</v>
      </c>
      <c r="B26" s="18">
        <v>480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35.1">
      <c r="A27" s="3" t="s">
        <v>31</v>
      </c>
      <c r="B27" s="18">
        <v>470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35.1">
      <c r="A28" s="3" t="s">
        <v>32</v>
      </c>
      <c r="B28" s="18">
        <v>520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</sheetData>
  <mergeCells count="6">
    <mergeCell ref="A1:AA4"/>
    <mergeCell ref="A9:A11"/>
    <mergeCell ref="B9:B11"/>
    <mergeCell ref="E10:E12"/>
    <mergeCell ref="F10:F12"/>
    <mergeCell ref="I10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8BC2-01B4-4CBE-B747-72B76E0D83C5}">
  <dimension ref="A1:AF42"/>
  <sheetViews>
    <sheetView topLeftCell="A3" zoomScale="60" zoomScaleNormal="60" workbookViewId="0">
      <selection activeCell="F14" sqref="F14"/>
    </sheetView>
  </sheetViews>
  <sheetFormatPr defaultRowHeight="14.45"/>
  <cols>
    <col min="8" max="8" width="15.42578125" customWidth="1"/>
  </cols>
  <sheetData>
    <row r="1" spans="1:32" ht="15" customHeight="1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32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" customHeight="1">
      <c r="A8" s="52" t="s">
        <v>34</v>
      </c>
      <c r="B8" s="53"/>
      <c r="C8" s="53"/>
      <c r="D8" s="53"/>
      <c r="E8" s="53"/>
      <c r="F8" s="53"/>
      <c r="G8" s="53"/>
      <c r="H8" s="53"/>
      <c r="I8" s="53"/>
      <c r="J8" s="5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55"/>
      <c r="B9" s="56"/>
      <c r="C9" s="56"/>
      <c r="D9" s="56"/>
      <c r="E9" s="56"/>
      <c r="F9" s="56"/>
      <c r="G9" s="56"/>
      <c r="H9" s="56"/>
      <c r="I9" s="56"/>
      <c r="J9" s="5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5" thickBot="1">
      <c r="A10" s="50" t="s">
        <v>35</v>
      </c>
      <c r="B10" s="51"/>
      <c r="C10" s="51"/>
      <c r="D10" s="51"/>
      <c r="E10" s="12">
        <v>151</v>
      </c>
      <c r="F10" s="11"/>
      <c r="G10" s="58" t="s">
        <v>36</v>
      </c>
      <c r="H10" s="51"/>
      <c r="I10" s="59">
        <f>CONVERT(E10,"lbm","kg")</f>
        <v>68.492447870000007</v>
      </c>
      <c r="J10" s="6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5" thickBot="1">
      <c r="A13" s="2"/>
      <c r="B13" s="2"/>
      <c r="C13" s="2"/>
      <c r="D13" s="2"/>
      <c r="E13" s="2"/>
      <c r="F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5" thickBot="1">
      <c r="A14" s="47" t="s">
        <v>37</v>
      </c>
      <c r="B14" s="48"/>
      <c r="C14" s="48"/>
      <c r="D14" s="48"/>
      <c r="E14" s="14">
        <v>2</v>
      </c>
      <c r="F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5" thickBot="1">
      <c r="A15" s="47" t="s">
        <v>38</v>
      </c>
      <c r="B15" s="48"/>
      <c r="C15" s="48"/>
      <c r="D15" s="49"/>
      <c r="E15" s="13">
        <v>200</v>
      </c>
      <c r="F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" thickBot="1">
      <c r="A16" s="47" t="s">
        <v>39</v>
      </c>
      <c r="B16" s="48"/>
      <c r="C16" s="48"/>
      <c r="D16" s="49"/>
      <c r="E16" s="13">
        <f>weightKG0/(HeightMeters*HeightMeters)</f>
        <v>50</v>
      </c>
      <c r="F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</sheetData>
  <mergeCells count="8">
    <mergeCell ref="A1:AF4"/>
    <mergeCell ref="A14:D14"/>
    <mergeCell ref="A15:D15"/>
    <mergeCell ref="A16:D16"/>
    <mergeCell ref="A10:D10"/>
    <mergeCell ref="A8:J9"/>
    <mergeCell ref="G10:H10"/>
    <mergeCell ref="I10:J10"/>
  </mergeCells>
  <dataValidations count="3">
    <dataValidation type="decimal" allowBlank="1" showInputMessage="1" showErrorMessage="1" errorTitle="Error" error="please ensure the correct values from 0 to 1400" prompt="Please enter your weight between 0 and 150" sqref="E10" xr:uid="{12D3E71B-5817-4257-BDE9-42AFCFD03F62}">
      <formula1>0</formula1>
      <formula2>1400</formula2>
    </dataValidation>
    <dataValidation type="decimal" allowBlank="1" showInputMessage="1" showErrorMessage="1" errorTitle="Error" error="please ensure the right height" sqref="E14" xr:uid="{D506C16F-BDE8-430C-B8E1-B206BB044476}">
      <formula1>1.6</formula1>
      <formula2>4.5</formula2>
    </dataValidation>
    <dataValidation type="whole" allowBlank="1" showInputMessage="1" showErrorMessage="1" errorTitle="error" error="Please ensure the right weight between 50 and 250" sqref="E15" xr:uid="{9E358D09-5832-4E33-966E-E330FEC2BD76}">
      <formula1>50</formula1>
      <formula2>250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61F6-ABDF-4D0C-8993-34E3699B80A8}">
  <dimension ref="A1:FS78"/>
  <sheetViews>
    <sheetView zoomScale="40" zoomScaleNormal="40" workbookViewId="0">
      <selection activeCell="F64" sqref="F64:H67"/>
    </sheetView>
  </sheetViews>
  <sheetFormatPr defaultRowHeight="14.45"/>
  <cols>
    <col min="3" max="3" width="38" customWidth="1"/>
    <col min="4" max="4" width="22" customWidth="1"/>
    <col min="5" max="5" width="31.42578125" customWidth="1"/>
    <col min="6" max="6" width="24.7109375" customWidth="1"/>
    <col min="8" max="8" width="7.85546875" customWidth="1"/>
    <col min="9" max="9" width="21.5703125" customWidth="1"/>
    <col min="10" max="10" width="6.140625" customWidth="1"/>
    <col min="11" max="11" width="11.140625" customWidth="1"/>
    <col min="12" max="12" width="16.42578125" customWidth="1"/>
    <col min="14" max="14" width="23.42578125" customWidth="1"/>
    <col min="16" max="17" width="14.5703125" customWidth="1"/>
    <col min="18" max="18" width="13.7109375" customWidth="1"/>
    <col min="28" max="28" width="37.85546875" customWidth="1"/>
    <col min="29" max="29" width="25.7109375" customWidth="1"/>
    <col min="30" max="30" width="27.42578125" customWidth="1"/>
    <col min="31" max="31" width="13.85546875" customWidth="1"/>
    <col min="35" max="35" width="25.140625" customWidth="1"/>
    <col min="37" max="37" width="17.5703125" customWidth="1"/>
    <col min="41" max="41" width="16.85546875" customWidth="1"/>
    <col min="43" max="43" width="32.140625" customWidth="1"/>
    <col min="53" max="53" width="40.5703125" customWidth="1"/>
    <col min="54" max="54" width="28.140625" customWidth="1"/>
    <col min="55" max="55" width="23.85546875" customWidth="1"/>
    <col min="56" max="56" width="21.42578125" customWidth="1"/>
    <col min="60" max="60" width="20.5703125" customWidth="1"/>
    <col min="64" max="64" width="12.42578125" customWidth="1"/>
    <col min="67" max="67" width="15.140625" customWidth="1"/>
    <col min="78" max="78" width="37.85546875" customWidth="1"/>
    <col min="79" max="79" width="20.28515625" customWidth="1"/>
    <col min="80" max="80" width="31.7109375" customWidth="1"/>
    <col min="81" max="81" width="17.5703125" customWidth="1"/>
    <col min="103" max="103" width="42.42578125" customWidth="1"/>
    <col min="105" max="105" width="27.140625" customWidth="1"/>
    <col min="106" max="106" width="16.85546875" customWidth="1"/>
    <col min="110" max="110" width="16.28515625" customWidth="1"/>
    <col min="112" max="112" width="18.42578125" customWidth="1"/>
    <col min="114" max="114" width="16.28515625" customWidth="1"/>
    <col min="118" max="118" width="16.28515625" customWidth="1"/>
    <col min="127" max="127" width="7.5703125" customWidth="1"/>
    <col min="128" max="128" width="33.5703125" customWidth="1"/>
    <col min="129" max="129" width="24.7109375" customWidth="1"/>
    <col min="130" max="130" width="28.140625" customWidth="1"/>
    <col min="131" max="131" width="16" customWidth="1"/>
    <col min="135" max="135" width="16.5703125" customWidth="1"/>
    <col min="152" max="152" width="15.7109375" customWidth="1"/>
    <col min="153" max="153" width="31.140625" customWidth="1"/>
    <col min="155" max="155" width="23.85546875" customWidth="1"/>
    <col min="156" max="156" width="19" customWidth="1"/>
    <col min="157" max="157" width="17.8554687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>
      <c r="A3" s="2"/>
      <c r="B3" s="69" t="s">
        <v>40</v>
      </c>
      <c r="C3" s="75"/>
      <c r="D3" s="78">
        <v>200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9" t="s">
        <v>40</v>
      </c>
      <c r="AB3" s="75"/>
      <c r="AC3" s="78">
        <v>200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69" t="s">
        <v>40</v>
      </c>
      <c r="BA3" s="75"/>
      <c r="BB3" s="78">
        <v>200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69" t="s">
        <v>40</v>
      </c>
      <c r="BZ3" s="75"/>
      <c r="CA3" s="78">
        <v>200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69" t="s">
        <v>40</v>
      </c>
      <c r="CY3" s="75"/>
      <c r="CZ3" s="78">
        <v>200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69" t="s">
        <v>40</v>
      </c>
      <c r="DX3" s="75"/>
      <c r="DY3" s="78">
        <v>200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69" t="s">
        <v>40</v>
      </c>
      <c r="EW3" s="75"/>
      <c r="EX3" s="78">
        <v>200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" thickBot="1">
      <c r="A4" s="2"/>
      <c r="B4" s="76"/>
      <c r="C4" s="77"/>
      <c r="D4" s="7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76"/>
      <c r="AB4" s="77"/>
      <c r="AC4" s="79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76"/>
      <c r="BA4" s="77"/>
      <c r="BB4" s="79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76"/>
      <c r="BZ4" s="77"/>
      <c r="CA4" s="79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76"/>
      <c r="CY4" s="77"/>
      <c r="CZ4" s="79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76"/>
      <c r="DX4" s="77"/>
      <c r="DY4" s="79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76"/>
      <c r="EW4" s="77"/>
      <c r="EX4" s="79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 ht="14.45" customHeight="1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 ht="15" customHeight="1">
      <c r="A9" s="61" t="s">
        <v>41</v>
      </c>
      <c r="B9" s="62"/>
      <c r="C9" s="62"/>
      <c r="D9" s="62"/>
      <c r="E9" s="62"/>
      <c r="F9" s="63"/>
      <c r="G9" s="15"/>
      <c r="H9" s="15"/>
      <c r="I9" s="69" t="s">
        <v>42</v>
      </c>
      <c r="J9" s="70"/>
      <c r="K9" s="70"/>
      <c r="L9" s="70"/>
      <c r="M9" s="70"/>
      <c r="N9" s="70"/>
      <c r="O9" s="70"/>
      <c r="P9" s="70"/>
      <c r="Q9" s="70"/>
      <c r="R9" s="71"/>
      <c r="S9" s="2"/>
      <c r="T9" s="2"/>
      <c r="U9" s="2"/>
      <c r="V9" s="2"/>
      <c r="W9" s="2"/>
      <c r="X9" s="2"/>
      <c r="Y9" s="2"/>
      <c r="Z9" s="61" t="s">
        <v>43</v>
      </c>
      <c r="AA9" s="62"/>
      <c r="AB9" s="62"/>
      <c r="AC9" s="62"/>
      <c r="AD9" s="62"/>
      <c r="AE9" s="63"/>
      <c r="AF9" s="15"/>
      <c r="AG9" s="15"/>
      <c r="AH9" s="69" t="s">
        <v>44</v>
      </c>
      <c r="AI9" s="70"/>
      <c r="AJ9" s="70"/>
      <c r="AK9" s="70"/>
      <c r="AL9" s="70"/>
      <c r="AM9" s="70"/>
      <c r="AN9" s="70"/>
      <c r="AO9" s="70"/>
      <c r="AP9" s="70"/>
      <c r="AQ9" s="71"/>
      <c r="AR9" s="2"/>
      <c r="AS9" s="2"/>
      <c r="AT9" s="2"/>
      <c r="AU9" s="2"/>
      <c r="AV9" s="2"/>
      <c r="AW9" s="2"/>
      <c r="AX9" s="2"/>
      <c r="AY9" s="61" t="s">
        <v>45</v>
      </c>
      <c r="AZ9" s="62"/>
      <c r="BA9" s="62"/>
      <c r="BB9" s="62"/>
      <c r="BC9" s="62"/>
      <c r="BD9" s="63"/>
      <c r="BE9" s="15"/>
      <c r="BF9" s="15"/>
      <c r="BG9" s="69" t="s">
        <v>46</v>
      </c>
      <c r="BH9" s="70"/>
      <c r="BI9" s="70"/>
      <c r="BJ9" s="70"/>
      <c r="BK9" s="70"/>
      <c r="BL9" s="70"/>
      <c r="BM9" s="70"/>
      <c r="BN9" s="70"/>
      <c r="BO9" s="70"/>
      <c r="BP9" s="71"/>
      <c r="BQ9" s="2"/>
      <c r="BR9" s="2"/>
      <c r="BS9" s="2"/>
      <c r="BT9" s="2"/>
      <c r="BU9" s="2"/>
      <c r="BV9" s="2"/>
      <c r="BW9" s="2"/>
      <c r="BX9" s="61" t="s">
        <v>47</v>
      </c>
      <c r="BY9" s="62"/>
      <c r="BZ9" s="62"/>
      <c r="CA9" s="62"/>
      <c r="CB9" s="62"/>
      <c r="CC9" s="63"/>
      <c r="CD9" s="15"/>
      <c r="CE9" s="15"/>
      <c r="CF9" s="69" t="s">
        <v>48</v>
      </c>
      <c r="CG9" s="70"/>
      <c r="CH9" s="70"/>
      <c r="CI9" s="70"/>
      <c r="CJ9" s="70"/>
      <c r="CK9" s="70"/>
      <c r="CL9" s="70"/>
      <c r="CM9" s="70"/>
      <c r="CN9" s="70"/>
      <c r="CO9" s="71"/>
      <c r="CP9" s="2"/>
      <c r="CQ9" s="2"/>
      <c r="CR9" s="2"/>
      <c r="CS9" s="2"/>
      <c r="CT9" s="2"/>
      <c r="CU9" s="2"/>
      <c r="CV9" s="2"/>
      <c r="CW9" s="61" t="s">
        <v>49</v>
      </c>
      <c r="CX9" s="62"/>
      <c r="CY9" s="62"/>
      <c r="CZ9" s="62"/>
      <c r="DA9" s="62"/>
      <c r="DB9" s="63"/>
      <c r="DC9" s="15"/>
      <c r="DD9" s="15"/>
      <c r="DE9" s="69" t="s">
        <v>50</v>
      </c>
      <c r="DF9" s="70"/>
      <c r="DG9" s="70"/>
      <c r="DH9" s="70"/>
      <c r="DI9" s="70"/>
      <c r="DJ9" s="70"/>
      <c r="DK9" s="70"/>
      <c r="DL9" s="70"/>
      <c r="DM9" s="70"/>
      <c r="DN9" s="71"/>
      <c r="DO9" s="2"/>
      <c r="DP9" s="2"/>
      <c r="DQ9" s="2"/>
      <c r="DR9" s="2"/>
      <c r="DS9" s="2"/>
      <c r="DT9" s="2"/>
      <c r="DU9" s="2"/>
      <c r="DV9" s="61" t="s">
        <v>51</v>
      </c>
      <c r="DW9" s="62"/>
      <c r="DX9" s="62"/>
      <c r="DY9" s="62"/>
      <c r="DZ9" s="62"/>
      <c r="EA9" s="63"/>
      <c r="EB9" s="15"/>
      <c r="EC9" s="15"/>
      <c r="ED9" s="69" t="s">
        <v>52</v>
      </c>
      <c r="EE9" s="70"/>
      <c r="EF9" s="70"/>
      <c r="EG9" s="70"/>
      <c r="EH9" s="70"/>
      <c r="EI9" s="70"/>
      <c r="EJ9" s="70"/>
      <c r="EK9" s="70"/>
      <c r="EL9" s="70"/>
      <c r="EM9" s="71"/>
      <c r="EN9" s="2"/>
      <c r="EO9" s="2"/>
      <c r="EP9" s="2"/>
      <c r="EQ9" s="2"/>
      <c r="ER9" s="2"/>
      <c r="ES9" s="2"/>
      <c r="ET9" s="2"/>
      <c r="EU9" s="61" t="s">
        <v>53</v>
      </c>
      <c r="EV9" s="62"/>
      <c r="EW9" s="62"/>
      <c r="EX9" s="62"/>
      <c r="EY9" s="62"/>
      <c r="EZ9" s="63"/>
      <c r="FA9" s="15"/>
      <c r="FB9" s="15"/>
      <c r="FC9" s="69" t="s">
        <v>54</v>
      </c>
      <c r="FD9" s="70"/>
      <c r="FE9" s="70"/>
      <c r="FF9" s="70"/>
      <c r="FG9" s="70"/>
      <c r="FH9" s="70"/>
      <c r="FI9" s="70"/>
      <c r="FJ9" s="70"/>
      <c r="FK9" s="70"/>
      <c r="FL9" s="71"/>
      <c r="FM9" s="2"/>
      <c r="FN9" s="2"/>
      <c r="FO9" s="2"/>
      <c r="FP9" s="2"/>
      <c r="FQ9" s="2"/>
      <c r="FR9" s="2"/>
      <c r="FS9" s="2"/>
    </row>
    <row r="10" spans="1:175" ht="15.75" customHeight="1" thickBot="1">
      <c r="A10" s="64"/>
      <c r="B10" s="65"/>
      <c r="C10" s="65"/>
      <c r="D10" s="65"/>
      <c r="E10" s="65"/>
      <c r="F10" s="66"/>
      <c r="G10" s="15"/>
      <c r="H10" s="15"/>
      <c r="I10" s="72"/>
      <c r="J10" s="73"/>
      <c r="K10" s="73"/>
      <c r="L10" s="73"/>
      <c r="M10" s="73"/>
      <c r="N10" s="73"/>
      <c r="O10" s="73"/>
      <c r="P10" s="73"/>
      <c r="Q10" s="73"/>
      <c r="R10" s="74"/>
      <c r="S10" s="2"/>
      <c r="T10" s="2"/>
      <c r="U10" s="2"/>
      <c r="V10" s="2"/>
      <c r="W10" s="2"/>
      <c r="X10" s="2"/>
      <c r="Y10" s="2"/>
      <c r="Z10" s="64"/>
      <c r="AA10" s="65"/>
      <c r="AB10" s="65"/>
      <c r="AC10" s="65"/>
      <c r="AD10" s="65"/>
      <c r="AE10" s="66"/>
      <c r="AF10" s="15"/>
      <c r="AG10" s="15"/>
      <c r="AH10" s="72"/>
      <c r="AI10" s="73"/>
      <c r="AJ10" s="73"/>
      <c r="AK10" s="73"/>
      <c r="AL10" s="73"/>
      <c r="AM10" s="73"/>
      <c r="AN10" s="73"/>
      <c r="AO10" s="73"/>
      <c r="AP10" s="73"/>
      <c r="AQ10" s="74"/>
      <c r="AR10" s="2"/>
      <c r="AS10" s="2"/>
      <c r="AT10" s="2"/>
      <c r="AU10" s="2"/>
      <c r="AV10" s="2"/>
      <c r="AW10" s="2"/>
      <c r="AX10" s="2"/>
      <c r="AY10" s="64"/>
      <c r="AZ10" s="65"/>
      <c r="BA10" s="65"/>
      <c r="BB10" s="65"/>
      <c r="BC10" s="65"/>
      <c r="BD10" s="66"/>
      <c r="BE10" s="15"/>
      <c r="BF10" s="15"/>
      <c r="BG10" s="72"/>
      <c r="BH10" s="73"/>
      <c r="BI10" s="73"/>
      <c r="BJ10" s="73"/>
      <c r="BK10" s="73"/>
      <c r="BL10" s="73"/>
      <c r="BM10" s="73"/>
      <c r="BN10" s="73"/>
      <c r="BO10" s="73"/>
      <c r="BP10" s="74"/>
      <c r="BQ10" s="2"/>
      <c r="BR10" s="2"/>
      <c r="BS10" s="2"/>
      <c r="BT10" s="2"/>
      <c r="BU10" s="2"/>
      <c r="BV10" s="2"/>
      <c r="BW10" s="2"/>
      <c r="BX10" s="64"/>
      <c r="BY10" s="65"/>
      <c r="BZ10" s="65"/>
      <c r="CA10" s="65"/>
      <c r="CB10" s="65"/>
      <c r="CC10" s="66"/>
      <c r="CD10" s="15"/>
      <c r="CE10" s="15"/>
      <c r="CF10" s="72"/>
      <c r="CG10" s="73"/>
      <c r="CH10" s="73"/>
      <c r="CI10" s="73"/>
      <c r="CJ10" s="73"/>
      <c r="CK10" s="73"/>
      <c r="CL10" s="73"/>
      <c r="CM10" s="73"/>
      <c r="CN10" s="73"/>
      <c r="CO10" s="74"/>
      <c r="CP10" s="2"/>
      <c r="CQ10" s="2"/>
      <c r="CR10" s="2"/>
      <c r="CS10" s="2"/>
      <c r="CT10" s="2"/>
      <c r="CU10" s="2"/>
      <c r="CV10" s="2"/>
      <c r="CW10" s="64"/>
      <c r="CX10" s="65"/>
      <c r="CY10" s="65"/>
      <c r="CZ10" s="65"/>
      <c r="DA10" s="65"/>
      <c r="DB10" s="66"/>
      <c r="DC10" s="15"/>
      <c r="DD10" s="15"/>
      <c r="DE10" s="72"/>
      <c r="DF10" s="73"/>
      <c r="DG10" s="73"/>
      <c r="DH10" s="73"/>
      <c r="DI10" s="73"/>
      <c r="DJ10" s="73"/>
      <c r="DK10" s="73"/>
      <c r="DL10" s="73"/>
      <c r="DM10" s="73"/>
      <c r="DN10" s="74"/>
      <c r="DO10" s="2"/>
      <c r="DP10" s="2"/>
      <c r="DQ10" s="2"/>
      <c r="DR10" s="2"/>
      <c r="DS10" s="2"/>
      <c r="DT10" s="2"/>
      <c r="DU10" s="2"/>
      <c r="DV10" s="64"/>
      <c r="DW10" s="65"/>
      <c r="DX10" s="65"/>
      <c r="DY10" s="65"/>
      <c r="DZ10" s="65"/>
      <c r="EA10" s="66"/>
      <c r="EB10" s="15"/>
      <c r="EC10" s="15"/>
      <c r="ED10" s="72"/>
      <c r="EE10" s="73"/>
      <c r="EF10" s="73"/>
      <c r="EG10" s="73"/>
      <c r="EH10" s="73"/>
      <c r="EI10" s="73"/>
      <c r="EJ10" s="73"/>
      <c r="EK10" s="73"/>
      <c r="EL10" s="73"/>
      <c r="EM10" s="74"/>
      <c r="EN10" s="2"/>
      <c r="EO10" s="2"/>
      <c r="EP10" s="2"/>
      <c r="EQ10" s="2"/>
      <c r="ER10" s="2"/>
      <c r="ES10" s="2"/>
      <c r="ET10" s="2"/>
      <c r="EU10" s="64"/>
      <c r="EV10" s="65"/>
      <c r="EW10" s="65"/>
      <c r="EX10" s="65"/>
      <c r="EY10" s="65"/>
      <c r="EZ10" s="66"/>
      <c r="FA10" s="15"/>
      <c r="FB10" s="15"/>
      <c r="FC10" s="72"/>
      <c r="FD10" s="73"/>
      <c r="FE10" s="73"/>
      <c r="FF10" s="73"/>
      <c r="FG10" s="73"/>
      <c r="FH10" s="73"/>
      <c r="FI10" s="73"/>
      <c r="FJ10" s="73"/>
      <c r="FK10" s="73"/>
      <c r="FL10" s="74"/>
      <c r="FM10" s="2"/>
      <c r="FN10" s="2"/>
      <c r="FO10" s="2"/>
      <c r="FP10" s="2"/>
      <c r="FQ10" s="2"/>
      <c r="FR10" s="2"/>
      <c r="FS10" s="2"/>
    </row>
    <row r="11" spans="1:175" ht="15" customHeight="1">
      <c r="A11" s="52" t="s">
        <v>1</v>
      </c>
      <c r="B11" s="54"/>
      <c r="C11" s="82" t="s">
        <v>6</v>
      </c>
      <c r="D11" s="52" t="s">
        <v>55</v>
      </c>
      <c r="E11" s="54"/>
      <c r="F11" s="85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52" t="s">
        <v>1</v>
      </c>
      <c r="AA11" s="54"/>
      <c r="AB11" s="82" t="s">
        <v>7</v>
      </c>
      <c r="AC11" s="52" t="s">
        <v>55</v>
      </c>
      <c r="AD11" s="54"/>
      <c r="AE11" s="85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52" t="s">
        <v>1</v>
      </c>
      <c r="AZ11" s="54"/>
      <c r="BA11" s="82" t="s">
        <v>9</v>
      </c>
      <c r="BB11" s="52" t="s">
        <v>55</v>
      </c>
      <c r="BC11" s="54"/>
      <c r="BD11" s="85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52" t="s">
        <v>1</v>
      </c>
      <c r="BY11" s="54"/>
      <c r="BZ11" s="82" t="s">
        <v>11</v>
      </c>
      <c r="CA11" s="52" t="s">
        <v>55</v>
      </c>
      <c r="CB11" s="54"/>
      <c r="CC11" s="85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52" t="s">
        <v>1</v>
      </c>
      <c r="CX11" s="54"/>
      <c r="CY11" s="82" t="s">
        <v>13</v>
      </c>
      <c r="CZ11" s="52" t="s">
        <v>55</v>
      </c>
      <c r="DA11" s="54"/>
      <c r="DB11" s="85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52" t="s">
        <v>1</v>
      </c>
      <c r="DW11" s="54"/>
      <c r="DX11" s="82" t="s">
        <v>6</v>
      </c>
      <c r="DY11" s="52" t="s">
        <v>55</v>
      </c>
      <c r="DZ11" s="54"/>
      <c r="EA11" s="85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52" t="s">
        <v>1</v>
      </c>
      <c r="EV11" s="54"/>
      <c r="EW11" s="82" t="s">
        <v>6</v>
      </c>
      <c r="EX11" s="52" t="s">
        <v>55</v>
      </c>
      <c r="EY11" s="54"/>
      <c r="EZ11" s="85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5" customHeight="1" thickBot="1">
      <c r="A12" s="55"/>
      <c r="B12" s="57"/>
      <c r="C12" s="83"/>
      <c r="D12" s="55"/>
      <c r="E12" s="57"/>
      <c r="F12" s="86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55"/>
      <c r="AA12" s="57"/>
      <c r="AB12" s="83"/>
      <c r="AC12" s="55"/>
      <c r="AD12" s="57"/>
      <c r="AE12" s="86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55"/>
      <c r="AZ12" s="57"/>
      <c r="BA12" s="83"/>
      <c r="BB12" s="55"/>
      <c r="BC12" s="57"/>
      <c r="BD12" s="86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55"/>
      <c r="BY12" s="57"/>
      <c r="BZ12" s="83"/>
      <c r="CA12" s="55"/>
      <c r="CB12" s="57"/>
      <c r="CC12" s="86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55"/>
      <c r="CX12" s="57"/>
      <c r="CY12" s="83"/>
      <c r="CZ12" s="55"/>
      <c r="DA12" s="57"/>
      <c r="DB12" s="86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55"/>
      <c r="DW12" s="57"/>
      <c r="DX12" s="83"/>
      <c r="DY12" s="55"/>
      <c r="DZ12" s="57"/>
      <c r="EA12" s="86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55"/>
      <c r="EV12" s="57"/>
      <c r="EW12" s="83"/>
      <c r="EX12" s="55"/>
      <c r="EY12" s="57"/>
      <c r="EZ12" s="86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60.75" customHeight="1">
      <c r="A13" s="55"/>
      <c r="B13" s="57"/>
      <c r="C13" s="83"/>
      <c r="D13" s="55"/>
      <c r="E13" s="57"/>
      <c r="F13" s="86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1100</v>
      </c>
      <c r="P13" s="21"/>
      <c r="Q13" s="20">
        <f>M13*O13</f>
        <v>2200</v>
      </c>
      <c r="R13" s="21"/>
      <c r="S13" s="2"/>
      <c r="T13" s="2"/>
      <c r="U13" s="2"/>
      <c r="V13" s="2"/>
      <c r="W13" s="2"/>
      <c r="X13" s="2"/>
      <c r="Y13" s="2"/>
      <c r="Z13" s="55"/>
      <c r="AA13" s="57"/>
      <c r="AB13" s="83"/>
      <c r="AC13" s="55"/>
      <c r="AD13" s="57"/>
      <c r="AE13" s="86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1100</v>
      </c>
      <c r="AO13" s="21"/>
      <c r="AP13" s="20">
        <f>AL13*AN13</f>
        <v>2200</v>
      </c>
      <c r="AQ13" s="21"/>
      <c r="AR13" s="2"/>
      <c r="AS13" s="2"/>
      <c r="AT13" s="2"/>
      <c r="AU13" s="2"/>
      <c r="AV13" s="2"/>
      <c r="AW13" s="2"/>
      <c r="AX13" s="2"/>
      <c r="AY13" s="55"/>
      <c r="AZ13" s="57"/>
      <c r="BA13" s="83"/>
      <c r="BB13" s="55"/>
      <c r="BC13" s="57"/>
      <c r="BD13" s="86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1100</v>
      </c>
      <c r="BN13" s="21"/>
      <c r="BO13" s="20">
        <f>BK13*BM13</f>
        <v>2200</v>
      </c>
      <c r="BP13" s="21"/>
      <c r="BQ13" s="2"/>
      <c r="BR13" s="2"/>
      <c r="BS13" s="2"/>
      <c r="BT13" s="2"/>
      <c r="BU13" s="2"/>
      <c r="BV13" s="2"/>
      <c r="BW13" s="2"/>
      <c r="BX13" s="55"/>
      <c r="BY13" s="57"/>
      <c r="BZ13" s="83"/>
      <c r="CA13" s="55"/>
      <c r="CB13" s="57"/>
      <c r="CC13" s="86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1100</v>
      </c>
      <c r="CM13" s="21"/>
      <c r="CN13" s="20">
        <f>CJ13*CL13</f>
        <v>2200</v>
      </c>
      <c r="CO13" s="21"/>
      <c r="CP13" s="2"/>
      <c r="CQ13" s="2"/>
      <c r="CR13" s="2"/>
      <c r="CS13" s="2"/>
      <c r="CT13" s="2"/>
      <c r="CU13" s="2"/>
      <c r="CV13" s="2"/>
      <c r="CW13" s="55"/>
      <c r="CX13" s="57"/>
      <c r="CY13" s="83"/>
      <c r="CZ13" s="55"/>
      <c r="DA13" s="57"/>
      <c r="DB13" s="86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1100</v>
      </c>
      <c r="DL13" s="21"/>
      <c r="DM13" s="20">
        <f>DI13*DK13</f>
        <v>2200</v>
      </c>
      <c r="DN13" s="21"/>
      <c r="DO13" s="2"/>
      <c r="DP13" s="2"/>
      <c r="DQ13" s="2"/>
      <c r="DR13" s="2"/>
      <c r="DS13" s="2"/>
      <c r="DT13" s="2"/>
      <c r="DU13" s="2"/>
      <c r="DV13" s="55"/>
      <c r="DW13" s="57"/>
      <c r="DX13" s="83"/>
      <c r="DY13" s="55"/>
      <c r="DZ13" s="57"/>
      <c r="EA13" s="86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1100</v>
      </c>
      <c r="EK13" s="21"/>
      <c r="EL13" s="20">
        <f>EH13*EJ13</f>
        <v>2200</v>
      </c>
      <c r="EM13" s="21"/>
      <c r="EN13" s="2"/>
      <c r="EO13" s="2"/>
      <c r="EP13" s="2"/>
      <c r="EQ13" s="2"/>
      <c r="ER13" s="2"/>
      <c r="ES13" s="2"/>
      <c r="ET13" s="2"/>
      <c r="EU13" s="55"/>
      <c r="EV13" s="57"/>
      <c r="EW13" s="83"/>
      <c r="EX13" s="55"/>
      <c r="EY13" s="57"/>
      <c r="EZ13" s="86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1100</v>
      </c>
      <c r="FJ13" s="21"/>
      <c r="FK13" s="20">
        <f>FG13*FI13</f>
        <v>2200</v>
      </c>
      <c r="FL13" s="21"/>
      <c r="FM13" s="2"/>
      <c r="FN13" s="2"/>
      <c r="FO13" s="2"/>
      <c r="FP13" s="2"/>
      <c r="FQ13" s="2"/>
      <c r="FR13" s="2"/>
      <c r="FS13" s="2"/>
    </row>
    <row r="14" spans="1:175" ht="15.75" customHeight="1" thickBot="1">
      <c r="A14" s="80"/>
      <c r="B14" s="81"/>
      <c r="C14" s="84"/>
      <c r="D14" s="80"/>
      <c r="E14" s="81"/>
      <c r="F14" s="87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80"/>
      <c r="AA14" s="81"/>
      <c r="AB14" s="84"/>
      <c r="AC14" s="80"/>
      <c r="AD14" s="81"/>
      <c r="AE14" s="87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80"/>
      <c r="AZ14" s="81"/>
      <c r="BA14" s="84"/>
      <c r="BB14" s="80"/>
      <c r="BC14" s="81"/>
      <c r="BD14" s="87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80"/>
      <c r="BY14" s="81"/>
      <c r="BZ14" s="84"/>
      <c r="CA14" s="80"/>
      <c r="CB14" s="81"/>
      <c r="CC14" s="87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80"/>
      <c r="CX14" s="81"/>
      <c r="CY14" s="84"/>
      <c r="CZ14" s="80"/>
      <c r="DA14" s="81"/>
      <c r="DB14" s="87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80"/>
      <c r="DW14" s="81"/>
      <c r="DX14" s="84"/>
      <c r="DY14" s="80"/>
      <c r="DZ14" s="81"/>
      <c r="EA14" s="87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80"/>
      <c r="EV14" s="81"/>
      <c r="EW14" s="84"/>
      <c r="EX14" s="80"/>
      <c r="EY14" s="81"/>
      <c r="EZ14" s="87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5.75" customHeight="1" thickBot="1">
      <c r="A15" s="52" t="s">
        <v>15</v>
      </c>
      <c r="B15" s="54"/>
      <c r="C15" s="82" t="s">
        <v>18</v>
      </c>
      <c r="D15" s="52" t="s">
        <v>55</v>
      </c>
      <c r="E15" s="54"/>
      <c r="F15" s="85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52" t="s">
        <v>15</v>
      </c>
      <c r="AA15" s="54"/>
      <c r="AB15" s="82" t="s">
        <v>20</v>
      </c>
      <c r="AC15" s="52" t="s">
        <v>55</v>
      </c>
      <c r="AD15" s="54"/>
      <c r="AE15" s="85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52" t="s">
        <v>15</v>
      </c>
      <c r="AZ15" s="54"/>
      <c r="BA15" s="82" t="s">
        <v>22</v>
      </c>
      <c r="BB15" s="52" t="s">
        <v>55</v>
      </c>
      <c r="BC15" s="54"/>
      <c r="BD15" s="85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52" t="s">
        <v>15</v>
      </c>
      <c r="BY15" s="54"/>
      <c r="BZ15" s="82" t="s">
        <v>24</v>
      </c>
      <c r="CA15" s="52" t="s">
        <v>55</v>
      </c>
      <c r="CB15" s="54"/>
      <c r="CC15" s="85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52" t="s">
        <v>15</v>
      </c>
      <c r="CX15" s="54"/>
      <c r="CY15" s="82" t="s">
        <v>26</v>
      </c>
      <c r="CZ15" s="52" t="s">
        <v>55</v>
      </c>
      <c r="DA15" s="54"/>
      <c r="DB15" s="85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52" t="s">
        <v>15</v>
      </c>
      <c r="DW15" s="54"/>
      <c r="DX15" s="82" t="s">
        <v>18</v>
      </c>
      <c r="DY15" s="52" t="s">
        <v>55</v>
      </c>
      <c r="DZ15" s="54"/>
      <c r="EA15" s="85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52" t="s">
        <v>15</v>
      </c>
      <c r="EV15" s="54"/>
      <c r="EW15" s="82" t="s">
        <v>18</v>
      </c>
      <c r="EX15" s="52" t="s">
        <v>55</v>
      </c>
      <c r="EY15" s="54"/>
      <c r="EZ15" s="85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43.5" customHeight="1">
      <c r="A16" s="55"/>
      <c r="B16" s="57"/>
      <c r="C16" s="83"/>
      <c r="D16" s="55"/>
      <c r="E16" s="57"/>
      <c r="F16" s="86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1600</v>
      </c>
      <c r="P16" s="21"/>
      <c r="Q16" s="20">
        <f>M16*O16</f>
        <v>1600</v>
      </c>
      <c r="R16" s="21"/>
      <c r="S16" s="2"/>
      <c r="T16" s="2"/>
      <c r="U16" s="2"/>
      <c r="V16" s="2"/>
      <c r="W16" s="2"/>
      <c r="X16" s="2"/>
      <c r="Y16" s="2"/>
      <c r="Z16" s="55"/>
      <c r="AA16" s="57"/>
      <c r="AB16" s="83"/>
      <c r="AC16" s="55"/>
      <c r="AD16" s="57"/>
      <c r="AE16" s="86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1600</v>
      </c>
      <c r="AO16" s="21"/>
      <c r="AP16" s="20">
        <f>AL16*AN16</f>
        <v>1600</v>
      </c>
      <c r="AQ16" s="21"/>
      <c r="AR16" s="2"/>
      <c r="AS16" s="2"/>
      <c r="AT16" s="2"/>
      <c r="AU16" s="2"/>
      <c r="AV16" s="2"/>
      <c r="AW16" s="2"/>
      <c r="AX16" s="2"/>
      <c r="AY16" s="55"/>
      <c r="AZ16" s="57"/>
      <c r="BA16" s="83"/>
      <c r="BB16" s="55"/>
      <c r="BC16" s="57"/>
      <c r="BD16" s="86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1600</v>
      </c>
      <c r="BN16" s="21"/>
      <c r="BO16" s="20">
        <f>BK16*BM16</f>
        <v>1600</v>
      </c>
      <c r="BP16" s="21"/>
      <c r="BQ16" s="2"/>
      <c r="BR16" s="2"/>
      <c r="BS16" s="2"/>
      <c r="BT16" s="2"/>
      <c r="BU16" s="2"/>
      <c r="BV16" s="2"/>
      <c r="BW16" s="2"/>
      <c r="BX16" s="55"/>
      <c r="BY16" s="57"/>
      <c r="BZ16" s="83"/>
      <c r="CA16" s="55"/>
      <c r="CB16" s="57"/>
      <c r="CC16" s="86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1600</v>
      </c>
      <c r="CM16" s="21"/>
      <c r="CN16" s="20">
        <f>CJ16*CL16</f>
        <v>1600</v>
      </c>
      <c r="CO16" s="21"/>
      <c r="CP16" s="2"/>
      <c r="CQ16" s="2"/>
      <c r="CR16" s="2"/>
      <c r="CS16" s="2"/>
      <c r="CT16" s="2"/>
      <c r="CU16" s="2"/>
      <c r="CV16" s="2"/>
      <c r="CW16" s="55"/>
      <c r="CX16" s="57"/>
      <c r="CY16" s="83"/>
      <c r="CZ16" s="55"/>
      <c r="DA16" s="57"/>
      <c r="DB16" s="86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1600</v>
      </c>
      <c r="DL16" s="21"/>
      <c r="DM16" s="20">
        <f>DI16*DK16</f>
        <v>1600</v>
      </c>
      <c r="DN16" s="21"/>
      <c r="DO16" s="2"/>
      <c r="DP16" s="2"/>
      <c r="DQ16" s="2"/>
      <c r="DR16" s="2"/>
      <c r="DS16" s="2"/>
      <c r="DT16" s="2"/>
      <c r="DU16" s="2"/>
      <c r="DV16" s="55"/>
      <c r="DW16" s="57"/>
      <c r="DX16" s="83"/>
      <c r="DY16" s="55"/>
      <c r="DZ16" s="57"/>
      <c r="EA16" s="86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1600</v>
      </c>
      <c r="EK16" s="21"/>
      <c r="EL16" s="20">
        <f>EH16*EJ16</f>
        <v>1600</v>
      </c>
      <c r="EM16" s="21"/>
      <c r="EN16" s="2"/>
      <c r="EO16" s="2"/>
      <c r="EP16" s="2"/>
      <c r="EQ16" s="2"/>
      <c r="ER16" s="2"/>
      <c r="ES16" s="2"/>
      <c r="ET16" s="2"/>
      <c r="EU16" s="55"/>
      <c r="EV16" s="57"/>
      <c r="EW16" s="83"/>
      <c r="EX16" s="55"/>
      <c r="EY16" s="57"/>
      <c r="EZ16" s="86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1600</v>
      </c>
      <c r="FJ16" s="21"/>
      <c r="FK16" s="20">
        <f>FG16*FI16</f>
        <v>1600</v>
      </c>
      <c r="FL16" s="21"/>
      <c r="FM16" s="2"/>
      <c r="FN16" s="2"/>
      <c r="FO16" s="2"/>
      <c r="FP16" s="2"/>
      <c r="FQ16" s="2"/>
      <c r="FR16" s="2"/>
      <c r="FS16" s="2"/>
    </row>
    <row r="17" spans="1:175" ht="15" customHeight="1">
      <c r="A17" s="55"/>
      <c r="B17" s="57"/>
      <c r="C17" s="83"/>
      <c r="D17" s="55"/>
      <c r="E17" s="57"/>
      <c r="F17" s="86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55"/>
      <c r="AA17" s="57"/>
      <c r="AB17" s="83"/>
      <c r="AC17" s="55"/>
      <c r="AD17" s="57"/>
      <c r="AE17" s="86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55"/>
      <c r="AZ17" s="57"/>
      <c r="BA17" s="83"/>
      <c r="BB17" s="55"/>
      <c r="BC17" s="57"/>
      <c r="BD17" s="86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55"/>
      <c r="BY17" s="57"/>
      <c r="BZ17" s="83"/>
      <c r="CA17" s="55"/>
      <c r="CB17" s="57"/>
      <c r="CC17" s="86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55"/>
      <c r="CX17" s="57"/>
      <c r="CY17" s="83"/>
      <c r="CZ17" s="55"/>
      <c r="DA17" s="57"/>
      <c r="DB17" s="86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55"/>
      <c r="DW17" s="57"/>
      <c r="DX17" s="83"/>
      <c r="DY17" s="55"/>
      <c r="DZ17" s="57"/>
      <c r="EA17" s="86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55"/>
      <c r="EV17" s="57"/>
      <c r="EW17" s="83"/>
      <c r="EX17" s="55"/>
      <c r="EY17" s="57"/>
      <c r="EZ17" s="86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5.75" customHeight="1" thickBot="1">
      <c r="A18" s="80"/>
      <c r="B18" s="81"/>
      <c r="C18" s="84"/>
      <c r="D18" s="80"/>
      <c r="E18" s="81"/>
      <c r="F18" s="87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80"/>
      <c r="AA18" s="81"/>
      <c r="AB18" s="84"/>
      <c r="AC18" s="80"/>
      <c r="AD18" s="81"/>
      <c r="AE18" s="87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80"/>
      <c r="AZ18" s="81"/>
      <c r="BA18" s="84"/>
      <c r="BB18" s="80"/>
      <c r="BC18" s="81"/>
      <c r="BD18" s="87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80"/>
      <c r="BY18" s="81"/>
      <c r="BZ18" s="84"/>
      <c r="CA18" s="80"/>
      <c r="CB18" s="81"/>
      <c r="CC18" s="87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80"/>
      <c r="CX18" s="81"/>
      <c r="CY18" s="84"/>
      <c r="CZ18" s="80"/>
      <c r="DA18" s="81"/>
      <c r="DB18" s="87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80"/>
      <c r="DW18" s="81"/>
      <c r="DX18" s="84"/>
      <c r="DY18" s="80"/>
      <c r="DZ18" s="81"/>
      <c r="EA18" s="87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80"/>
      <c r="EV18" s="81"/>
      <c r="EW18" s="84"/>
      <c r="EX18" s="80"/>
      <c r="EY18" s="81"/>
      <c r="EZ18" s="87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38.25" customHeight="1">
      <c r="A19" s="52" t="s">
        <v>27</v>
      </c>
      <c r="B19" s="54"/>
      <c r="C19" s="82" t="s">
        <v>28</v>
      </c>
      <c r="D19" s="52" t="s">
        <v>55</v>
      </c>
      <c r="E19" s="54"/>
      <c r="F19" s="85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800</v>
      </c>
      <c r="P19" s="21"/>
      <c r="Q19" s="20">
        <f>M19*O19</f>
        <v>800</v>
      </c>
      <c r="R19" s="21"/>
      <c r="S19" s="2"/>
      <c r="T19" s="2"/>
      <c r="U19" s="2"/>
      <c r="V19" s="2"/>
      <c r="W19" s="2"/>
      <c r="X19" s="2"/>
      <c r="Y19" s="2"/>
      <c r="Z19" s="52" t="s">
        <v>27</v>
      </c>
      <c r="AA19" s="54"/>
      <c r="AB19" s="82" t="s">
        <v>29</v>
      </c>
      <c r="AC19" s="52" t="s">
        <v>55</v>
      </c>
      <c r="AD19" s="54"/>
      <c r="AE19" s="85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800</v>
      </c>
      <c r="AO19" s="21"/>
      <c r="AP19" s="20">
        <f>AL19*AN19</f>
        <v>800</v>
      </c>
      <c r="AQ19" s="21"/>
      <c r="AR19" s="2"/>
      <c r="AS19" s="2"/>
      <c r="AT19" s="2"/>
      <c r="AU19" s="2"/>
      <c r="AV19" s="2"/>
      <c r="AW19" s="2"/>
      <c r="AX19" s="2"/>
      <c r="AY19" s="52" t="s">
        <v>27</v>
      </c>
      <c r="AZ19" s="54"/>
      <c r="BA19" s="82" t="s">
        <v>30</v>
      </c>
      <c r="BB19" s="52" t="s">
        <v>55</v>
      </c>
      <c r="BC19" s="54"/>
      <c r="BD19" s="85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800</v>
      </c>
      <c r="BN19" s="21"/>
      <c r="BO19" s="20">
        <f>BK19*BM19</f>
        <v>800</v>
      </c>
      <c r="BP19" s="21"/>
      <c r="BQ19" s="2"/>
      <c r="BR19" s="2"/>
      <c r="BS19" s="2"/>
      <c r="BT19" s="2"/>
      <c r="BU19" s="2"/>
      <c r="BV19" s="2"/>
      <c r="BW19" s="2"/>
      <c r="BX19" s="52" t="s">
        <v>27</v>
      </c>
      <c r="BY19" s="54"/>
      <c r="BZ19" s="82" t="s">
        <v>31</v>
      </c>
      <c r="CA19" s="52" t="s">
        <v>55</v>
      </c>
      <c r="CB19" s="54"/>
      <c r="CC19" s="85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800</v>
      </c>
      <c r="CM19" s="21"/>
      <c r="CN19" s="20">
        <f>CJ19*CL19</f>
        <v>800</v>
      </c>
      <c r="CO19" s="21"/>
      <c r="CP19" s="2"/>
      <c r="CQ19" s="2"/>
      <c r="CR19" s="2"/>
      <c r="CS19" s="2"/>
      <c r="CT19" s="2"/>
      <c r="CU19" s="2"/>
      <c r="CV19" s="2"/>
      <c r="CW19" s="52" t="s">
        <v>27</v>
      </c>
      <c r="CX19" s="54"/>
      <c r="CY19" s="82" t="s">
        <v>32</v>
      </c>
      <c r="CZ19" s="52" t="s">
        <v>55</v>
      </c>
      <c r="DA19" s="54"/>
      <c r="DB19" s="85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800</v>
      </c>
      <c r="DL19" s="21"/>
      <c r="DM19" s="20">
        <f>DI19*DK19</f>
        <v>800</v>
      </c>
      <c r="DN19" s="21"/>
      <c r="DO19" s="2"/>
      <c r="DP19" s="2"/>
      <c r="DQ19" s="2"/>
      <c r="DR19" s="2"/>
      <c r="DS19" s="2"/>
      <c r="DT19" s="2"/>
      <c r="DU19" s="2"/>
      <c r="DV19" s="52" t="s">
        <v>27</v>
      </c>
      <c r="DW19" s="54"/>
      <c r="DX19" s="82" t="s">
        <v>28</v>
      </c>
      <c r="DY19" s="52" t="s">
        <v>55</v>
      </c>
      <c r="DZ19" s="54"/>
      <c r="EA19" s="85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800</v>
      </c>
      <c r="EK19" s="21"/>
      <c r="EL19" s="20">
        <f>EH19*EJ19</f>
        <v>800</v>
      </c>
      <c r="EM19" s="21"/>
      <c r="EN19" s="2"/>
      <c r="EO19" s="2"/>
      <c r="EP19" s="2"/>
      <c r="EQ19" s="2"/>
      <c r="ER19" s="2"/>
      <c r="ES19" s="2"/>
      <c r="ET19" s="2"/>
      <c r="EU19" s="52" t="s">
        <v>27</v>
      </c>
      <c r="EV19" s="54"/>
      <c r="EW19" s="82" t="s">
        <v>28</v>
      </c>
      <c r="EX19" s="52" t="s">
        <v>55</v>
      </c>
      <c r="EY19" s="54"/>
      <c r="EZ19" s="85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800</v>
      </c>
      <c r="FJ19" s="21"/>
      <c r="FK19" s="20">
        <f>FG19*FI19</f>
        <v>800</v>
      </c>
      <c r="FL19" s="21"/>
      <c r="FM19" s="2"/>
      <c r="FN19" s="2"/>
      <c r="FO19" s="2"/>
      <c r="FP19" s="2"/>
      <c r="FQ19" s="2"/>
      <c r="FR19" s="2"/>
      <c r="FS19" s="2"/>
    </row>
    <row r="20" spans="1:175" ht="15" customHeight="1">
      <c r="A20" s="55"/>
      <c r="B20" s="57"/>
      <c r="C20" s="83"/>
      <c r="D20" s="55"/>
      <c r="E20" s="57"/>
      <c r="F20" s="86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55"/>
      <c r="AA20" s="57"/>
      <c r="AB20" s="83"/>
      <c r="AC20" s="55"/>
      <c r="AD20" s="57"/>
      <c r="AE20" s="86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55"/>
      <c r="AZ20" s="57"/>
      <c r="BA20" s="83"/>
      <c r="BB20" s="55"/>
      <c r="BC20" s="57"/>
      <c r="BD20" s="86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55"/>
      <c r="BY20" s="57"/>
      <c r="BZ20" s="83"/>
      <c r="CA20" s="55"/>
      <c r="CB20" s="57"/>
      <c r="CC20" s="86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55"/>
      <c r="CX20" s="57"/>
      <c r="CY20" s="83"/>
      <c r="CZ20" s="55"/>
      <c r="DA20" s="57"/>
      <c r="DB20" s="86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55"/>
      <c r="DW20" s="57"/>
      <c r="DX20" s="83"/>
      <c r="DY20" s="55"/>
      <c r="DZ20" s="57"/>
      <c r="EA20" s="86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55"/>
      <c r="EV20" s="57"/>
      <c r="EW20" s="83"/>
      <c r="EX20" s="55"/>
      <c r="EY20" s="57"/>
      <c r="EZ20" s="86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5.75" customHeight="1" thickBot="1">
      <c r="A21" s="55"/>
      <c r="B21" s="57"/>
      <c r="C21" s="83"/>
      <c r="D21" s="55"/>
      <c r="E21" s="57"/>
      <c r="F21" s="86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55"/>
      <c r="AA21" s="57"/>
      <c r="AB21" s="83"/>
      <c r="AC21" s="55"/>
      <c r="AD21" s="57"/>
      <c r="AE21" s="86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55"/>
      <c r="AZ21" s="57"/>
      <c r="BA21" s="83"/>
      <c r="BB21" s="55"/>
      <c r="BC21" s="57"/>
      <c r="BD21" s="86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55"/>
      <c r="BY21" s="57"/>
      <c r="BZ21" s="83"/>
      <c r="CA21" s="55"/>
      <c r="CB21" s="57"/>
      <c r="CC21" s="86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55"/>
      <c r="CX21" s="57"/>
      <c r="CY21" s="83"/>
      <c r="CZ21" s="55"/>
      <c r="DA21" s="57"/>
      <c r="DB21" s="86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55"/>
      <c r="DW21" s="57"/>
      <c r="DX21" s="83"/>
      <c r="DY21" s="55"/>
      <c r="DZ21" s="57"/>
      <c r="EA21" s="86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55"/>
      <c r="EV21" s="57"/>
      <c r="EW21" s="83"/>
      <c r="EX21" s="55"/>
      <c r="EY21" s="57"/>
      <c r="EZ21" s="86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5.75" customHeight="1" thickBot="1">
      <c r="A22" s="80"/>
      <c r="B22" s="81"/>
      <c r="C22" s="84"/>
      <c r="D22" s="80"/>
      <c r="E22" s="81"/>
      <c r="F22" s="87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1960.0000000000002</v>
      </c>
      <c r="P22" s="21"/>
      <c r="Q22" s="20">
        <f>M22*O22</f>
        <v>1960.0000000000002</v>
      </c>
      <c r="R22" s="21"/>
      <c r="S22" s="2"/>
      <c r="T22" s="2"/>
      <c r="U22" s="2"/>
      <c r="V22" s="2"/>
      <c r="W22" s="2"/>
      <c r="X22" s="2"/>
      <c r="Y22" s="2"/>
      <c r="Z22" s="80"/>
      <c r="AA22" s="81"/>
      <c r="AB22" s="84"/>
      <c r="AC22" s="80"/>
      <c r="AD22" s="81"/>
      <c r="AE22" s="87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1960.0000000000002</v>
      </c>
      <c r="AO22" s="21"/>
      <c r="AP22" s="20">
        <f>AL22*AN22</f>
        <v>1960.0000000000002</v>
      </c>
      <c r="AQ22" s="21"/>
      <c r="AR22" s="2"/>
      <c r="AS22" s="2"/>
      <c r="AT22" s="2"/>
      <c r="AU22" s="2"/>
      <c r="AV22" s="2"/>
      <c r="AW22" s="2"/>
      <c r="AX22" s="2"/>
      <c r="AY22" s="80"/>
      <c r="AZ22" s="81"/>
      <c r="BA22" s="84"/>
      <c r="BB22" s="80"/>
      <c r="BC22" s="81"/>
      <c r="BD22" s="87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1960.0000000000002</v>
      </c>
      <c r="BN22" s="21"/>
      <c r="BO22" s="20">
        <f>BK22*BM22</f>
        <v>1960.0000000000002</v>
      </c>
      <c r="BP22" s="21"/>
      <c r="BQ22" s="2"/>
      <c r="BR22" s="2"/>
      <c r="BS22" s="2"/>
      <c r="BT22" s="2"/>
      <c r="BU22" s="2"/>
      <c r="BV22" s="2"/>
      <c r="BW22" s="2"/>
      <c r="BX22" s="80"/>
      <c r="BY22" s="81"/>
      <c r="BZ22" s="84"/>
      <c r="CA22" s="80"/>
      <c r="CB22" s="81"/>
      <c r="CC22" s="87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1960.0000000000002</v>
      </c>
      <c r="CM22" s="21"/>
      <c r="CN22" s="20">
        <f>CJ22*CL22</f>
        <v>1960.0000000000002</v>
      </c>
      <c r="CO22" s="21"/>
      <c r="CP22" s="2"/>
      <c r="CQ22" s="2"/>
      <c r="CR22" s="2"/>
      <c r="CS22" s="2"/>
      <c r="CT22" s="2"/>
      <c r="CU22" s="2"/>
      <c r="CV22" s="2"/>
      <c r="CW22" s="80"/>
      <c r="CX22" s="81"/>
      <c r="CY22" s="84"/>
      <c r="CZ22" s="80"/>
      <c r="DA22" s="81"/>
      <c r="DB22" s="87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1960.0000000000002</v>
      </c>
      <c r="DL22" s="21"/>
      <c r="DM22" s="20">
        <f>DI22*DK22</f>
        <v>1960.0000000000002</v>
      </c>
      <c r="DN22" s="21"/>
      <c r="DO22" s="2"/>
      <c r="DP22" s="2"/>
      <c r="DQ22" s="2"/>
      <c r="DR22" s="2"/>
      <c r="DS22" s="2"/>
      <c r="DT22" s="2"/>
      <c r="DU22" s="2"/>
      <c r="DV22" s="80"/>
      <c r="DW22" s="81"/>
      <c r="DX22" s="84"/>
      <c r="DY22" s="80"/>
      <c r="DZ22" s="81"/>
      <c r="EA22" s="87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1960.0000000000002</v>
      </c>
      <c r="EK22" s="21"/>
      <c r="EL22" s="20">
        <f>EH22*EJ22</f>
        <v>1960.0000000000002</v>
      </c>
      <c r="EM22" s="21"/>
      <c r="EN22" s="2"/>
      <c r="EO22" s="2"/>
      <c r="EP22" s="2"/>
      <c r="EQ22" s="2"/>
      <c r="ER22" s="2"/>
      <c r="ES22" s="2"/>
      <c r="ET22" s="2"/>
      <c r="EU22" s="80"/>
      <c r="EV22" s="81"/>
      <c r="EW22" s="84"/>
      <c r="EX22" s="80"/>
      <c r="EY22" s="81"/>
      <c r="EZ22" s="87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1960.0000000000002</v>
      </c>
      <c r="FJ22" s="21"/>
      <c r="FK22" s="20">
        <f>FG22*FI22</f>
        <v>1960.0000000000002</v>
      </c>
      <c r="FL22" s="21"/>
      <c r="FM22" s="2"/>
      <c r="FN22" s="2"/>
      <c r="FO22" s="2"/>
      <c r="FP22" s="2"/>
      <c r="FQ22" s="2"/>
      <c r="FR22" s="2"/>
      <c r="FS22" s="2"/>
    </row>
    <row r="23" spans="1:175" ht="15" customHeight="1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5.75" customHeight="1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" customHeight="1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2000</v>
      </c>
      <c r="P25" s="21"/>
      <c r="Q25" s="20">
        <f>M25*O25</f>
        <v>4000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2000</v>
      </c>
      <c r="AO25" s="21"/>
      <c r="AP25" s="20">
        <f>AL25*AN25</f>
        <v>4000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2000</v>
      </c>
      <c r="BN25" s="21"/>
      <c r="BO25" s="20">
        <f>BK25*BM25</f>
        <v>4000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2000</v>
      </c>
      <c r="CM25" s="21"/>
      <c r="CN25" s="20">
        <f>CJ25*CL25</f>
        <v>4000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2000</v>
      </c>
      <c r="DL25" s="21"/>
      <c r="DM25" s="20">
        <f>DI25*DK25</f>
        <v>4000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2000</v>
      </c>
      <c r="EK25" s="21"/>
      <c r="EL25" s="20">
        <f>EH25*EJ25</f>
        <v>4000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2000</v>
      </c>
      <c r="FJ25" s="21"/>
      <c r="FK25" s="20">
        <f>FG25*FI25</f>
        <v>4000</v>
      </c>
      <c r="FL25" s="21"/>
      <c r="FM25" s="2"/>
      <c r="FN25" s="2"/>
      <c r="FO25" s="2"/>
      <c r="FP25" s="2"/>
      <c r="FQ25" s="2"/>
      <c r="FR25" s="2"/>
      <c r="FS25" s="2"/>
    </row>
    <row r="26" spans="1:175" ht="15" customHeight="1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5.75" customHeight="1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" customHeight="1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2000</v>
      </c>
      <c r="P28" s="21"/>
      <c r="Q28" s="20">
        <f>M28*O28</f>
        <v>2000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2000</v>
      </c>
      <c r="AO28" s="21"/>
      <c r="AP28" s="20">
        <f>AL28*AN28</f>
        <v>2000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2000</v>
      </c>
      <c r="BN28" s="21"/>
      <c r="BO28" s="20">
        <f>BK28*BM28</f>
        <v>2000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2000</v>
      </c>
      <c r="CM28" s="21"/>
      <c r="CN28" s="20">
        <f>CJ28*CL28</f>
        <v>2000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2000</v>
      </c>
      <c r="DL28" s="21"/>
      <c r="DM28" s="20">
        <f>DI28*DK28</f>
        <v>2000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2000</v>
      </c>
      <c r="EK28" s="21"/>
      <c r="EL28" s="20">
        <f>EH28*EJ28</f>
        <v>2000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2000</v>
      </c>
      <c r="FJ28" s="21"/>
      <c r="FK28" s="20">
        <f>FG28*FI28</f>
        <v>2000</v>
      </c>
      <c r="FL28" s="21"/>
      <c r="FM28" s="2"/>
      <c r="FN28" s="2"/>
      <c r="FO28" s="2"/>
      <c r="FP28" s="2"/>
      <c r="FQ28" s="2"/>
      <c r="FR28" s="2"/>
      <c r="FS28" s="2"/>
    </row>
    <row r="29" spans="1:175" ht="15" customHeight="1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5.75" customHeight="1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5" customHeight="1">
      <c r="A33" s="2"/>
      <c r="B33" s="2"/>
      <c r="C33" s="61" t="s">
        <v>61</v>
      </c>
      <c r="D33" s="62"/>
      <c r="E33" s="62"/>
      <c r="F33" s="63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61" t="s">
        <v>62</v>
      </c>
      <c r="AC33" s="62"/>
      <c r="AD33" s="62"/>
      <c r="AE33" s="63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61" t="s">
        <v>63</v>
      </c>
      <c r="BB33" s="62"/>
      <c r="BC33" s="62"/>
      <c r="BD33" s="63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61" t="s">
        <v>64</v>
      </c>
      <c r="CA33" s="62"/>
      <c r="CB33" s="62"/>
      <c r="CC33" s="63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61" t="s">
        <v>65</v>
      </c>
      <c r="CZ33" s="62"/>
      <c r="DA33" s="62"/>
      <c r="DB33" s="63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61" t="s">
        <v>66</v>
      </c>
      <c r="DY33" s="62"/>
      <c r="DZ33" s="62"/>
      <c r="EA33" s="63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61" t="s">
        <v>67</v>
      </c>
      <c r="EX33" s="62"/>
      <c r="EY33" s="62"/>
      <c r="EZ33" s="63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5.75" customHeight="1" thickBot="1">
      <c r="A34" s="2"/>
      <c r="B34" s="2"/>
      <c r="C34" s="64"/>
      <c r="D34" s="65"/>
      <c r="E34" s="65"/>
      <c r="F34" s="66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64"/>
      <c r="AC34" s="65"/>
      <c r="AD34" s="65"/>
      <c r="AE34" s="66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64"/>
      <c r="BB34" s="65"/>
      <c r="BC34" s="65"/>
      <c r="BD34" s="66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64"/>
      <c r="CA34" s="65"/>
      <c r="CB34" s="65"/>
      <c r="CC34" s="66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64"/>
      <c r="CZ34" s="65"/>
      <c r="DA34" s="65"/>
      <c r="DB34" s="66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64"/>
      <c r="DY34" s="65"/>
      <c r="DZ34" s="65"/>
      <c r="EA34" s="66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64"/>
      <c r="EX34" s="65"/>
      <c r="EY34" s="65"/>
      <c r="EZ34" s="66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ht="15" customHeight="1">
      <c r="A35" s="2"/>
      <c r="B35" s="2"/>
      <c r="C35" s="67" t="s">
        <v>68</v>
      </c>
      <c r="D35" s="67">
        <f>F11+F15+F19</f>
        <v>1110</v>
      </c>
      <c r="E35" s="67" t="s">
        <v>69</v>
      </c>
      <c r="F35" s="67">
        <f>D35-D39</f>
        <v>-11450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67" t="s">
        <v>68</v>
      </c>
      <c r="AC35" s="67">
        <f>AE11+AE15+AE19</f>
        <v>1165</v>
      </c>
      <c r="AD35" s="67" t="s">
        <v>69</v>
      </c>
      <c r="AE35" s="67">
        <f>AC35-AC39</f>
        <v>-11395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67" t="s">
        <v>68</v>
      </c>
      <c r="BB35" s="67">
        <f>BD11+BD15+BD19</f>
        <v>1270</v>
      </c>
      <c r="BC35" s="67" t="s">
        <v>69</v>
      </c>
      <c r="BD35" s="67">
        <f>BB35-BB39</f>
        <v>-11290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67" t="s">
        <v>68</v>
      </c>
      <c r="CA35" s="67">
        <f>CC11+CC15+CC19</f>
        <v>1170</v>
      </c>
      <c r="CB35" s="67" t="s">
        <v>69</v>
      </c>
      <c r="CC35" s="67">
        <f>CA35-CA39</f>
        <v>-11390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67" t="s">
        <v>68</v>
      </c>
      <c r="CZ35" s="67">
        <f>DB11+DB15+DB19</f>
        <v>1120</v>
      </c>
      <c r="DA35" s="67" t="s">
        <v>69</v>
      </c>
      <c r="DB35" s="67">
        <f>CZ35-CZ39</f>
        <v>-11440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67" t="s">
        <v>68</v>
      </c>
      <c r="DY35" s="67">
        <f>EA11+EA15+EA19</f>
        <v>1110</v>
      </c>
      <c r="DZ35" s="67" t="s">
        <v>69</v>
      </c>
      <c r="EA35" s="67">
        <f>DY35-DY39</f>
        <v>-11450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67" t="s">
        <v>68</v>
      </c>
      <c r="EX35" s="67">
        <f>EZ11+EZ15+EZ19</f>
        <v>1110</v>
      </c>
      <c r="EY35" s="67" t="s">
        <v>69</v>
      </c>
      <c r="EZ35" s="67">
        <f>EX35-EX39</f>
        <v>-11450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ht="15" customHeight="1">
      <c r="A36" s="2"/>
      <c r="B36" s="2"/>
      <c r="C36" s="67"/>
      <c r="D36" s="67"/>
      <c r="E36" s="67"/>
      <c r="F36" s="67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67"/>
      <c r="AC36" s="67"/>
      <c r="AD36" s="67"/>
      <c r="AE36" s="67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67"/>
      <c r="BB36" s="67"/>
      <c r="BC36" s="67"/>
      <c r="BD36" s="67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67"/>
      <c r="CA36" s="67"/>
      <c r="CB36" s="67"/>
      <c r="CC36" s="67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67"/>
      <c r="CZ36" s="67"/>
      <c r="DA36" s="67"/>
      <c r="DB36" s="67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67"/>
      <c r="DY36" s="67"/>
      <c r="DZ36" s="67"/>
      <c r="EA36" s="67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67"/>
      <c r="EX36" s="67"/>
      <c r="EY36" s="67"/>
      <c r="EZ36" s="67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ht="15" customHeight="1">
      <c r="A37" s="2"/>
      <c r="B37" s="2"/>
      <c r="C37" s="67"/>
      <c r="D37" s="67"/>
      <c r="E37" s="67"/>
      <c r="F37" s="67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67"/>
      <c r="AC37" s="67"/>
      <c r="AD37" s="67"/>
      <c r="AE37" s="67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67"/>
      <c r="BB37" s="67"/>
      <c r="BC37" s="67"/>
      <c r="BD37" s="67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67"/>
      <c r="CA37" s="67"/>
      <c r="CB37" s="67"/>
      <c r="CC37" s="67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67"/>
      <c r="CZ37" s="67"/>
      <c r="DA37" s="67"/>
      <c r="DB37" s="67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67"/>
      <c r="DY37" s="67"/>
      <c r="DZ37" s="67"/>
      <c r="EA37" s="67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67"/>
      <c r="EX37" s="67"/>
      <c r="EY37" s="67"/>
      <c r="EZ37" s="67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.75" customHeight="1" thickBot="1">
      <c r="A38" s="2"/>
      <c r="B38" s="2"/>
      <c r="C38" s="68"/>
      <c r="D38" s="68"/>
      <c r="E38" s="68"/>
      <c r="F38" s="68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68"/>
      <c r="AC38" s="68"/>
      <c r="AD38" s="68"/>
      <c r="AE38" s="68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68"/>
      <c r="BB38" s="68"/>
      <c r="BC38" s="68"/>
      <c r="BD38" s="68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68"/>
      <c r="CA38" s="68"/>
      <c r="CB38" s="68"/>
      <c r="CC38" s="68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68"/>
      <c r="CZ38" s="68"/>
      <c r="DA38" s="68"/>
      <c r="DB38" s="68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68"/>
      <c r="DY38" s="68"/>
      <c r="DZ38" s="68"/>
      <c r="EA38" s="68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68"/>
      <c r="EX38" s="68"/>
      <c r="EY38" s="68"/>
      <c r="EZ38" s="68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ht="14.45" customHeight="1">
      <c r="A39" s="2"/>
      <c r="B39" s="2"/>
      <c r="C39" s="67" t="s">
        <v>70</v>
      </c>
      <c r="D39" s="67">
        <f>SUM(Q13:Q28)</f>
        <v>12560</v>
      </c>
      <c r="E39" s="67" t="s">
        <v>71</v>
      </c>
      <c r="F39" s="67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67" t="s">
        <v>70</v>
      </c>
      <c r="AC39" s="67">
        <f>SUM(AP13:AP28)</f>
        <v>12560</v>
      </c>
      <c r="AD39" s="67" t="s">
        <v>71</v>
      </c>
      <c r="AE39" s="67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67" t="s">
        <v>70</v>
      </c>
      <c r="BB39" s="67">
        <f>SUM(BO13:BO28)</f>
        <v>12560</v>
      </c>
      <c r="BC39" s="67" t="s">
        <v>71</v>
      </c>
      <c r="BD39" s="67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67" t="s">
        <v>70</v>
      </c>
      <c r="CA39" s="67">
        <f>SUM(CN13:CN28)</f>
        <v>12560</v>
      </c>
      <c r="CB39" s="67" t="s">
        <v>71</v>
      </c>
      <c r="CC39" s="67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67" t="s">
        <v>70</v>
      </c>
      <c r="CZ39" s="67">
        <f>SUM(DM13:DM28)</f>
        <v>12560</v>
      </c>
      <c r="DA39" s="67" t="s">
        <v>71</v>
      </c>
      <c r="DB39" s="67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67" t="s">
        <v>70</v>
      </c>
      <c r="DY39" s="67">
        <f>SUM(EL13:EL28)</f>
        <v>12560</v>
      </c>
      <c r="DZ39" s="67" t="s">
        <v>71</v>
      </c>
      <c r="EA39" s="67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67" t="s">
        <v>70</v>
      </c>
      <c r="EX39" s="67">
        <f>SUM(FK13:FK28)</f>
        <v>12560</v>
      </c>
      <c r="EY39" s="67" t="s">
        <v>71</v>
      </c>
      <c r="EZ39" s="67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ht="15" customHeight="1">
      <c r="A40" s="2"/>
      <c r="B40" s="2"/>
      <c r="C40" s="67"/>
      <c r="D40" s="67"/>
      <c r="E40" s="67"/>
      <c r="F40" s="67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67"/>
      <c r="AC40" s="67"/>
      <c r="AD40" s="67"/>
      <c r="AE40" s="67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67"/>
      <c r="BB40" s="67"/>
      <c r="BC40" s="67"/>
      <c r="BD40" s="67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67"/>
      <c r="CA40" s="67"/>
      <c r="CB40" s="67"/>
      <c r="CC40" s="67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67"/>
      <c r="CZ40" s="67"/>
      <c r="DA40" s="67"/>
      <c r="DB40" s="67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67"/>
      <c r="DY40" s="67"/>
      <c r="DZ40" s="67"/>
      <c r="EA40" s="67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67"/>
      <c r="EX40" s="67"/>
      <c r="EY40" s="67"/>
      <c r="EZ40" s="67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ht="14.45" customHeight="1">
      <c r="A41" s="2"/>
      <c r="B41" s="2"/>
      <c r="C41" s="67"/>
      <c r="D41" s="67"/>
      <c r="E41" s="67"/>
      <c r="F41" s="67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67"/>
      <c r="AC41" s="67"/>
      <c r="AD41" s="67"/>
      <c r="AE41" s="67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67"/>
      <c r="BB41" s="67"/>
      <c r="BC41" s="67"/>
      <c r="BD41" s="67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67"/>
      <c r="CA41" s="67"/>
      <c r="CB41" s="67"/>
      <c r="CC41" s="67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67"/>
      <c r="CZ41" s="67"/>
      <c r="DA41" s="67"/>
      <c r="DB41" s="67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67"/>
      <c r="DY41" s="67"/>
      <c r="DZ41" s="67"/>
      <c r="EA41" s="67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67"/>
      <c r="EX41" s="67"/>
      <c r="EY41" s="67"/>
      <c r="EZ41" s="67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customHeight="1" thickBot="1">
      <c r="A42" s="2"/>
      <c r="B42" s="2"/>
      <c r="C42" s="68"/>
      <c r="D42" s="68"/>
      <c r="E42" s="68"/>
      <c r="F42" s="68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68"/>
      <c r="AC42" s="68"/>
      <c r="AD42" s="68"/>
      <c r="AE42" s="68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68"/>
      <c r="BB42" s="68"/>
      <c r="BC42" s="68"/>
      <c r="BD42" s="68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68"/>
      <c r="CA42" s="68"/>
      <c r="CB42" s="68"/>
      <c r="CC42" s="68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68"/>
      <c r="CZ42" s="68"/>
      <c r="DA42" s="68"/>
      <c r="DB42" s="68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68"/>
      <c r="DY42" s="68"/>
      <c r="DZ42" s="68"/>
      <c r="EA42" s="68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68"/>
      <c r="EX42" s="68"/>
      <c r="EY42" s="68"/>
      <c r="EZ42" s="68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 ht="15" customHeight="1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 ht="15" customHeight="1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 ht="15" customHeight="1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 ht="15.75" customHeight="1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4.45" customHeight="1">
      <c r="A50" s="2"/>
      <c r="B50" s="2"/>
      <c r="C50" s="2"/>
      <c r="D50" s="2"/>
      <c r="E50" s="61" t="s">
        <v>72</v>
      </c>
      <c r="F50" s="62"/>
      <c r="G50" s="62"/>
      <c r="H50" s="63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88"/>
      <c r="BD50" s="88"/>
      <c r="BE50" s="88"/>
      <c r="BF50" s="88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95" t="s">
        <v>72</v>
      </c>
      <c r="CC50" s="96"/>
      <c r="CD50" s="96"/>
      <c r="CE50" s="97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95" t="s">
        <v>72</v>
      </c>
      <c r="DB50" s="96"/>
      <c r="DC50" s="96"/>
      <c r="DD50" s="97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95" t="s">
        <v>72</v>
      </c>
      <c r="EA50" s="96"/>
      <c r="EB50" s="96"/>
      <c r="EC50" s="97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95" t="s">
        <v>72</v>
      </c>
      <c r="EZ50" s="96"/>
      <c r="FA50" s="96"/>
      <c r="FB50" s="97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5" customHeight="1" thickBot="1">
      <c r="A51" s="2"/>
      <c r="B51" s="2"/>
      <c r="C51" s="2"/>
      <c r="D51" s="2"/>
      <c r="E51" s="64"/>
      <c r="F51" s="65"/>
      <c r="G51" s="65"/>
      <c r="H51" s="66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88"/>
      <c r="BD51" s="88"/>
      <c r="BE51" s="88"/>
      <c r="BF51" s="88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98"/>
      <c r="CC51" s="99"/>
      <c r="CD51" s="99"/>
      <c r="CE51" s="100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98"/>
      <c r="DB51" s="99"/>
      <c r="DC51" s="99"/>
      <c r="DD51" s="100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98"/>
      <c r="EA51" s="99"/>
      <c r="EB51" s="99"/>
      <c r="EC51" s="100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98"/>
      <c r="EZ51" s="99"/>
      <c r="FA51" s="99"/>
      <c r="FB51" s="100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5" customHeight="1">
      <c r="A52" s="2"/>
      <c r="B52" s="2"/>
      <c r="C52" s="2"/>
      <c r="D52" s="2"/>
      <c r="E52" s="67" t="s">
        <v>68</v>
      </c>
      <c r="F52" s="52">
        <f>F35+AE35+BD35+CC35+DB35+EA35+EZ35</f>
        <v>-79865</v>
      </c>
      <c r="G52" s="53"/>
      <c r="H52" s="5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89"/>
      <c r="BD52" s="89"/>
      <c r="BE52" s="89"/>
      <c r="BF52" s="89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90" t="s">
        <v>68</v>
      </c>
      <c r="CC52" s="92"/>
      <c r="CD52" s="93"/>
      <c r="CE52" s="93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90" t="s">
        <v>68</v>
      </c>
      <c r="DB52" s="92"/>
      <c r="DC52" s="93"/>
      <c r="DD52" s="93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90" t="s">
        <v>68</v>
      </c>
      <c r="EA52" s="92"/>
      <c r="EB52" s="93"/>
      <c r="EC52" s="93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90" t="s">
        <v>68</v>
      </c>
      <c r="EZ52" s="92"/>
      <c r="FA52" s="93"/>
      <c r="FB52" s="93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5" customHeight="1">
      <c r="A53" s="2"/>
      <c r="B53" s="2"/>
      <c r="C53" s="2"/>
      <c r="D53" s="2"/>
      <c r="E53" s="67"/>
      <c r="F53" s="55"/>
      <c r="G53" s="56"/>
      <c r="H53" s="5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89"/>
      <c r="BD53" s="89"/>
      <c r="BE53" s="89"/>
      <c r="BF53" s="89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90"/>
      <c r="CC53" s="94"/>
      <c r="CD53" s="89"/>
      <c r="CE53" s="89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90"/>
      <c r="DB53" s="94"/>
      <c r="DC53" s="89"/>
      <c r="DD53" s="89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90"/>
      <c r="EA53" s="94"/>
      <c r="EB53" s="89"/>
      <c r="EC53" s="89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90"/>
      <c r="EZ53" s="94"/>
      <c r="FA53" s="89"/>
      <c r="FB53" s="89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5" customHeight="1">
      <c r="A54" s="2"/>
      <c r="B54" s="2"/>
      <c r="C54" s="2"/>
      <c r="D54" s="2"/>
      <c r="E54" s="67"/>
      <c r="F54" s="55"/>
      <c r="G54" s="56"/>
      <c r="H54" s="5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89"/>
      <c r="BD54" s="89"/>
      <c r="BE54" s="89"/>
      <c r="BF54" s="89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90"/>
      <c r="CC54" s="94"/>
      <c r="CD54" s="89"/>
      <c r="CE54" s="89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90"/>
      <c r="DB54" s="94"/>
      <c r="DC54" s="89"/>
      <c r="DD54" s="89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90"/>
      <c r="EA54" s="94"/>
      <c r="EB54" s="89"/>
      <c r="EC54" s="89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90"/>
      <c r="EZ54" s="94"/>
      <c r="FA54" s="89"/>
      <c r="FB54" s="89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5.75" customHeight="1" thickBot="1">
      <c r="A55" s="2"/>
      <c r="B55" s="2"/>
      <c r="C55" s="2"/>
      <c r="D55" s="2"/>
      <c r="E55" s="68"/>
      <c r="F55" s="55"/>
      <c r="G55" s="56"/>
      <c r="H55" s="5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89"/>
      <c r="BD55" s="89"/>
      <c r="BE55" s="89"/>
      <c r="BF55" s="89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91"/>
      <c r="CC55" s="94"/>
      <c r="CD55" s="89"/>
      <c r="CE55" s="89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91"/>
      <c r="DB55" s="94"/>
      <c r="DC55" s="89"/>
      <c r="DD55" s="89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91"/>
      <c r="EA55" s="94"/>
      <c r="EB55" s="89"/>
      <c r="EC55" s="89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91"/>
      <c r="EZ55" s="94"/>
      <c r="FA55" s="89"/>
      <c r="FB55" s="89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4.45" customHeight="1">
      <c r="A56" s="2"/>
      <c r="B56" s="2"/>
      <c r="C56" s="2"/>
      <c r="D56" s="2"/>
      <c r="E56" s="67" t="s">
        <v>70</v>
      </c>
      <c r="F56" s="52">
        <f>D39+AC39+BB39+CA39+CZ39+DY39+EX39</f>
        <v>87920</v>
      </c>
      <c r="G56" s="53"/>
      <c r="H56" s="5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89"/>
      <c r="BD56" s="89"/>
      <c r="BE56" s="89"/>
      <c r="BF56" s="89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90" t="s">
        <v>70</v>
      </c>
      <c r="CC56" s="92"/>
      <c r="CD56" s="93"/>
      <c r="CE56" s="93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90" t="s">
        <v>70</v>
      </c>
      <c r="DB56" s="92"/>
      <c r="DC56" s="93"/>
      <c r="DD56" s="93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90" t="s">
        <v>70</v>
      </c>
      <c r="EA56" s="92"/>
      <c r="EB56" s="93"/>
      <c r="EC56" s="93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90" t="s">
        <v>70</v>
      </c>
      <c r="EZ56" s="92"/>
      <c r="FA56" s="93"/>
      <c r="FB56" s="93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5" customHeight="1">
      <c r="A57" s="2"/>
      <c r="B57" s="2"/>
      <c r="C57" s="2"/>
      <c r="D57" s="2"/>
      <c r="E57" s="67"/>
      <c r="F57" s="55"/>
      <c r="G57" s="56"/>
      <c r="H57" s="5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89"/>
      <c r="BD57" s="89"/>
      <c r="BE57" s="89"/>
      <c r="BF57" s="89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90"/>
      <c r="CC57" s="94"/>
      <c r="CD57" s="89"/>
      <c r="CE57" s="89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90"/>
      <c r="DB57" s="94"/>
      <c r="DC57" s="89"/>
      <c r="DD57" s="89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90"/>
      <c r="EA57" s="94"/>
      <c r="EB57" s="89"/>
      <c r="EC57" s="89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90"/>
      <c r="EZ57" s="94"/>
      <c r="FA57" s="89"/>
      <c r="FB57" s="89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4.45" customHeight="1">
      <c r="A58" s="2"/>
      <c r="B58" s="2"/>
      <c r="C58" s="2"/>
      <c r="D58" s="2"/>
      <c r="E58" s="67"/>
      <c r="F58" s="55"/>
      <c r="G58" s="56"/>
      <c r="H58" s="5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89"/>
      <c r="BD58" s="89"/>
      <c r="BE58" s="89"/>
      <c r="BF58" s="89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90"/>
      <c r="CC58" s="94"/>
      <c r="CD58" s="89"/>
      <c r="CE58" s="89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90"/>
      <c r="DB58" s="94"/>
      <c r="DC58" s="89"/>
      <c r="DD58" s="89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90"/>
      <c r="EA58" s="94"/>
      <c r="EB58" s="89"/>
      <c r="EC58" s="89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90"/>
      <c r="EZ58" s="94"/>
      <c r="FA58" s="89"/>
      <c r="FB58" s="89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5" customHeight="1" thickBot="1">
      <c r="A59" s="2"/>
      <c r="B59" s="2"/>
      <c r="C59" s="2"/>
      <c r="D59" s="2"/>
      <c r="E59" s="68"/>
      <c r="F59" s="55"/>
      <c r="G59" s="56"/>
      <c r="H59" s="5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89"/>
      <c r="BD59" s="89"/>
      <c r="BE59" s="89"/>
      <c r="BF59" s="89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91"/>
      <c r="CC59" s="94"/>
      <c r="CD59" s="89"/>
      <c r="CE59" s="89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91"/>
      <c r="DB59" s="94"/>
      <c r="DC59" s="89"/>
      <c r="DD59" s="89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91"/>
      <c r="EA59" s="94"/>
      <c r="EB59" s="89"/>
      <c r="EC59" s="89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91"/>
      <c r="EZ59" s="94"/>
      <c r="FA59" s="89"/>
      <c r="FB59" s="89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4.45" customHeight="1">
      <c r="A60" s="2"/>
      <c r="B60" s="2"/>
      <c r="C60" s="2"/>
      <c r="D60" s="2"/>
      <c r="E60" s="67" t="s">
        <v>73</v>
      </c>
      <c r="F60" s="52">
        <f>F56-F52</f>
        <v>167785</v>
      </c>
      <c r="G60" s="53"/>
      <c r="H60" s="5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5"/>
      <c r="AE60" s="35"/>
      <c r="AF60" s="35"/>
      <c r="AG60" s="35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89"/>
      <c r="BD60" s="89"/>
      <c r="BE60" s="89"/>
      <c r="BF60" s="89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90" t="s">
        <v>73</v>
      </c>
      <c r="CC60" s="92"/>
      <c r="CD60" s="93"/>
      <c r="CE60" s="93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90" t="s">
        <v>73</v>
      </c>
      <c r="DB60" s="92"/>
      <c r="DC60" s="93"/>
      <c r="DD60" s="93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90" t="s">
        <v>73</v>
      </c>
      <c r="EA60" s="92"/>
      <c r="EB60" s="93"/>
      <c r="EC60" s="93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90" t="s">
        <v>73</v>
      </c>
      <c r="EZ60" s="92"/>
      <c r="FA60" s="93"/>
      <c r="FB60" s="93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5" customHeight="1">
      <c r="A61" s="2"/>
      <c r="B61" s="2"/>
      <c r="C61" s="2"/>
      <c r="D61" s="2"/>
      <c r="E61" s="67"/>
      <c r="F61" s="55"/>
      <c r="G61" s="56"/>
      <c r="H61" s="5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5"/>
      <c r="AE61" s="35"/>
      <c r="AF61" s="35"/>
      <c r="AG61" s="3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89"/>
      <c r="BD61" s="89"/>
      <c r="BE61" s="89"/>
      <c r="BF61" s="89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90"/>
      <c r="CC61" s="94"/>
      <c r="CD61" s="89"/>
      <c r="CE61" s="89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90"/>
      <c r="DB61" s="94"/>
      <c r="DC61" s="89"/>
      <c r="DD61" s="89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90"/>
      <c r="EA61" s="94"/>
      <c r="EB61" s="89"/>
      <c r="EC61" s="89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90"/>
      <c r="EZ61" s="94"/>
      <c r="FA61" s="89"/>
      <c r="FB61" s="89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4.45" customHeight="1">
      <c r="A62" s="2"/>
      <c r="B62" s="2"/>
      <c r="C62" s="2"/>
      <c r="D62" s="2"/>
      <c r="E62" s="67"/>
      <c r="F62" s="55"/>
      <c r="G62" s="56"/>
      <c r="H62" s="5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5"/>
      <c r="AE62" s="35"/>
      <c r="AF62" s="35"/>
      <c r="AG62" s="35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89"/>
      <c r="BD62" s="89"/>
      <c r="BE62" s="89"/>
      <c r="BF62" s="89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90"/>
      <c r="CC62" s="94"/>
      <c r="CD62" s="89"/>
      <c r="CE62" s="89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90"/>
      <c r="DB62" s="94"/>
      <c r="DC62" s="89"/>
      <c r="DD62" s="89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90"/>
      <c r="EA62" s="94"/>
      <c r="EB62" s="89"/>
      <c r="EC62" s="89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90"/>
      <c r="EZ62" s="94"/>
      <c r="FA62" s="89"/>
      <c r="FB62" s="89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5" customHeight="1" thickBot="1">
      <c r="A63" s="2"/>
      <c r="B63" s="2"/>
      <c r="C63" s="2"/>
      <c r="D63" s="2"/>
      <c r="E63" s="68"/>
      <c r="F63" s="55"/>
      <c r="G63" s="56"/>
      <c r="H63" s="5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5"/>
      <c r="AE63" s="35"/>
      <c r="AF63" s="35"/>
      <c r="AG63" s="35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89"/>
      <c r="BD63" s="89"/>
      <c r="BE63" s="89"/>
      <c r="BF63" s="89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91"/>
      <c r="CC63" s="94"/>
      <c r="CD63" s="89"/>
      <c r="CE63" s="89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91"/>
      <c r="DB63" s="94"/>
      <c r="DC63" s="89"/>
      <c r="DD63" s="89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91"/>
      <c r="EA63" s="94"/>
      <c r="EB63" s="89"/>
      <c r="EC63" s="89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91"/>
      <c r="EZ63" s="94"/>
      <c r="FA63" s="89"/>
      <c r="FB63" s="89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4.45" customHeight="1">
      <c r="A64" s="2"/>
      <c r="B64" s="2"/>
      <c r="C64" s="2"/>
      <c r="D64" s="2"/>
      <c r="E64" s="67" t="s">
        <v>74</v>
      </c>
      <c r="F64" s="52">
        <f>(F60)/7700</f>
        <v>21.790259740259739</v>
      </c>
      <c r="G64" s="53"/>
      <c r="H64" s="5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5"/>
      <c r="AF64" s="35"/>
      <c r="AG64" s="35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89"/>
      <c r="BD64" s="89"/>
      <c r="BE64" s="89"/>
      <c r="BF64" s="89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90" t="s">
        <v>74</v>
      </c>
      <c r="CC64" s="92"/>
      <c r="CD64" s="93"/>
      <c r="CE64" s="93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90" t="s">
        <v>74</v>
      </c>
      <c r="DB64" s="92"/>
      <c r="DC64" s="93"/>
      <c r="DD64" s="93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90" t="s">
        <v>74</v>
      </c>
      <c r="EA64" s="92"/>
      <c r="EB64" s="93"/>
      <c r="EC64" s="93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90" t="s">
        <v>74</v>
      </c>
      <c r="EZ64" s="92"/>
      <c r="FA64" s="93"/>
      <c r="FB64" s="93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5" customHeight="1">
      <c r="A65" s="2"/>
      <c r="B65" s="2"/>
      <c r="C65" s="2"/>
      <c r="D65" s="2"/>
      <c r="E65" s="67"/>
      <c r="F65" s="55"/>
      <c r="G65" s="56"/>
      <c r="H65" s="5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5"/>
      <c r="AE65" s="35"/>
      <c r="AF65" s="35"/>
      <c r="AG65" s="35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89"/>
      <c r="BD65" s="89"/>
      <c r="BE65" s="89"/>
      <c r="BF65" s="89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90"/>
      <c r="CC65" s="94"/>
      <c r="CD65" s="89"/>
      <c r="CE65" s="89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90"/>
      <c r="DB65" s="94"/>
      <c r="DC65" s="89"/>
      <c r="DD65" s="89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90"/>
      <c r="EA65" s="94"/>
      <c r="EB65" s="89"/>
      <c r="EC65" s="89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90"/>
      <c r="EZ65" s="94"/>
      <c r="FA65" s="89"/>
      <c r="FB65" s="89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4.45" customHeight="1">
      <c r="A66" s="2"/>
      <c r="B66" s="2"/>
      <c r="C66" s="2"/>
      <c r="D66" s="2"/>
      <c r="E66" s="67"/>
      <c r="F66" s="55"/>
      <c r="G66" s="56"/>
      <c r="H66" s="5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5"/>
      <c r="AE66" s="35"/>
      <c r="AF66" s="35"/>
      <c r="AG66" s="35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89"/>
      <c r="BD66" s="89"/>
      <c r="BE66" s="89"/>
      <c r="BF66" s="89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90"/>
      <c r="CC66" s="94"/>
      <c r="CD66" s="89"/>
      <c r="CE66" s="89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90"/>
      <c r="DB66" s="94"/>
      <c r="DC66" s="89"/>
      <c r="DD66" s="89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90"/>
      <c r="EA66" s="94"/>
      <c r="EB66" s="89"/>
      <c r="EC66" s="89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90"/>
      <c r="EZ66" s="94"/>
      <c r="FA66" s="89"/>
      <c r="FB66" s="89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5" customHeight="1" thickBot="1">
      <c r="A67" s="2"/>
      <c r="B67" s="2"/>
      <c r="C67" s="2"/>
      <c r="D67" s="2"/>
      <c r="E67" s="68"/>
      <c r="F67" s="55"/>
      <c r="G67" s="56"/>
      <c r="H67" s="5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5"/>
      <c r="AE67" s="35"/>
      <c r="AF67" s="35"/>
      <c r="AG67" s="35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89"/>
      <c r="BD67" s="89"/>
      <c r="BE67" s="89"/>
      <c r="BF67" s="89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91"/>
      <c r="CC67" s="94"/>
      <c r="CD67" s="89"/>
      <c r="CE67" s="89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91"/>
      <c r="DB67" s="94"/>
      <c r="DC67" s="89"/>
      <c r="DD67" s="89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91"/>
      <c r="EA67" s="94"/>
      <c r="EB67" s="89"/>
      <c r="EC67" s="89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91"/>
      <c r="EZ67" s="94"/>
      <c r="FA67" s="89"/>
      <c r="FB67" s="89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4.45" customHeight="1">
      <c r="A68" s="2"/>
      <c r="B68" s="2"/>
      <c r="C68" s="2"/>
      <c r="D68" s="2"/>
      <c r="E68" s="67" t="s">
        <v>75</v>
      </c>
      <c r="F68" s="52">
        <f>F64-D3</f>
        <v>-178.20974025974027</v>
      </c>
      <c r="G68" s="53"/>
      <c r="H68" s="5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5"/>
      <c r="AE68" s="35"/>
      <c r="AF68" s="35"/>
      <c r="AG68" s="35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89"/>
      <c r="BD68" s="89"/>
      <c r="BE68" s="89"/>
      <c r="BF68" s="89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90" t="s">
        <v>75</v>
      </c>
      <c r="CC68" s="92"/>
      <c r="CD68" s="93"/>
      <c r="CE68" s="93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90" t="s">
        <v>75</v>
      </c>
      <c r="DB68" s="92"/>
      <c r="DC68" s="93"/>
      <c r="DD68" s="93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90" t="s">
        <v>75</v>
      </c>
      <c r="EA68" s="92"/>
      <c r="EB68" s="93"/>
      <c r="EC68" s="93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90" t="s">
        <v>75</v>
      </c>
      <c r="EZ68" s="92"/>
      <c r="FA68" s="93"/>
      <c r="FB68" s="93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5" customHeight="1">
      <c r="A69" s="2"/>
      <c r="B69" s="2"/>
      <c r="C69" s="2"/>
      <c r="D69" s="2"/>
      <c r="E69" s="67"/>
      <c r="F69" s="55"/>
      <c r="G69" s="56"/>
      <c r="H69" s="5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5"/>
      <c r="AE69" s="35"/>
      <c r="AF69" s="35"/>
      <c r="AG69" s="35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89"/>
      <c r="BD69" s="89"/>
      <c r="BE69" s="89"/>
      <c r="BF69" s="89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90"/>
      <c r="CC69" s="94"/>
      <c r="CD69" s="89"/>
      <c r="CE69" s="89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90"/>
      <c r="DB69" s="94"/>
      <c r="DC69" s="89"/>
      <c r="DD69" s="89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90"/>
      <c r="EA69" s="94"/>
      <c r="EB69" s="89"/>
      <c r="EC69" s="89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90"/>
      <c r="EZ69" s="94"/>
      <c r="FA69" s="89"/>
      <c r="FB69" s="89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4.45" customHeight="1">
      <c r="A70" s="2"/>
      <c r="B70" s="2"/>
      <c r="C70" s="2"/>
      <c r="D70" s="2"/>
      <c r="E70" s="67"/>
      <c r="F70" s="55"/>
      <c r="G70" s="56"/>
      <c r="H70" s="5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5"/>
      <c r="AE70" s="35"/>
      <c r="AF70" s="35"/>
      <c r="AG70" s="35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89"/>
      <c r="BD70" s="89"/>
      <c r="BE70" s="89"/>
      <c r="BF70" s="89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90"/>
      <c r="CC70" s="94"/>
      <c r="CD70" s="89"/>
      <c r="CE70" s="89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90"/>
      <c r="DB70" s="94"/>
      <c r="DC70" s="89"/>
      <c r="DD70" s="89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90"/>
      <c r="EA70" s="94"/>
      <c r="EB70" s="89"/>
      <c r="EC70" s="89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90"/>
      <c r="EZ70" s="94"/>
      <c r="FA70" s="89"/>
      <c r="FB70" s="89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" customHeight="1" thickBot="1">
      <c r="A71" s="2"/>
      <c r="B71" s="2"/>
      <c r="C71" s="2"/>
      <c r="D71" s="2"/>
      <c r="E71" s="68"/>
      <c r="F71" s="55"/>
      <c r="G71" s="56"/>
      <c r="H71" s="5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89"/>
      <c r="BD71" s="89"/>
      <c r="BE71" s="89"/>
      <c r="BF71" s="89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91"/>
      <c r="CC71" s="94"/>
      <c r="CD71" s="89"/>
      <c r="CE71" s="89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91"/>
      <c r="DB71" s="94"/>
      <c r="DC71" s="89"/>
      <c r="DD71" s="89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91"/>
      <c r="EA71" s="94"/>
      <c r="EB71" s="89"/>
      <c r="EC71" s="89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91"/>
      <c r="EZ71" s="94"/>
      <c r="FA71" s="89"/>
      <c r="FB71" s="89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4.45" customHeight="1">
      <c r="A72" s="2"/>
      <c r="B72" s="2"/>
      <c r="C72" s="2"/>
      <c r="D72" s="2"/>
      <c r="E72" s="67" t="s">
        <v>76</v>
      </c>
      <c r="F72" s="52">
        <f>148.95/(1.6^2)</f>
        <v>58.183593749999986</v>
      </c>
      <c r="G72" s="53"/>
      <c r="H72" s="5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89"/>
      <c r="BD72" s="89"/>
      <c r="BE72" s="89"/>
      <c r="BF72" s="89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90" t="s">
        <v>76</v>
      </c>
      <c r="CC72" s="92"/>
      <c r="CD72" s="93"/>
      <c r="CE72" s="93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90" t="s">
        <v>76</v>
      </c>
      <c r="DB72" s="92"/>
      <c r="DC72" s="93"/>
      <c r="DD72" s="93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90" t="s">
        <v>76</v>
      </c>
      <c r="EA72" s="92"/>
      <c r="EB72" s="93"/>
      <c r="EC72" s="93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90" t="s">
        <v>76</v>
      </c>
      <c r="EZ72" s="92"/>
      <c r="FA72" s="93"/>
      <c r="FB72" s="93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5" customHeight="1">
      <c r="A73" s="2"/>
      <c r="B73" s="2"/>
      <c r="C73" s="2"/>
      <c r="D73" s="2"/>
      <c r="E73" s="67"/>
      <c r="F73" s="55"/>
      <c r="G73" s="56"/>
      <c r="H73" s="5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89"/>
      <c r="BD73" s="89"/>
      <c r="BE73" s="89"/>
      <c r="BF73" s="89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90"/>
      <c r="CC73" s="94"/>
      <c r="CD73" s="89"/>
      <c r="CE73" s="89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90"/>
      <c r="DB73" s="94"/>
      <c r="DC73" s="89"/>
      <c r="DD73" s="89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90"/>
      <c r="EA73" s="94"/>
      <c r="EB73" s="89"/>
      <c r="EC73" s="89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90"/>
      <c r="EZ73" s="94"/>
      <c r="FA73" s="89"/>
      <c r="FB73" s="89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4.45" customHeight="1">
      <c r="A74" s="2"/>
      <c r="B74" s="2"/>
      <c r="C74" s="2"/>
      <c r="D74" s="2"/>
      <c r="E74" s="67"/>
      <c r="F74" s="55"/>
      <c r="G74" s="56"/>
      <c r="H74" s="5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89"/>
      <c r="BD74" s="89"/>
      <c r="BE74" s="89"/>
      <c r="BF74" s="89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90"/>
      <c r="CC74" s="94"/>
      <c r="CD74" s="89"/>
      <c r="CE74" s="89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90"/>
      <c r="DB74" s="94"/>
      <c r="DC74" s="89"/>
      <c r="DD74" s="89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90"/>
      <c r="EA74" s="94"/>
      <c r="EB74" s="89"/>
      <c r="EC74" s="89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90"/>
      <c r="EZ74" s="94"/>
      <c r="FA74" s="89"/>
      <c r="FB74" s="89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" customHeight="1" thickBot="1">
      <c r="A75" s="2"/>
      <c r="B75" s="2"/>
      <c r="C75" s="2"/>
      <c r="D75" s="2"/>
      <c r="E75" s="68"/>
      <c r="F75" s="55"/>
      <c r="G75" s="56"/>
      <c r="H75" s="5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89"/>
      <c r="BD75" s="89"/>
      <c r="BE75" s="89"/>
      <c r="BF75" s="89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91"/>
      <c r="CC75" s="94"/>
      <c r="CD75" s="89"/>
      <c r="CE75" s="89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91"/>
      <c r="DB75" s="94"/>
      <c r="DC75" s="89"/>
      <c r="DD75" s="89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91"/>
      <c r="EA75" s="94"/>
      <c r="EB75" s="89"/>
      <c r="EC75" s="89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91"/>
      <c r="EZ75" s="94"/>
      <c r="FA75" s="89"/>
      <c r="FB75" s="89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 ht="14.4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3">
    <mergeCell ref="EZ64:FB67"/>
    <mergeCell ref="EY68:EY71"/>
    <mergeCell ref="EZ68:FB71"/>
    <mergeCell ref="EY72:EY75"/>
    <mergeCell ref="EZ72:FB75"/>
    <mergeCell ref="EY52:EY55"/>
    <mergeCell ref="EZ52:FB55"/>
    <mergeCell ref="EY56:EY59"/>
    <mergeCell ref="EZ56:FB59"/>
    <mergeCell ref="EY60:EY63"/>
    <mergeCell ref="EZ60:FB63"/>
    <mergeCell ref="EV3:EW4"/>
    <mergeCell ref="EX3:EX4"/>
    <mergeCell ref="EU9:EZ10"/>
    <mergeCell ref="EW39:EW42"/>
    <mergeCell ref="EX39:EX42"/>
    <mergeCell ref="EY39:EY42"/>
    <mergeCell ref="EZ39:EZ42"/>
    <mergeCell ref="EY50:FB51"/>
    <mergeCell ref="EW33:EZ34"/>
    <mergeCell ref="EW35:EW38"/>
    <mergeCell ref="EX35:EX38"/>
    <mergeCell ref="EY35:EY38"/>
    <mergeCell ref="EZ35:EZ38"/>
    <mergeCell ref="FC9:FL10"/>
    <mergeCell ref="EU11:EV14"/>
    <mergeCell ref="EW11:EW14"/>
    <mergeCell ref="EX11:EY14"/>
    <mergeCell ref="EZ11:EZ14"/>
    <mergeCell ref="DZ64:DZ67"/>
    <mergeCell ref="EA64:EC67"/>
    <mergeCell ref="DZ68:DZ71"/>
    <mergeCell ref="EA68:EC71"/>
    <mergeCell ref="DX33:EA34"/>
    <mergeCell ref="DX35:DX38"/>
    <mergeCell ref="DY35:DY38"/>
    <mergeCell ref="DZ35:DZ38"/>
    <mergeCell ref="EA35:EA38"/>
    <mergeCell ref="ED9:EM10"/>
    <mergeCell ref="EU15:EV18"/>
    <mergeCell ref="EW15:EW18"/>
    <mergeCell ref="EX15:EY18"/>
    <mergeCell ref="EZ15:EZ18"/>
    <mergeCell ref="EU19:EV22"/>
    <mergeCell ref="EW19:EW22"/>
    <mergeCell ref="EX19:EY22"/>
    <mergeCell ref="EZ19:EZ22"/>
    <mergeCell ref="EY64:EY67"/>
    <mergeCell ref="DZ72:DZ75"/>
    <mergeCell ref="EA72:EC75"/>
    <mergeCell ref="DZ52:DZ55"/>
    <mergeCell ref="EA52:EC55"/>
    <mergeCell ref="DZ56:DZ59"/>
    <mergeCell ref="EA56:EC59"/>
    <mergeCell ref="DZ60:DZ63"/>
    <mergeCell ref="EA60:EC63"/>
    <mergeCell ref="DX39:DX42"/>
    <mergeCell ref="DY39:DY42"/>
    <mergeCell ref="DZ39:DZ42"/>
    <mergeCell ref="EA39:EA42"/>
    <mergeCell ref="DZ50:EC51"/>
    <mergeCell ref="DV15:DW18"/>
    <mergeCell ref="DX15:DX18"/>
    <mergeCell ref="DY15:DZ18"/>
    <mergeCell ref="EA15:EA18"/>
    <mergeCell ref="DV19:DW22"/>
    <mergeCell ref="DX19:DX22"/>
    <mergeCell ref="DY19:DZ22"/>
    <mergeCell ref="EA19:EA22"/>
    <mergeCell ref="DW3:DX4"/>
    <mergeCell ref="DY3:DY4"/>
    <mergeCell ref="DV9:EA10"/>
    <mergeCell ref="DV11:DW14"/>
    <mergeCell ref="DX11:DX14"/>
    <mergeCell ref="DY11:DZ14"/>
    <mergeCell ref="EA11:EA14"/>
    <mergeCell ref="DB64:DD67"/>
    <mergeCell ref="DA68:DA71"/>
    <mergeCell ref="DB68:DD71"/>
    <mergeCell ref="DA72:DA75"/>
    <mergeCell ref="DB72:DD75"/>
    <mergeCell ref="DA52:DA55"/>
    <mergeCell ref="DB52:DD55"/>
    <mergeCell ref="DA56:DA59"/>
    <mergeCell ref="DB56:DD59"/>
    <mergeCell ref="DA60:DA63"/>
    <mergeCell ref="DB60:DD63"/>
    <mergeCell ref="CX3:CY4"/>
    <mergeCell ref="CZ3:CZ4"/>
    <mergeCell ref="CW9:DB10"/>
    <mergeCell ref="CY39:CY42"/>
    <mergeCell ref="CZ39:CZ42"/>
    <mergeCell ref="DA39:DA42"/>
    <mergeCell ref="DB39:DB42"/>
    <mergeCell ref="DA50:DD51"/>
    <mergeCell ref="CY33:DB34"/>
    <mergeCell ref="CY35:CY38"/>
    <mergeCell ref="CZ35:CZ38"/>
    <mergeCell ref="DA35:DA38"/>
    <mergeCell ref="DB35:DB38"/>
    <mergeCell ref="DE9:DN10"/>
    <mergeCell ref="CW11:CX14"/>
    <mergeCell ref="CY11:CY14"/>
    <mergeCell ref="CZ11:DA14"/>
    <mergeCell ref="DB11:DB14"/>
    <mergeCell ref="CB64:CB67"/>
    <mergeCell ref="CC64:CE67"/>
    <mergeCell ref="CB68:CB71"/>
    <mergeCell ref="CC68:CE71"/>
    <mergeCell ref="BZ33:CC34"/>
    <mergeCell ref="BZ35:BZ38"/>
    <mergeCell ref="CA35:CA38"/>
    <mergeCell ref="CB35:CB38"/>
    <mergeCell ref="CC35:CC38"/>
    <mergeCell ref="CF9:CO10"/>
    <mergeCell ref="CW15:CX18"/>
    <mergeCell ref="CY15:CY18"/>
    <mergeCell ref="CZ15:DA18"/>
    <mergeCell ref="DB15:DB18"/>
    <mergeCell ref="CW19:CX22"/>
    <mergeCell ref="CY19:CY22"/>
    <mergeCell ref="CZ19:DA22"/>
    <mergeCell ref="DB19:DB22"/>
    <mergeCell ref="DA64:DA67"/>
    <mergeCell ref="CB72:CB75"/>
    <mergeCell ref="CC72:CE75"/>
    <mergeCell ref="CB52:CB55"/>
    <mergeCell ref="CC52:CE55"/>
    <mergeCell ref="CB56:CB59"/>
    <mergeCell ref="CC56:CE59"/>
    <mergeCell ref="CB60:CB63"/>
    <mergeCell ref="CC60:CE63"/>
    <mergeCell ref="BZ39:BZ42"/>
    <mergeCell ref="CA39:CA42"/>
    <mergeCell ref="CB39:CB42"/>
    <mergeCell ref="CC39:CC42"/>
    <mergeCell ref="CB50:CE51"/>
    <mergeCell ref="BX15:BY18"/>
    <mergeCell ref="BZ15:BZ18"/>
    <mergeCell ref="CA15:CB18"/>
    <mergeCell ref="CC15:CC18"/>
    <mergeCell ref="BX19:BY22"/>
    <mergeCell ref="BZ19:BZ22"/>
    <mergeCell ref="CA19:CB22"/>
    <mergeCell ref="CC19:CC22"/>
    <mergeCell ref="BY3:BZ4"/>
    <mergeCell ref="CA3:CA4"/>
    <mergeCell ref="BX9:CC10"/>
    <mergeCell ref="BX11:BY14"/>
    <mergeCell ref="BZ11:BZ14"/>
    <mergeCell ref="CA11:CB14"/>
    <mergeCell ref="CC11:CC14"/>
    <mergeCell ref="BC64:BC67"/>
    <mergeCell ref="BD64:BF67"/>
    <mergeCell ref="BC68:BC71"/>
    <mergeCell ref="BD68:BF71"/>
    <mergeCell ref="BC72:BC75"/>
    <mergeCell ref="BD72:BF75"/>
    <mergeCell ref="BC52:BC55"/>
    <mergeCell ref="BD52:BF55"/>
    <mergeCell ref="BC56:BC59"/>
    <mergeCell ref="BD56:BF59"/>
    <mergeCell ref="BC60:BC63"/>
    <mergeCell ref="BD60:BF63"/>
    <mergeCell ref="AZ3:BA4"/>
    <mergeCell ref="BB3:BB4"/>
    <mergeCell ref="AY9:BD10"/>
    <mergeCell ref="BA39:BA42"/>
    <mergeCell ref="BB39:BB42"/>
    <mergeCell ref="BC39:BC42"/>
    <mergeCell ref="BD39:BD42"/>
    <mergeCell ref="BC50:BF51"/>
    <mergeCell ref="BA33:BD34"/>
    <mergeCell ref="BA35:BA38"/>
    <mergeCell ref="BB35:BB38"/>
    <mergeCell ref="BC35:BC38"/>
    <mergeCell ref="BD35:BD38"/>
    <mergeCell ref="BG9:BP10"/>
    <mergeCell ref="AY11:AZ14"/>
    <mergeCell ref="BA11:BA14"/>
    <mergeCell ref="BB11:BC14"/>
    <mergeCell ref="BD11:BD14"/>
    <mergeCell ref="AB33:AE34"/>
    <mergeCell ref="AB35:AB38"/>
    <mergeCell ref="AC35:AC38"/>
    <mergeCell ref="AD35:AD38"/>
    <mergeCell ref="AE35:AE38"/>
    <mergeCell ref="AY15:AZ18"/>
    <mergeCell ref="BA15:BA18"/>
    <mergeCell ref="BB15:BC18"/>
    <mergeCell ref="BD15:BD18"/>
    <mergeCell ref="AY19:AZ22"/>
    <mergeCell ref="BA19:BA22"/>
    <mergeCell ref="BB19:BC22"/>
    <mergeCell ref="BD19:BD22"/>
    <mergeCell ref="AA3:AB4"/>
    <mergeCell ref="AC3:AC4"/>
    <mergeCell ref="Z9:AE10"/>
    <mergeCell ref="AH9:AQ10"/>
    <mergeCell ref="Z11:AA14"/>
    <mergeCell ref="AB11:AB14"/>
    <mergeCell ref="AC11:AD14"/>
    <mergeCell ref="AE11:AE14"/>
    <mergeCell ref="AB39:AB42"/>
    <mergeCell ref="AC39:AC42"/>
    <mergeCell ref="AD39:AD42"/>
    <mergeCell ref="AE39:AE42"/>
    <mergeCell ref="Z15:AA18"/>
    <mergeCell ref="AB15:AB18"/>
    <mergeCell ref="AC15:AD18"/>
    <mergeCell ref="AE15:AE18"/>
    <mergeCell ref="Z19:AA22"/>
    <mergeCell ref="AB19:AB22"/>
    <mergeCell ref="AC19:AD22"/>
    <mergeCell ref="AE19:AE22"/>
    <mergeCell ref="C39:C42"/>
    <mergeCell ref="D39:D42"/>
    <mergeCell ref="E39:E42"/>
    <mergeCell ref="F39:F42"/>
    <mergeCell ref="C35:C38"/>
    <mergeCell ref="D35:D38"/>
    <mergeCell ref="E35:E38"/>
    <mergeCell ref="F35:F38"/>
    <mergeCell ref="B3:C4"/>
    <mergeCell ref="D3:D4"/>
    <mergeCell ref="A11:B14"/>
    <mergeCell ref="C11:C14"/>
    <mergeCell ref="A9:F10"/>
    <mergeCell ref="D11:E14"/>
    <mergeCell ref="F11:F14"/>
    <mergeCell ref="A15:B18"/>
    <mergeCell ref="C15:C18"/>
    <mergeCell ref="D15:E18"/>
    <mergeCell ref="F15:F18"/>
    <mergeCell ref="C33:F34"/>
    <mergeCell ref="A19:B22"/>
    <mergeCell ref="C19:C22"/>
    <mergeCell ref="D19:E22"/>
    <mergeCell ref="F19:F22"/>
    <mergeCell ref="E50:H51"/>
    <mergeCell ref="E52:E55"/>
    <mergeCell ref="E56:E59"/>
    <mergeCell ref="E60:E63"/>
    <mergeCell ref="I9:R10"/>
    <mergeCell ref="E64:E67"/>
    <mergeCell ref="E68:E71"/>
    <mergeCell ref="E72:E75"/>
    <mergeCell ref="F52:H55"/>
    <mergeCell ref="F56:H59"/>
    <mergeCell ref="F60:H63"/>
    <mergeCell ref="F64:H67"/>
    <mergeCell ref="F68:H71"/>
    <mergeCell ref="F72:H75"/>
  </mergeCells>
  <conditionalFormatting sqref="F39:F42">
    <cfRule type="containsText" dxfId="69" priority="13" operator="containsText" text="Bad shape">
      <formula>NOT(ISERROR(SEARCH("Bad shape",F39)))</formula>
    </cfRule>
    <cfRule type="containsText" dxfId="68" priority="14" operator="containsText" text="Fit shape">
      <formula>NOT(ISERROR(SEARCH("Fit shape",F39)))</formula>
    </cfRule>
  </conditionalFormatting>
  <conditionalFormatting sqref="AE39:AE42">
    <cfRule type="containsText" dxfId="67" priority="11" operator="containsText" text="Bad shape">
      <formula>NOT(ISERROR(SEARCH("Bad shape",AE39)))</formula>
    </cfRule>
    <cfRule type="containsText" dxfId="66" priority="12" operator="containsText" text="Fit shape">
      <formula>NOT(ISERROR(SEARCH("Fit shape",AE39)))</formula>
    </cfRule>
  </conditionalFormatting>
  <conditionalFormatting sqref="BD39:BD42">
    <cfRule type="containsText" dxfId="65" priority="9" operator="containsText" text="Bad shape">
      <formula>NOT(ISERROR(SEARCH("Bad shape",BD39)))</formula>
    </cfRule>
    <cfRule type="containsText" dxfId="64" priority="10" operator="containsText" text="Fit shape">
      <formula>NOT(ISERROR(SEARCH("Fit shape",BD39)))</formula>
    </cfRule>
  </conditionalFormatting>
  <conditionalFormatting sqref="CC39:CC42">
    <cfRule type="containsText" dxfId="63" priority="7" operator="containsText" text="Bad shape">
      <formula>NOT(ISERROR(SEARCH("Bad shape",CC39)))</formula>
    </cfRule>
    <cfRule type="containsText" dxfId="62" priority="8" operator="containsText" text="Fit shape">
      <formula>NOT(ISERROR(SEARCH("Fit shape",CC39)))</formula>
    </cfRule>
  </conditionalFormatting>
  <conditionalFormatting sqref="DB39:DB42">
    <cfRule type="containsText" dxfId="61" priority="5" operator="containsText" text="Bad shape">
      <formula>NOT(ISERROR(SEARCH("Bad shape",DB39)))</formula>
    </cfRule>
    <cfRule type="containsText" dxfId="60" priority="6" operator="containsText" text="Fit shape">
      <formula>NOT(ISERROR(SEARCH("Fit shape",DB39)))</formula>
    </cfRule>
  </conditionalFormatting>
  <conditionalFormatting sqref="EA39:EA42">
    <cfRule type="containsText" dxfId="59" priority="3" operator="containsText" text="Bad shape">
      <formula>NOT(ISERROR(SEARCH("Bad shape",EA39)))</formula>
    </cfRule>
    <cfRule type="containsText" dxfId="58" priority="4" operator="containsText" text="Fit shape">
      <formula>NOT(ISERROR(SEARCH("Fit shape",EA39)))</formula>
    </cfRule>
  </conditionalFormatting>
  <conditionalFormatting sqref="EZ39:EZ42">
    <cfRule type="containsText" dxfId="57" priority="1" operator="containsText" text="Bad shape">
      <formula>NOT(ISERROR(SEARCH("Bad shape",EZ39)))</formula>
    </cfRule>
    <cfRule type="containsText" dxfId="56" priority="2" operator="containsText" text="Fit shape">
      <formula>NOT(ISERROR(SEARCH("Fit shape",EZ39)))</formula>
    </cfRule>
  </conditionalFormatting>
  <dataValidations count="10"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3464B6FF-17D4-4C43-98E1-952BD50E3D5F}">
      <formula1>BREAKFAST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7A85DA6F-0942-42AD-8495-DE2C384E070A}">
      <formula1>LUNCH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CEB389E9-D8FF-43E3-8BE8-85899E43D078}">
      <formula1>DINNER</formula1>
    </dataValidation>
    <dataValidation type="list" allowBlank="1" showInputMessage="1" showErrorMessage="1" sqref="FC13:FD30 AH13:AI30 BG13:BH30 CF13:CG30 DE13:DF30 ED13:EE30 J13:J30 I14:I15 I17:I18 I20:I21 I23:I24 I26:I27 I29:I30" xr:uid="{095BA024-D279-431A-BBDA-0FEDECB4A286}">
      <formula1>EXERCISES</formula1>
    </dataValidation>
    <dataValidation type="list" allowBlank="1" showInputMessage="1" showErrorMessage="1" errorTitle="Error" error="Please select the right activity_x000a_" sqref="I13" xr:uid="{1276FD72-84A4-4C6A-A57B-29F11E47BA3B}">
      <formula1>EXERCISES</formula1>
    </dataValidation>
    <dataValidation type="list" allowBlank="1" showInputMessage="1" showErrorMessage="1" errorTitle="Error " error="Please select correct activity" sqref="I16" xr:uid="{6A669FDF-D0DF-4A61-80F4-97C8ABE6C3B7}">
      <formula1>EXERCISES</formula1>
    </dataValidation>
    <dataValidation type="list" allowBlank="1" showInputMessage="1" showErrorMessage="1" errorTitle="error" error="Please select correct activity" sqref="I19 I22 I25 I28" xr:uid="{FFF0DE65-2D1C-4E92-B1DB-CCD4CE10B959}">
      <formula1>EXERCISES</formula1>
    </dataValidation>
    <dataValidation type="whole" allowBlank="1" showInputMessage="1" showErrorMessage="1" errorTitle="Error" error="Invalid time" sqref="M13" xr:uid="{43A0AC70-6AB6-43F8-9E22-4EF2137ECA15}">
      <formula1>1</formula1>
      <formula2>3</formula2>
    </dataValidation>
    <dataValidation type="whole" allowBlank="1" showInputMessage="1" showErrorMessage="1" errorTitle="error" error="invalid time" sqref="M28 M16 M19 M25" xr:uid="{5CC5510B-DE2A-4842-956F-421D8216427A}">
      <formula1>1</formula1>
      <formula2>3</formula2>
    </dataValidation>
    <dataValidation type="whole" allowBlank="1" showInputMessage="1" showErrorMessage="1" errorTitle="error" error="invalid time_x000a_" sqref="M22" xr:uid="{6B08E316-C1E4-490E-8F07-2BD22D56579E}">
      <formula1>1</formula1>
      <formula2>3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8FB0-A5CD-41AD-9F22-7C6947B79821}">
  <dimension ref="A1:FS78"/>
  <sheetViews>
    <sheetView zoomScale="40" zoomScaleNormal="40" workbookViewId="0">
      <selection activeCell="F64" sqref="F64:H67"/>
    </sheetView>
  </sheetViews>
  <sheetFormatPr defaultRowHeight="14.45"/>
  <cols>
    <col min="3" max="3" width="33.85546875" customWidth="1"/>
    <col min="4" max="4" width="18.7109375" customWidth="1"/>
    <col min="5" max="5" width="23.42578125" customWidth="1"/>
    <col min="6" max="6" width="12.85546875" customWidth="1"/>
    <col min="10" max="10" width="14.7109375" customWidth="1"/>
    <col min="11" max="11" width="15.28515625" customWidth="1"/>
    <col min="12" max="12" width="18.140625" customWidth="1"/>
    <col min="14" max="14" width="14.5703125" customWidth="1"/>
    <col min="15" max="16" width="14.42578125" customWidth="1"/>
    <col min="17" max="17" width="16.710937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 ht="14.45" customHeight="1">
      <c r="A3" s="2"/>
      <c r="B3" s="69" t="s">
        <v>40</v>
      </c>
      <c r="C3" s="75"/>
      <c r="D3" s="78">
        <v>178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9" t="s">
        <v>40</v>
      </c>
      <c r="AB3" s="75"/>
      <c r="AC3" s="78">
        <v>178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69" t="s">
        <v>40</v>
      </c>
      <c r="BA3" s="75"/>
      <c r="BB3" s="78">
        <v>178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69" t="s">
        <v>40</v>
      </c>
      <c r="BZ3" s="75"/>
      <c r="CA3" s="78">
        <v>178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69" t="s">
        <v>40</v>
      </c>
      <c r="CY3" s="75"/>
      <c r="CZ3" s="78">
        <v>178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69" t="s">
        <v>40</v>
      </c>
      <c r="DX3" s="75"/>
      <c r="DY3" s="78">
        <v>178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69" t="s">
        <v>40</v>
      </c>
      <c r="EW3" s="75"/>
      <c r="EX3" s="78">
        <v>150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" thickBot="1">
      <c r="A4" s="2"/>
      <c r="B4" s="76"/>
      <c r="C4" s="77"/>
      <c r="D4" s="7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76"/>
      <c r="AB4" s="77"/>
      <c r="AC4" s="79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76"/>
      <c r="BA4" s="77"/>
      <c r="BB4" s="79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76"/>
      <c r="BZ4" s="77"/>
      <c r="CA4" s="79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76"/>
      <c r="CY4" s="77"/>
      <c r="CZ4" s="79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76"/>
      <c r="DX4" s="77"/>
      <c r="DY4" s="79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76"/>
      <c r="EW4" s="77"/>
      <c r="EX4" s="79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 ht="21" customHeight="1">
      <c r="A9" s="61" t="s">
        <v>41</v>
      </c>
      <c r="B9" s="62"/>
      <c r="C9" s="62"/>
      <c r="D9" s="62"/>
      <c r="E9" s="62"/>
      <c r="F9" s="63"/>
      <c r="G9" s="15"/>
      <c r="H9" s="15"/>
      <c r="I9" s="69" t="s">
        <v>42</v>
      </c>
      <c r="J9" s="70"/>
      <c r="K9" s="70"/>
      <c r="L9" s="70"/>
      <c r="M9" s="70"/>
      <c r="N9" s="70"/>
      <c r="O9" s="70"/>
      <c r="P9" s="70"/>
      <c r="Q9" s="70"/>
      <c r="R9" s="71"/>
      <c r="S9" s="2"/>
      <c r="T9" s="2"/>
      <c r="U9" s="2"/>
      <c r="V9" s="2"/>
      <c r="W9" s="2"/>
      <c r="X9" s="2"/>
      <c r="Y9" s="2"/>
      <c r="Z9" s="61" t="s">
        <v>43</v>
      </c>
      <c r="AA9" s="62"/>
      <c r="AB9" s="62"/>
      <c r="AC9" s="62"/>
      <c r="AD9" s="62"/>
      <c r="AE9" s="63"/>
      <c r="AF9" s="15"/>
      <c r="AG9" s="15"/>
      <c r="AH9" s="69" t="s">
        <v>44</v>
      </c>
      <c r="AI9" s="70"/>
      <c r="AJ9" s="70"/>
      <c r="AK9" s="70"/>
      <c r="AL9" s="70"/>
      <c r="AM9" s="70"/>
      <c r="AN9" s="70"/>
      <c r="AO9" s="70"/>
      <c r="AP9" s="70"/>
      <c r="AQ9" s="71"/>
      <c r="AR9" s="2"/>
      <c r="AS9" s="2"/>
      <c r="AT9" s="2"/>
      <c r="AU9" s="2"/>
      <c r="AV9" s="2"/>
      <c r="AW9" s="2"/>
      <c r="AX9" s="2"/>
      <c r="AY9" s="61" t="s">
        <v>45</v>
      </c>
      <c r="AZ9" s="62"/>
      <c r="BA9" s="62"/>
      <c r="BB9" s="62"/>
      <c r="BC9" s="62"/>
      <c r="BD9" s="63"/>
      <c r="BE9" s="15"/>
      <c r="BF9" s="15"/>
      <c r="BG9" s="69" t="s">
        <v>46</v>
      </c>
      <c r="BH9" s="70"/>
      <c r="BI9" s="70"/>
      <c r="BJ9" s="70"/>
      <c r="BK9" s="70"/>
      <c r="BL9" s="70"/>
      <c r="BM9" s="70"/>
      <c r="BN9" s="70"/>
      <c r="BO9" s="70"/>
      <c r="BP9" s="71"/>
      <c r="BQ9" s="2"/>
      <c r="BR9" s="2"/>
      <c r="BS9" s="2"/>
      <c r="BT9" s="2"/>
      <c r="BU9" s="2"/>
      <c r="BV9" s="2"/>
      <c r="BW9" s="2"/>
      <c r="BX9" s="61" t="s">
        <v>47</v>
      </c>
      <c r="BY9" s="62"/>
      <c r="BZ9" s="62"/>
      <c r="CA9" s="62"/>
      <c r="CB9" s="62"/>
      <c r="CC9" s="63"/>
      <c r="CD9" s="15"/>
      <c r="CE9" s="15"/>
      <c r="CF9" s="69" t="s">
        <v>48</v>
      </c>
      <c r="CG9" s="70"/>
      <c r="CH9" s="70"/>
      <c r="CI9" s="70"/>
      <c r="CJ9" s="70"/>
      <c r="CK9" s="70"/>
      <c r="CL9" s="70"/>
      <c r="CM9" s="70"/>
      <c r="CN9" s="70"/>
      <c r="CO9" s="71"/>
      <c r="CP9" s="2"/>
      <c r="CQ9" s="2"/>
      <c r="CR9" s="2"/>
      <c r="CS9" s="2"/>
      <c r="CT9" s="2"/>
      <c r="CU9" s="2"/>
      <c r="CV9" s="2"/>
      <c r="CW9" s="61" t="s">
        <v>49</v>
      </c>
      <c r="CX9" s="62"/>
      <c r="CY9" s="62"/>
      <c r="CZ9" s="62"/>
      <c r="DA9" s="62"/>
      <c r="DB9" s="63"/>
      <c r="DC9" s="15"/>
      <c r="DD9" s="15"/>
      <c r="DE9" s="69" t="s">
        <v>50</v>
      </c>
      <c r="DF9" s="70"/>
      <c r="DG9" s="70"/>
      <c r="DH9" s="70"/>
      <c r="DI9" s="70"/>
      <c r="DJ9" s="70"/>
      <c r="DK9" s="70"/>
      <c r="DL9" s="70"/>
      <c r="DM9" s="70"/>
      <c r="DN9" s="71"/>
      <c r="DO9" s="2"/>
      <c r="DP9" s="2"/>
      <c r="DQ9" s="2"/>
      <c r="DR9" s="2"/>
      <c r="DS9" s="2"/>
      <c r="DT9" s="2"/>
      <c r="DU9" s="2"/>
      <c r="DV9" s="61" t="s">
        <v>51</v>
      </c>
      <c r="DW9" s="62"/>
      <c r="DX9" s="62"/>
      <c r="DY9" s="62"/>
      <c r="DZ9" s="62"/>
      <c r="EA9" s="63"/>
      <c r="EB9" s="15"/>
      <c r="EC9" s="15"/>
      <c r="ED9" s="69" t="s">
        <v>52</v>
      </c>
      <c r="EE9" s="70"/>
      <c r="EF9" s="70"/>
      <c r="EG9" s="70"/>
      <c r="EH9" s="70"/>
      <c r="EI9" s="70"/>
      <c r="EJ9" s="70"/>
      <c r="EK9" s="70"/>
      <c r="EL9" s="70"/>
      <c r="EM9" s="71"/>
      <c r="EN9" s="2"/>
      <c r="EO9" s="2"/>
      <c r="EP9" s="2"/>
      <c r="EQ9" s="2"/>
      <c r="ER9" s="2"/>
      <c r="ES9" s="2"/>
      <c r="ET9" s="2"/>
      <c r="EU9" s="61" t="s">
        <v>53</v>
      </c>
      <c r="EV9" s="62"/>
      <c r="EW9" s="62"/>
      <c r="EX9" s="62"/>
      <c r="EY9" s="62"/>
      <c r="EZ9" s="63"/>
      <c r="FA9" s="15"/>
      <c r="FB9" s="15"/>
      <c r="FC9" s="69" t="s">
        <v>54</v>
      </c>
      <c r="FD9" s="70"/>
      <c r="FE9" s="70"/>
      <c r="FF9" s="70"/>
      <c r="FG9" s="70"/>
      <c r="FH9" s="70"/>
      <c r="FI9" s="70"/>
      <c r="FJ9" s="70"/>
      <c r="FK9" s="70"/>
      <c r="FL9" s="71"/>
      <c r="FM9" s="2"/>
      <c r="FN9" s="2"/>
      <c r="FO9" s="2"/>
      <c r="FP9" s="2"/>
      <c r="FQ9" s="2"/>
      <c r="FR9" s="2"/>
      <c r="FS9" s="2"/>
    </row>
    <row r="10" spans="1:175" ht="15" customHeight="1" thickBot="1">
      <c r="A10" s="64"/>
      <c r="B10" s="65"/>
      <c r="C10" s="65"/>
      <c r="D10" s="65"/>
      <c r="E10" s="65"/>
      <c r="F10" s="66"/>
      <c r="G10" s="15"/>
      <c r="H10" s="15"/>
      <c r="I10" s="72"/>
      <c r="J10" s="73"/>
      <c r="K10" s="73"/>
      <c r="L10" s="73"/>
      <c r="M10" s="73"/>
      <c r="N10" s="73"/>
      <c r="O10" s="73"/>
      <c r="P10" s="73"/>
      <c r="Q10" s="73"/>
      <c r="R10" s="74"/>
      <c r="S10" s="2"/>
      <c r="T10" s="2"/>
      <c r="U10" s="2"/>
      <c r="V10" s="2"/>
      <c r="W10" s="2"/>
      <c r="X10" s="2"/>
      <c r="Y10" s="2"/>
      <c r="Z10" s="64"/>
      <c r="AA10" s="65"/>
      <c r="AB10" s="65"/>
      <c r="AC10" s="65"/>
      <c r="AD10" s="65"/>
      <c r="AE10" s="66"/>
      <c r="AF10" s="15"/>
      <c r="AG10" s="15"/>
      <c r="AH10" s="72"/>
      <c r="AI10" s="73"/>
      <c r="AJ10" s="73"/>
      <c r="AK10" s="73"/>
      <c r="AL10" s="73"/>
      <c r="AM10" s="73"/>
      <c r="AN10" s="73"/>
      <c r="AO10" s="73"/>
      <c r="AP10" s="73"/>
      <c r="AQ10" s="74"/>
      <c r="AR10" s="2"/>
      <c r="AS10" s="2"/>
      <c r="AT10" s="2"/>
      <c r="AU10" s="2"/>
      <c r="AV10" s="2"/>
      <c r="AW10" s="2"/>
      <c r="AX10" s="2"/>
      <c r="AY10" s="64"/>
      <c r="AZ10" s="65"/>
      <c r="BA10" s="65"/>
      <c r="BB10" s="65"/>
      <c r="BC10" s="65"/>
      <c r="BD10" s="66"/>
      <c r="BE10" s="15"/>
      <c r="BF10" s="15"/>
      <c r="BG10" s="72"/>
      <c r="BH10" s="73"/>
      <c r="BI10" s="73"/>
      <c r="BJ10" s="73"/>
      <c r="BK10" s="73"/>
      <c r="BL10" s="73"/>
      <c r="BM10" s="73"/>
      <c r="BN10" s="73"/>
      <c r="BO10" s="73"/>
      <c r="BP10" s="74"/>
      <c r="BQ10" s="2"/>
      <c r="BR10" s="2"/>
      <c r="BS10" s="2"/>
      <c r="BT10" s="2"/>
      <c r="BU10" s="2"/>
      <c r="BV10" s="2"/>
      <c r="BW10" s="2"/>
      <c r="BX10" s="64"/>
      <c r="BY10" s="65"/>
      <c r="BZ10" s="65"/>
      <c r="CA10" s="65"/>
      <c r="CB10" s="65"/>
      <c r="CC10" s="66"/>
      <c r="CD10" s="15"/>
      <c r="CE10" s="15"/>
      <c r="CF10" s="72"/>
      <c r="CG10" s="73"/>
      <c r="CH10" s="73"/>
      <c r="CI10" s="73"/>
      <c r="CJ10" s="73"/>
      <c r="CK10" s="73"/>
      <c r="CL10" s="73"/>
      <c r="CM10" s="73"/>
      <c r="CN10" s="73"/>
      <c r="CO10" s="74"/>
      <c r="CP10" s="2"/>
      <c r="CQ10" s="2"/>
      <c r="CR10" s="2"/>
      <c r="CS10" s="2"/>
      <c r="CT10" s="2"/>
      <c r="CU10" s="2"/>
      <c r="CV10" s="2"/>
      <c r="CW10" s="64"/>
      <c r="CX10" s="65"/>
      <c r="CY10" s="65"/>
      <c r="CZ10" s="65"/>
      <c r="DA10" s="65"/>
      <c r="DB10" s="66"/>
      <c r="DC10" s="15"/>
      <c r="DD10" s="15"/>
      <c r="DE10" s="72"/>
      <c r="DF10" s="73"/>
      <c r="DG10" s="73"/>
      <c r="DH10" s="73"/>
      <c r="DI10" s="73"/>
      <c r="DJ10" s="73"/>
      <c r="DK10" s="73"/>
      <c r="DL10" s="73"/>
      <c r="DM10" s="73"/>
      <c r="DN10" s="74"/>
      <c r="DO10" s="2"/>
      <c r="DP10" s="2"/>
      <c r="DQ10" s="2"/>
      <c r="DR10" s="2"/>
      <c r="DS10" s="2"/>
      <c r="DT10" s="2"/>
      <c r="DU10" s="2"/>
      <c r="DV10" s="64"/>
      <c r="DW10" s="65"/>
      <c r="DX10" s="65"/>
      <c r="DY10" s="65"/>
      <c r="DZ10" s="65"/>
      <c r="EA10" s="66"/>
      <c r="EB10" s="15"/>
      <c r="EC10" s="15"/>
      <c r="ED10" s="72"/>
      <c r="EE10" s="73"/>
      <c r="EF10" s="73"/>
      <c r="EG10" s="73"/>
      <c r="EH10" s="73"/>
      <c r="EI10" s="73"/>
      <c r="EJ10" s="73"/>
      <c r="EK10" s="73"/>
      <c r="EL10" s="73"/>
      <c r="EM10" s="74"/>
      <c r="EN10" s="2"/>
      <c r="EO10" s="2"/>
      <c r="EP10" s="2"/>
      <c r="EQ10" s="2"/>
      <c r="ER10" s="2"/>
      <c r="ES10" s="2"/>
      <c r="ET10" s="2"/>
      <c r="EU10" s="64"/>
      <c r="EV10" s="65"/>
      <c r="EW10" s="65"/>
      <c r="EX10" s="65"/>
      <c r="EY10" s="65"/>
      <c r="EZ10" s="66"/>
      <c r="FA10" s="15"/>
      <c r="FB10" s="15"/>
      <c r="FC10" s="72"/>
      <c r="FD10" s="73"/>
      <c r="FE10" s="73"/>
      <c r="FF10" s="73"/>
      <c r="FG10" s="73"/>
      <c r="FH10" s="73"/>
      <c r="FI10" s="73"/>
      <c r="FJ10" s="73"/>
      <c r="FK10" s="73"/>
      <c r="FL10" s="74"/>
      <c r="FM10" s="2"/>
      <c r="FN10" s="2"/>
      <c r="FO10" s="2"/>
      <c r="FP10" s="2"/>
      <c r="FQ10" s="2"/>
      <c r="FR10" s="2"/>
      <c r="FS10" s="2"/>
    </row>
    <row r="11" spans="1:175" ht="15.95">
      <c r="A11" s="52" t="s">
        <v>1</v>
      </c>
      <c r="B11" s="54"/>
      <c r="C11" s="82" t="s">
        <v>6</v>
      </c>
      <c r="D11" s="52" t="s">
        <v>55</v>
      </c>
      <c r="E11" s="54"/>
      <c r="F11" s="85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52" t="s">
        <v>1</v>
      </c>
      <c r="AA11" s="54"/>
      <c r="AB11" s="82" t="s">
        <v>7</v>
      </c>
      <c r="AC11" s="52" t="s">
        <v>55</v>
      </c>
      <c r="AD11" s="54"/>
      <c r="AE11" s="85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52" t="s">
        <v>1</v>
      </c>
      <c r="AZ11" s="54"/>
      <c r="BA11" s="82" t="s">
        <v>9</v>
      </c>
      <c r="BB11" s="52" t="s">
        <v>55</v>
      </c>
      <c r="BC11" s="54"/>
      <c r="BD11" s="85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52" t="s">
        <v>1</v>
      </c>
      <c r="BY11" s="54"/>
      <c r="BZ11" s="82" t="s">
        <v>11</v>
      </c>
      <c r="CA11" s="52" t="s">
        <v>55</v>
      </c>
      <c r="CB11" s="54"/>
      <c r="CC11" s="85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52" t="s">
        <v>1</v>
      </c>
      <c r="CX11" s="54"/>
      <c r="CY11" s="82" t="s">
        <v>13</v>
      </c>
      <c r="CZ11" s="52" t="s">
        <v>55</v>
      </c>
      <c r="DA11" s="54"/>
      <c r="DB11" s="85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52" t="s">
        <v>1</v>
      </c>
      <c r="DW11" s="54"/>
      <c r="DX11" s="82" t="s">
        <v>6</v>
      </c>
      <c r="DY11" s="52" t="s">
        <v>55</v>
      </c>
      <c r="DZ11" s="54"/>
      <c r="EA11" s="85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52" t="s">
        <v>1</v>
      </c>
      <c r="EV11" s="54"/>
      <c r="EW11" s="82" t="s">
        <v>6</v>
      </c>
      <c r="EX11" s="52" t="s">
        <v>55</v>
      </c>
      <c r="EY11" s="54"/>
      <c r="EZ11" s="85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6.5" thickBot="1">
      <c r="A12" s="55"/>
      <c r="B12" s="57"/>
      <c r="C12" s="83"/>
      <c r="D12" s="55"/>
      <c r="E12" s="57"/>
      <c r="F12" s="86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55"/>
      <c r="AA12" s="57"/>
      <c r="AB12" s="83"/>
      <c r="AC12" s="55"/>
      <c r="AD12" s="57"/>
      <c r="AE12" s="86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55"/>
      <c r="AZ12" s="57"/>
      <c r="BA12" s="83"/>
      <c r="BB12" s="55"/>
      <c r="BC12" s="57"/>
      <c r="BD12" s="86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55"/>
      <c r="BY12" s="57"/>
      <c r="BZ12" s="83"/>
      <c r="CA12" s="55"/>
      <c r="CB12" s="57"/>
      <c r="CC12" s="86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55"/>
      <c r="CX12" s="57"/>
      <c r="CY12" s="83"/>
      <c r="CZ12" s="55"/>
      <c r="DA12" s="57"/>
      <c r="DB12" s="86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55"/>
      <c r="DW12" s="57"/>
      <c r="DX12" s="83"/>
      <c r="DY12" s="55"/>
      <c r="DZ12" s="57"/>
      <c r="EA12" s="86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55"/>
      <c r="EV12" s="57"/>
      <c r="EW12" s="83"/>
      <c r="EX12" s="55"/>
      <c r="EY12" s="57"/>
      <c r="EZ12" s="86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15.95">
      <c r="A13" s="55"/>
      <c r="B13" s="57"/>
      <c r="C13" s="83"/>
      <c r="D13" s="55"/>
      <c r="E13" s="57"/>
      <c r="F13" s="86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979</v>
      </c>
      <c r="P13" s="21"/>
      <c r="Q13" s="20">
        <f>M13*O13</f>
        <v>1958</v>
      </c>
      <c r="R13" s="21"/>
      <c r="S13" s="2"/>
      <c r="T13" s="2"/>
      <c r="U13" s="2"/>
      <c r="V13" s="2"/>
      <c r="W13" s="2"/>
      <c r="X13" s="2"/>
      <c r="Y13" s="2"/>
      <c r="Z13" s="55"/>
      <c r="AA13" s="57"/>
      <c r="AB13" s="83"/>
      <c r="AC13" s="55"/>
      <c r="AD13" s="57"/>
      <c r="AE13" s="86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979</v>
      </c>
      <c r="AO13" s="21"/>
      <c r="AP13" s="20">
        <f>AL13*AN13</f>
        <v>1958</v>
      </c>
      <c r="AQ13" s="21"/>
      <c r="AR13" s="2"/>
      <c r="AS13" s="2"/>
      <c r="AT13" s="2"/>
      <c r="AU13" s="2"/>
      <c r="AV13" s="2"/>
      <c r="AW13" s="2"/>
      <c r="AX13" s="2"/>
      <c r="AY13" s="55"/>
      <c r="AZ13" s="57"/>
      <c r="BA13" s="83"/>
      <c r="BB13" s="55"/>
      <c r="BC13" s="57"/>
      <c r="BD13" s="86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979</v>
      </c>
      <c r="BN13" s="21"/>
      <c r="BO13" s="20">
        <f>BK13*BM13</f>
        <v>1958</v>
      </c>
      <c r="BP13" s="21"/>
      <c r="BQ13" s="2"/>
      <c r="BR13" s="2"/>
      <c r="BS13" s="2"/>
      <c r="BT13" s="2"/>
      <c r="BU13" s="2"/>
      <c r="BV13" s="2"/>
      <c r="BW13" s="2"/>
      <c r="BX13" s="55"/>
      <c r="BY13" s="57"/>
      <c r="BZ13" s="83"/>
      <c r="CA13" s="55"/>
      <c r="CB13" s="57"/>
      <c r="CC13" s="86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979</v>
      </c>
      <c r="CM13" s="21"/>
      <c r="CN13" s="20">
        <f>CJ13*CL13</f>
        <v>1958</v>
      </c>
      <c r="CO13" s="21"/>
      <c r="CP13" s="2"/>
      <c r="CQ13" s="2"/>
      <c r="CR13" s="2"/>
      <c r="CS13" s="2"/>
      <c r="CT13" s="2"/>
      <c r="CU13" s="2"/>
      <c r="CV13" s="2"/>
      <c r="CW13" s="55"/>
      <c r="CX13" s="57"/>
      <c r="CY13" s="83"/>
      <c r="CZ13" s="55"/>
      <c r="DA13" s="57"/>
      <c r="DB13" s="86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979</v>
      </c>
      <c r="DL13" s="21"/>
      <c r="DM13" s="20">
        <f>DI13*DK13</f>
        <v>1958</v>
      </c>
      <c r="DN13" s="21"/>
      <c r="DO13" s="2"/>
      <c r="DP13" s="2"/>
      <c r="DQ13" s="2"/>
      <c r="DR13" s="2"/>
      <c r="DS13" s="2"/>
      <c r="DT13" s="2"/>
      <c r="DU13" s="2"/>
      <c r="DV13" s="55"/>
      <c r="DW13" s="57"/>
      <c r="DX13" s="83"/>
      <c r="DY13" s="55"/>
      <c r="DZ13" s="57"/>
      <c r="EA13" s="86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979</v>
      </c>
      <c r="EK13" s="21"/>
      <c r="EL13" s="20">
        <f>EH13*EJ13</f>
        <v>1958</v>
      </c>
      <c r="EM13" s="21"/>
      <c r="EN13" s="2"/>
      <c r="EO13" s="2"/>
      <c r="EP13" s="2"/>
      <c r="EQ13" s="2"/>
      <c r="ER13" s="2"/>
      <c r="ES13" s="2"/>
      <c r="ET13" s="2"/>
      <c r="EU13" s="55"/>
      <c r="EV13" s="57"/>
      <c r="EW13" s="83"/>
      <c r="EX13" s="55"/>
      <c r="EY13" s="57"/>
      <c r="EZ13" s="86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825</v>
      </c>
      <c r="FJ13" s="21"/>
      <c r="FK13" s="20">
        <f>FG13*FI13</f>
        <v>1650</v>
      </c>
      <c r="FL13" s="21"/>
      <c r="FM13" s="2"/>
      <c r="FN13" s="2"/>
      <c r="FO13" s="2"/>
      <c r="FP13" s="2"/>
      <c r="FQ13" s="2"/>
      <c r="FR13" s="2"/>
      <c r="FS13" s="2"/>
    </row>
    <row r="14" spans="1:175" ht="16.5" thickBot="1">
      <c r="A14" s="80"/>
      <c r="B14" s="81"/>
      <c r="C14" s="84"/>
      <c r="D14" s="80"/>
      <c r="E14" s="81"/>
      <c r="F14" s="87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80"/>
      <c r="AA14" s="81"/>
      <c r="AB14" s="84"/>
      <c r="AC14" s="80"/>
      <c r="AD14" s="81"/>
      <c r="AE14" s="87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80"/>
      <c r="AZ14" s="81"/>
      <c r="BA14" s="84"/>
      <c r="BB14" s="80"/>
      <c r="BC14" s="81"/>
      <c r="BD14" s="87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80"/>
      <c r="BY14" s="81"/>
      <c r="BZ14" s="84"/>
      <c r="CA14" s="80"/>
      <c r="CB14" s="81"/>
      <c r="CC14" s="87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80"/>
      <c r="CX14" s="81"/>
      <c r="CY14" s="84"/>
      <c r="CZ14" s="80"/>
      <c r="DA14" s="81"/>
      <c r="DB14" s="87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80"/>
      <c r="DW14" s="81"/>
      <c r="DX14" s="84"/>
      <c r="DY14" s="80"/>
      <c r="DZ14" s="81"/>
      <c r="EA14" s="87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80"/>
      <c r="EV14" s="81"/>
      <c r="EW14" s="84"/>
      <c r="EX14" s="80"/>
      <c r="EY14" s="81"/>
      <c r="EZ14" s="87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6.5" thickBot="1">
      <c r="A15" s="52" t="s">
        <v>15</v>
      </c>
      <c r="B15" s="54"/>
      <c r="C15" s="82" t="s">
        <v>18</v>
      </c>
      <c r="D15" s="52" t="s">
        <v>55</v>
      </c>
      <c r="E15" s="54"/>
      <c r="F15" s="85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52" t="s">
        <v>15</v>
      </c>
      <c r="AA15" s="54"/>
      <c r="AB15" s="82" t="s">
        <v>20</v>
      </c>
      <c r="AC15" s="52" t="s">
        <v>55</v>
      </c>
      <c r="AD15" s="54"/>
      <c r="AE15" s="85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52" t="s">
        <v>15</v>
      </c>
      <c r="AZ15" s="54"/>
      <c r="BA15" s="82" t="s">
        <v>22</v>
      </c>
      <c r="BB15" s="52" t="s">
        <v>55</v>
      </c>
      <c r="BC15" s="54"/>
      <c r="BD15" s="85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52" t="s">
        <v>15</v>
      </c>
      <c r="BY15" s="54"/>
      <c r="BZ15" s="82" t="s">
        <v>24</v>
      </c>
      <c r="CA15" s="52" t="s">
        <v>55</v>
      </c>
      <c r="CB15" s="54"/>
      <c r="CC15" s="85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52" t="s">
        <v>15</v>
      </c>
      <c r="CX15" s="54"/>
      <c r="CY15" s="82" t="s">
        <v>26</v>
      </c>
      <c r="CZ15" s="52" t="s">
        <v>55</v>
      </c>
      <c r="DA15" s="54"/>
      <c r="DB15" s="85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52" t="s">
        <v>15</v>
      </c>
      <c r="DW15" s="54"/>
      <c r="DX15" s="82" t="s">
        <v>18</v>
      </c>
      <c r="DY15" s="52" t="s">
        <v>55</v>
      </c>
      <c r="DZ15" s="54"/>
      <c r="EA15" s="85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52" t="s">
        <v>15</v>
      </c>
      <c r="EV15" s="54"/>
      <c r="EW15" s="82" t="s">
        <v>18</v>
      </c>
      <c r="EX15" s="52" t="s">
        <v>55</v>
      </c>
      <c r="EY15" s="54"/>
      <c r="EZ15" s="85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15.95">
      <c r="A16" s="55"/>
      <c r="B16" s="57"/>
      <c r="C16" s="83"/>
      <c r="D16" s="55"/>
      <c r="E16" s="57"/>
      <c r="F16" s="86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1424</v>
      </c>
      <c r="P16" s="21"/>
      <c r="Q16" s="20">
        <f>M16*O16</f>
        <v>1424</v>
      </c>
      <c r="R16" s="21"/>
      <c r="S16" s="2"/>
      <c r="T16" s="2"/>
      <c r="U16" s="2"/>
      <c r="V16" s="2"/>
      <c r="W16" s="2"/>
      <c r="X16" s="2"/>
      <c r="Y16" s="2"/>
      <c r="Z16" s="55"/>
      <c r="AA16" s="57"/>
      <c r="AB16" s="83"/>
      <c r="AC16" s="55"/>
      <c r="AD16" s="57"/>
      <c r="AE16" s="86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1424</v>
      </c>
      <c r="AO16" s="21"/>
      <c r="AP16" s="20">
        <f>AL16*AN16</f>
        <v>1424</v>
      </c>
      <c r="AQ16" s="21"/>
      <c r="AR16" s="2"/>
      <c r="AS16" s="2"/>
      <c r="AT16" s="2"/>
      <c r="AU16" s="2"/>
      <c r="AV16" s="2"/>
      <c r="AW16" s="2"/>
      <c r="AX16" s="2"/>
      <c r="AY16" s="55"/>
      <c r="AZ16" s="57"/>
      <c r="BA16" s="83"/>
      <c r="BB16" s="55"/>
      <c r="BC16" s="57"/>
      <c r="BD16" s="86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1424</v>
      </c>
      <c r="BN16" s="21"/>
      <c r="BO16" s="20">
        <f>BK16*BM16</f>
        <v>1424</v>
      </c>
      <c r="BP16" s="21"/>
      <c r="BQ16" s="2"/>
      <c r="BR16" s="2"/>
      <c r="BS16" s="2"/>
      <c r="BT16" s="2"/>
      <c r="BU16" s="2"/>
      <c r="BV16" s="2"/>
      <c r="BW16" s="2"/>
      <c r="BX16" s="55"/>
      <c r="BY16" s="57"/>
      <c r="BZ16" s="83"/>
      <c r="CA16" s="55"/>
      <c r="CB16" s="57"/>
      <c r="CC16" s="86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1424</v>
      </c>
      <c r="CM16" s="21"/>
      <c r="CN16" s="20">
        <f>CJ16*CL16</f>
        <v>1424</v>
      </c>
      <c r="CO16" s="21"/>
      <c r="CP16" s="2"/>
      <c r="CQ16" s="2"/>
      <c r="CR16" s="2"/>
      <c r="CS16" s="2"/>
      <c r="CT16" s="2"/>
      <c r="CU16" s="2"/>
      <c r="CV16" s="2"/>
      <c r="CW16" s="55"/>
      <c r="CX16" s="57"/>
      <c r="CY16" s="83"/>
      <c r="CZ16" s="55"/>
      <c r="DA16" s="57"/>
      <c r="DB16" s="86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1424</v>
      </c>
      <c r="DL16" s="21"/>
      <c r="DM16" s="20">
        <f>DI16*DK16</f>
        <v>1424</v>
      </c>
      <c r="DN16" s="21"/>
      <c r="DO16" s="2"/>
      <c r="DP16" s="2"/>
      <c r="DQ16" s="2"/>
      <c r="DR16" s="2"/>
      <c r="DS16" s="2"/>
      <c r="DT16" s="2"/>
      <c r="DU16" s="2"/>
      <c r="DV16" s="55"/>
      <c r="DW16" s="57"/>
      <c r="DX16" s="83"/>
      <c r="DY16" s="55"/>
      <c r="DZ16" s="57"/>
      <c r="EA16" s="86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1424</v>
      </c>
      <c r="EK16" s="21"/>
      <c r="EL16" s="20">
        <f>EH16*EJ16</f>
        <v>1424</v>
      </c>
      <c r="EM16" s="21"/>
      <c r="EN16" s="2"/>
      <c r="EO16" s="2"/>
      <c r="EP16" s="2"/>
      <c r="EQ16" s="2"/>
      <c r="ER16" s="2"/>
      <c r="ES16" s="2"/>
      <c r="ET16" s="2"/>
      <c r="EU16" s="55"/>
      <c r="EV16" s="57"/>
      <c r="EW16" s="83"/>
      <c r="EX16" s="55"/>
      <c r="EY16" s="57"/>
      <c r="EZ16" s="86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1200</v>
      </c>
      <c r="FJ16" s="21"/>
      <c r="FK16" s="20">
        <f>FG16*FI16</f>
        <v>1200</v>
      </c>
      <c r="FL16" s="21"/>
      <c r="FM16" s="2"/>
      <c r="FN16" s="2"/>
      <c r="FO16" s="2"/>
      <c r="FP16" s="2"/>
      <c r="FQ16" s="2"/>
      <c r="FR16" s="2"/>
      <c r="FS16" s="2"/>
    </row>
    <row r="17" spans="1:175" ht="15.95">
      <c r="A17" s="55"/>
      <c r="B17" s="57"/>
      <c r="C17" s="83"/>
      <c r="D17" s="55"/>
      <c r="E17" s="57"/>
      <c r="F17" s="86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55"/>
      <c r="AA17" s="57"/>
      <c r="AB17" s="83"/>
      <c r="AC17" s="55"/>
      <c r="AD17" s="57"/>
      <c r="AE17" s="86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55"/>
      <c r="AZ17" s="57"/>
      <c r="BA17" s="83"/>
      <c r="BB17" s="55"/>
      <c r="BC17" s="57"/>
      <c r="BD17" s="86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55"/>
      <c r="BY17" s="57"/>
      <c r="BZ17" s="83"/>
      <c r="CA17" s="55"/>
      <c r="CB17" s="57"/>
      <c r="CC17" s="86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55"/>
      <c r="CX17" s="57"/>
      <c r="CY17" s="83"/>
      <c r="CZ17" s="55"/>
      <c r="DA17" s="57"/>
      <c r="DB17" s="86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55"/>
      <c r="DW17" s="57"/>
      <c r="DX17" s="83"/>
      <c r="DY17" s="55"/>
      <c r="DZ17" s="57"/>
      <c r="EA17" s="86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55"/>
      <c r="EV17" s="57"/>
      <c r="EW17" s="83"/>
      <c r="EX17" s="55"/>
      <c r="EY17" s="57"/>
      <c r="EZ17" s="86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6.5" thickBot="1">
      <c r="A18" s="80"/>
      <c r="B18" s="81"/>
      <c r="C18" s="84"/>
      <c r="D18" s="80"/>
      <c r="E18" s="81"/>
      <c r="F18" s="87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80"/>
      <c r="AA18" s="81"/>
      <c r="AB18" s="84"/>
      <c r="AC18" s="80"/>
      <c r="AD18" s="81"/>
      <c r="AE18" s="87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80"/>
      <c r="AZ18" s="81"/>
      <c r="BA18" s="84"/>
      <c r="BB18" s="80"/>
      <c r="BC18" s="81"/>
      <c r="BD18" s="87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80"/>
      <c r="BY18" s="81"/>
      <c r="BZ18" s="84"/>
      <c r="CA18" s="80"/>
      <c r="CB18" s="81"/>
      <c r="CC18" s="87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80"/>
      <c r="CX18" s="81"/>
      <c r="CY18" s="84"/>
      <c r="CZ18" s="80"/>
      <c r="DA18" s="81"/>
      <c r="DB18" s="87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80"/>
      <c r="DW18" s="81"/>
      <c r="DX18" s="84"/>
      <c r="DY18" s="80"/>
      <c r="DZ18" s="81"/>
      <c r="EA18" s="87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80"/>
      <c r="EV18" s="81"/>
      <c r="EW18" s="84"/>
      <c r="EX18" s="80"/>
      <c r="EY18" s="81"/>
      <c r="EZ18" s="87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15.95">
      <c r="A19" s="52" t="s">
        <v>27</v>
      </c>
      <c r="B19" s="54"/>
      <c r="C19" s="82" t="s">
        <v>28</v>
      </c>
      <c r="D19" s="52" t="s">
        <v>55</v>
      </c>
      <c r="E19" s="54"/>
      <c r="F19" s="85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712</v>
      </c>
      <c r="P19" s="21"/>
      <c r="Q19" s="20">
        <f>M19*O19</f>
        <v>712</v>
      </c>
      <c r="R19" s="21"/>
      <c r="S19" s="2"/>
      <c r="T19" s="2"/>
      <c r="U19" s="2"/>
      <c r="V19" s="2"/>
      <c r="W19" s="2"/>
      <c r="X19" s="2"/>
      <c r="Y19" s="2"/>
      <c r="Z19" s="52" t="s">
        <v>27</v>
      </c>
      <c r="AA19" s="54"/>
      <c r="AB19" s="82" t="s">
        <v>29</v>
      </c>
      <c r="AC19" s="52" t="s">
        <v>55</v>
      </c>
      <c r="AD19" s="54"/>
      <c r="AE19" s="85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712</v>
      </c>
      <c r="AO19" s="21"/>
      <c r="AP19" s="20">
        <f>AL19*AN19</f>
        <v>712</v>
      </c>
      <c r="AQ19" s="21"/>
      <c r="AR19" s="2"/>
      <c r="AS19" s="2"/>
      <c r="AT19" s="2"/>
      <c r="AU19" s="2"/>
      <c r="AV19" s="2"/>
      <c r="AW19" s="2"/>
      <c r="AX19" s="2"/>
      <c r="AY19" s="52" t="s">
        <v>27</v>
      </c>
      <c r="AZ19" s="54"/>
      <c r="BA19" s="82" t="s">
        <v>30</v>
      </c>
      <c r="BB19" s="52" t="s">
        <v>55</v>
      </c>
      <c r="BC19" s="54"/>
      <c r="BD19" s="85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712</v>
      </c>
      <c r="BN19" s="21"/>
      <c r="BO19" s="20">
        <f>BK19*BM19</f>
        <v>712</v>
      </c>
      <c r="BP19" s="21"/>
      <c r="BQ19" s="2"/>
      <c r="BR19" s="2"/>
      <c r="BS19" s="2"/>
      <c r="BT19" s="2"/>
      <c r="BU19" s="2"/>
      <c r="BV19" s="2"/>
      <c r="BW19" s="2"/>
      <c r="BX19" s="52" t="s">
        <v>27</v>
      </c>
      <c r="BY19" s="54"/>
      <c r="BZ19" s="82" t="s">
        <v>31</v>
      </c>
      <c r="CA19" s="52" t="s">
        <v>55</v>
      </c>
      <c r="CB19" s="54"/>
      <c r="CC19" s="85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712</v>
      </c>
      <c r="CM19" s="21"/>
      <c r="CN19" s="20">
        <f>CJ19*CL19</f>
        <v>712</v>
      </c>
      <c r="CO19" s="21"/>
      <c r="CP19" s="2"/>
      <c r="CQ19" s="2"/>
      <c r="CR19" s="2"/>
      <c r="CS19" s="2"/>
      <c r="CT19" s="2"/>
      <c r="CU19" s="2"/>
      <c r="CV19" s="2"/>
      <c r="CW19" s="52" t="s">
        <v>27</v>
      </c>
      <c r="CX19" s="54"/>
      <c r="CY19" s="82" t="s">
        <v>32</v>
      </c>
      <c r="CZ19" s="52" t="s">
        <v>55</v>
      </c>
      <c r="DA19" s="54"/>
      <c r="DB19" s="85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712</v>
      </c>
      <c r="DL19" s="21"/>
      <c r="DM19" s="20">
        <f>DI19*DK19</f>
        <v>712</v>
      </c>
      <c r="DN19" s="21"/>
      <c r="DO19" s="2"/>
      <c r="DP19" s="2"/>
      <c r="DQ19" s="2"/>
      <c r="DR19" s="2"/>
      <c r="DS19" s="2"/>
      <c r="DT19" s="2"/>
      <c r="DU19" s="2"/>
      <c r="DV19" s="52" t="s">
        <v>27</v>
      </c>
      <c r="DW19" s="54"/>
      <c r="DX19" s="82" t="s">
        <v>28</v>
      </c>
      <c r="DY19" s="52" t="s">
        <v>55</v>
      </c>
      <c r="DZ19" s="54"/>
      <c r="EA19" s="85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712</v>
      </c>
      <c r="EK19" s="21"/>
      <c r="EL19" s="20">
        <f>EH19*EJ19</f>
        <v>712</v>
      </c>
      <c r="EM19" s="21"/>
      <c r="EN19" s="2"/>
      <c r="EO19" s="2"/>
      <c r="EP19" s="2"/>
      <c r="EQ19" s="2"/>
      <c r="ER19" s="2"/>
      <c r="ES19" s="2"/>
      <c r="ET19" s="2"/>
      <c r="EU19" s="52" t="s">
        <v>27</v>
      </c>
      <c r="EV19" s="54"/>
      <c r="EW19" s="82" t="s">
        <v>28</v>
      </c>
      <c r="EX19" s="52" t="s">
        <v>55</v>
      </c>
      <c r="EY19" s="54"/>
      <c r="EZ19" s="85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600</v>
      </c>
      <c r="FJ19" s="21"/>
      <c r="FK19" s="20">
        <f>FG19*FI19</f>
        <v>600</v>
      </c>
      <c r="FL19" s="21"/>
      <c r="FM19" s="2"/>
      <c r="FN19" s="2"/>
      <c r="FO19" s="2"/>
      <c r="FP19" s="2"/>
      <c r="FQ19" s="2"/>
      <c r="FR19" s="2"/>
      <c r="FS19" s="2"/>
    </row>
    <row r="20" spans="1:175" ht="15.95">
      <c r="A20" s="55"/>
      <c r="B20" s="57"/>
      <c r="C20" s="83"/>
      <c r="D20" s="55"/>
      <c r="E20" s="57"/>
      <c r="F20" s="86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55"/>
      <c r="AA20" s="57"/>
      <c r="AB20" s="83"/>
      <c r="AC20" s="55"/>
      <c r="AD20" s="57"/>
      <c r="AE20" s="86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55"/>
      <c r="AZ20" s="57"/>
      <c r="BA20" s="83"/>
      <c r="BB20" s="55"/>
      <c r="BC20" s="57"/>
      <c r="BD20" s="86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55"/>
      <c r="BY20" s="57"/>
      <c r="BZ20" s="83"/>
      <c r="CA20" s="55"/>
      <c r="CB20" s="57"/>
      <c r="CC20" s="86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55"/>
      <c r="CX20" s="57"/>
      <c r="CY20" s="83"/>
      <c r="CZ20" s="55"/>
      <c r="DA20" s="57"/>
      <c r="DB20" s="86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55"/>
      <c r="DW20" s="57"/>
      <c r="DX20" s="83"/>
      <c r="DY20" s="55"/>
      <c r="DZ20" s="57"/>
      <c r="EA20" s="86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55"/>
      <c r="EV20" s="57"/>
      <c r="EW20" s="83"/>
      <c r="EX20" s="55"/>
      <c r="EY20" s="57"/>
      <c r="EZ20" s="86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6.5" thickBot="1">
      <c r="A21" s="55"/>
      <c r="B21" s="57"/>
      <c r="C21" s="83"/>
      <c r="D21" s="55"/>
      <c r="E21" s="57"/>
      <c r="F21" s="86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55"/>
      <c r="AA21" s="57"/>
      <c r="AB21" s="83"/>
      <c r="AC21" s="55"/>
      <c r="AD21" s="57"/>
      <c r="AE21" s="86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55"/>
      <c r="AZ21" s="57"/>
      <c r="BA21" s="83"/>
      <c r="BB21" s="55"/>
      <c r="BC21" s="57"/>
      <c r="BD21" s="86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55"/>
      <c r="BY21" s="57"/>
      <c r="BZ21" s="83"/>
      <c r="CA21" s="55"/>
      <c r="CB21" s="57"/>
      <c r="CC21" s="86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55"/>
      <c r="CX21" s="57"/>
      <c r="CY21" s="83"/>
      <c r="CZ21" s="55"/>
      <c r="DA21" s="57"/>
      <c r="DB21" s="86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55"/>
      <c r="DW21" s="57"/>
      <c r="DX21" s="83"/>
      <c r="DY21" s="55"/>
      <c r="DZ21" s="57"/>
      <c r="EA21" s="86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55"/>
      <c r="EV21" s="57"/>
      <c r="EW21" s="83"/>
      <c r="EX21" s="55"/>
      <c r="EY21" s="57"/>
      <c r="EZ21" s="86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6.5" thickBot="1">
      <c r="A22" s="80"/>
      <c r="B22" s="81"/>
      <c r="C22" s="84"/>
      <c r="D22" s="80"/>
      <c r="E22" s="81"/>
      <c r="F22" s="87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1744.4</v>
      </c>
      <c r="P22" s="21"/>
      <c r="Q22" s="20">
        <f>M22*O22</f>
        <v>1744.4</v>
      </c>
      <c r="R22" s="21"/>
      <c r="S22" s="2"/>
      <c r="T22" s="2"/>
      <c r="U22" s="2"/>
      <c r="V22" s="2"/>
      <c r="W22" s="2"/>
      <c r="X22" s="2"/>
      <c r="Y22" s="2"/>
      <c r="Z22" s="80"/>
      <c r="AA22" s="81"/>
      <c r="AB22" s="84"/>
      <c r="AC22" s="80"/>
      <c r="AD22" s="81"/>
      <c r="AE22" s="87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1744.4</v>
      </c>
      <c r="AO22" s="21"/>
      <c r="AP22" s="20">
        <f>AL22*AN22</f>
        <v>1744.4</v>
      </c>
      <c r="AQ22" s="21"/>
      <c r="AR22" s="2"/>
      <c r="AS22" s="2"/>
      <c r="AT22" s="2"/>
      <c r="AU22" s="2"/>
      <c r="AV22" s="2"/>
      <c r="AW22" s="2"/>
      <c r="AX22" s="2"/>
      <c r="AY22" s="80"/>
      <c r="AZ22" s="81"/>
      <c r="BA22" s="84"/>
      <c r="BB22" s="80"/>
      <c r="BC22" s="81"/>
      <c r="BD22" s="87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1744.4</v>
      </c>
      <c r="BN22" s="21"/>
      <c r="BO22" s="20">
        <f>BK22*BM22</f>
        <v>1744.4</v>
      </c>
      <c r="BP22" s="21"/>
      <c r="BQ22" s="2"/>
      <c r="BR22" s="2"/>
      <c r="BS22" s="2"/>
      <c r="BT22" s="2"/>
      <c r="BU22" s="2"/>
      <c r="BV22" s="2"/>
      <c r="BW22" s="2"/>
      <c r="BX22" s="80"/>
      <c r="BY22" s="81"/>
      <c r="BZ22" s="84"/>
      <c r="CA22" s="80"/>
      <c r="CB22" s="81"/>
      <c r="CC22" s="87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1744.4</v>
      </c>
      <c r="CM22" s="21"/>
      <c r="CN22" s="20">
        <f>CJ22*CL22</f>
        <v>1744.4</v>
      </c>
      <c r="CO22" s="21"/>
      <c r="CP22" s="2"/>
      <c r="CQ22" s="2"/>
      <c r="CR22" s="2"/>
      <c r="CS22" s="2"/>
      <c r="CT22" s="2"/>
      <c r="CU22" s="2"/>
      <c r="CV22" s="2"/>
      <c r="CW22" s="80"/>
      <c r="CX22" s="81"/>
      <c r="CY22" s="84"/>
      <c r="CZ22" s="80"/>
      <c r="DA22" s="81"/>
      <c r="DB22" s="87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1744.4</v>
      </c>
      <c r="DL22" s="21"/>
      <c r="DM22" s="20">
        <f>DI22*DK22</f>
        <v>1744.4</v>
      </c>
      <c r="DN22" s="21"/>
      <c r="DO22" s="2"/>
      <c r="DP22" s="2"/>
      <c r="DQ22" s="2"/>
      <c r="DR22" s="2"/>
      <c r="DS22" s="2"/>
      <c r="DT22" s="2"/>
      <c r="DU22" s="2"/>
      <c r="DV22" s="80"/>
      <c r="DW22" s="81"/>
      <c r="DX22" s="84"/>
      <c r="DY22" s="80"/>
      <c r="DZ22" s="81"/>
      <c r="EA22" s="87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1744.4</v>
      </c>
      <c r="EK22" s="21"/>
      <c r="EL22" s="20">
        <f>EH22*EJ22</f>
        <v>1744.4</v>
      </c>
      <c r="EM22" s="21"/>
      <c r="EN22" s="2"/>
      <c r="EO22" s="2"/>
      <c r="EP22" s="2"/>
      <c r="EQ22" s="2"/>
      <c r="ER22" s="2"/>
      <c r="ES22" s="2"/>
      <c r="ET22" s="2"/>
      <c r="EU22" s="80"/>
      <c r="EV22" s="81"/>
      <c r="EW22" s="84"/>
      <c r="EX22" s="80"/>
      <c r="EY22" s="81"/>
      <c r="EZ22" s="87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1470</v>
      </c>
      <c r="FJ22" s="21"/>
      <c r="FK22" s="20">
        <f>FG22*FI22</f>
        <v>1470</v>
      </c>
      <c r="FL22" s="21"/>
      <c r="FM22" s="2"/>
      <c r="FN22" s="2"/>
      <c r="FO22" s="2"/>
      <c r="FP22" s="2"/>
      <c r="FQ22" s="2"/>
      <c r="FR22" s="2"/>
      <c r="FS22" s="2"/>
    </row>
    <row r="23" spans="1:175" ht="15.95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6.5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.95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1780</v>
      </c>
      <c r="P25" s="21"/>
      <c r="Q25" s="20">
        <f>M25*O25</f>
        <v>3560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1780</v>
      </c>
      <c r="AO25" s="21"/>
      <c r="AP25" s="20">
        <f>AL25*AN25</f>
        <v>3560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1780</v>
      </c>
      <c r="BN25" s="21"/>
      <c r="BO25" s="20">
        <f>BK25*BM25</f>
        <v>3560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1780</v>
      </c>
      <c r="CM25" s="21"/>
      <c r="CN25" s="20">
        <f>CJ25*CL25</f>
        <v>3560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1780</v>
      </c>
      <c r="DL25" s="21"/>
      <c r="DM25" s="20">
        <f>DI25*DK25</f>
        <v>3560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1780</v>
      </c>
      <c r="EK25" s="21"/>
      <c r="EL25" s="20">
        <f>EH25*EJ25</f>
        <v>3560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1500</v>
      </c>
      <c r="FJ25" s="21"/>
      <c r="FK25" s="20">
        <f>FG25*FI25</f>
        <v>3000</v>
      </c>
      <c r="FL25" s="21"/>
      <c r="FM25" s="2"/>
      <c r="FN25" s="2"/>
      <c r="FO25" s="2"/>
      <c r="FP25" s="2"/>
      <c r="FQ25" s="2"/>
      <c r="FR25" s="2"/>
      <c r="FS25" s="2"/>
    </row>
    <row r="26" spans="1:175" ht="15.95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6.5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.95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1780</v>
      </c>
      <c r="P28" s="21"/>
      <c r="Q28" s="20">
        <f>M28*O28</f>
        <v>1780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1780</v>
      </c>
      <c r="AO28" s="21"/>
      <c r="AP28" s="20">
        <f>AL28*AN28</f>
        <v>1780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1780</v>
      </c>
      <c r="BN28" s="21"/>
      <c r="BO28" s="20">
        <f>BK28*BM28</f>
        <v>1780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1780</v>
      </c>
      <c r="CM28" s="21"/>
      <c r="CN28" s="20">
        <f>CJ28*CL28</f>
        <v>1780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1780</v>
      </c>
      <c r="DL28" s="21"/>
      <c r="DM28" s="20">
        <f>DI28*DK28</f>
        <v>1780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1780</v>
      </c>
      <c r="EK28" s="21"/>
      <c r="EL28" s="20">
        <f>EH28*EJ28</f>
        <v>1780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1500</v>
      </c>
      <c r="FJ28" s="21"/>
      <c r="FK28" s="20">
        <f>FG28*FI28</f>
        <v>1500</v>
      </c>
      <c r="FL28" s="21"/>
      <c r="FM28" s="2"/>
      <c r="FN28" s="2"/>
      <c r="FO28" s="2"/>
      <c r="FP28" s="2"/>
      <c r="FQ28" s="2"/>
      <c r="FR28" s="2"/>
      <c r="FS28" s="2"/>
    </row>
    <row r="29" spans="1:175" ht="15.95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6.5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8.600000000000001">
      <c r="A33" s="2"/>
      <c r="B33" s="2"/>
      <c r="C33" s="61" t="s">
        <v>61</v>
      </c>
      <c r="D33" s="62"/>
      <c r="E33" s="62"/>
      <c r="F33" s="63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61" t="s">
        <v>62</v>
      </c>
      <c r="AC33" s="62"/>
      <c r="AD33" s="62"/>
      <c r="AE33" s="63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61" t="s">
        <v>63</v>
      </c>
      <c r="BB33" s="62"/>
      <c r="BC33" s="62"/>
      <c r="BD33" s="63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61" t="s">
        <v>64</v>
      </c>
      <c r="CA33" s="62"/>
      <c r="CB33" s="62"/>
      <c r="CC33" s="63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61" t="s">
        <v>65</v>
      </c>
      <c r="CZ33" s="62"/>
      <c r="DA33" s="62"/>
      <c r="DB33" s="63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61" t="s">
        <v>66</v>
      </c>
      <c r="DY33" s="62"/>
      <c r="DZ33" s="62"/>
      <c r="EA33" s="63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61" t="s">
        <v>67</v>
      </c>
      <c r="EX33" s="62"/>
      <c r="EY33" s="62"/>
      <c r="EZ33" s="63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8.95" thickBot="1">
      <c r="A34" s="2"/>
      <c r="B34" s="2"/>
      <c r="C34" s="64"/>
      <c r="D34" s="65"/>
      <c r="E34" s="65"/>
      <c r="F34" s="66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64"/>
      <c r="AC34" s="65"/>
      <c r="AD34" s="65"/>
      <c r="AE34" s="66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64"/>
      <c r="BB34" s="65"/>
      <c r="BC34" s="65"/>
      <c r="BD34" s="66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64"/>
      <c r="CA34" s="65"/>
      <c r="CB34" s="65"/>
      <c r="CC34" s="66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64"/>
      <c r="CZ34" s="65"/>
      <c r="DA34" s="65"/>
      <c r="DB34" s="66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64"/>
      <c r="DY34" s="65"/>
      <c r="DZ34" s="65"/>
      <c r="EA34" s="66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64"/>
      <c r="EX34" s="65"/>
      <c r="EY34" s="65"/>
      <c r="EZ34" s="66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ht="14.45" customHeight="1">
      <c r="A35" s="2"/>
      <c r="B35" s="2"/>
      <c r="C35" s="67" t="s">
        <v>68</v>
      </c>
      <c r="D35" s="67">
        <f>F11+F15+F19</f>
        <v>1110</v>
      </c>
      <c r="E35" s="67" t="s">
        <v>69</v>
      </c>
      <c r="F35" s="67">
        <f>D35-D39</f>
        <v>-10068.4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67" t="s">
        <v>68</v>
      </c>
      <c r="AC35" s="67">
        <f>AE11+AE15+AE19</f>
        <v>1165</v>
      </c>
      <c r="AD35" s="67" t="s">
        <v>69</v>
      </c>
      <c r="AE35" s="67">
        <f>AC35-AC39</f>
        <v>-10013.4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67" t="s">
        <v>68</v>
      </c>
      <c r="BB35" s="67">
        <f>BD11+BD15+BD19</f>
        <v>1270</v>
      </c>
      <c r="BC35" s="67" t="s">
        <v>69</v>
      </c>
      <c r="BD35" s="67">
        <f>BB35-BB39</f>
        <v>-9908.4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67" t="s">
        <v>68</v>
      </c>
      <c r="CA35" s="67">
        <f>CC11+CC15+CC19</f>
        <v>1170</v>
      </c>
      <c r="CB35" s="67" t="s">
        <v>69</v>
      </c>
      <c r="CC35" s="67">
        <f>CA35-CA39</f>
        <v>-10008.4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67" t="s">
        <v>68</v>
      </c>
      <c r="CZ35" s="67">
        <f>DB11+DB15+DB19</f>
        <v>1120</v>
      </c>
      <c r="DA35" s="67" t="s">
        <v>69</v>
      </c>
      <c r="DB35" s="67">
        <f>CZ35-CZ39</f>
        <v>-10058.4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67" t="s">
        <v>68</v>
      </c>
      <c r="DY35" s="67">
        <f>EA11+EA15+EA19</f>
        <v>1110</v>
      </c>
      <c r="DZ35" s="67" t="s">
        <v>69</v>
      </c>
      <c r="EA35" s="67">
        <f>DY35-DY39</f>
        <v>-10068.4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67" t="s">
        <v>68</v>
      </c>
      <c r="EX35" s="67">
        <f>EZ11+EZ15+EZ19</f>
        <v>1110</v>
      </c>
      <c r="EY35" s="67" t="s">
        <v>69</v>
      </c>
      <c r="EZ35" s="67">
        <f>EX35-EX39</f>
        <v>-8310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ht="14.45" customHeight="1">
      <c r="A36" s="2"/>
      <c r="B36" s="2"/>
      <c r="C36" s="67"/>
      <c r="D36" s="67"/>
      <c r="E36" s="67"/>
      <c r="F36" s="67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67"/>
      <c r="AC36" s="67"/>
      <c r="AD36" s="67"/>
      <c r="AE36" s="67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67"/>
      <c r="BB36" s="67"/>
      <c r="BC36" s="67"/>
      <c r="BD36" s="67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67"/>
      <c r="CA36" s="67"/>
      <c r="CB36" s="67"/>
      <c r="CC36" s="67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67"/>
      <c r="CZ36" s="67"/>
      <c r="DA36" s="67"/>
      <c r="DB36" s="67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67"/>
      <c r="DY36" s="67"/>
      <c r="DZ36" s="67"/>
      <c r="EA36" s="67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67"/>
      <c r="EX36" s="67"/>
      <c r="EY36" s="67"/>
      <c r="EZ36" s="67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ht="14.45" customHeight="1">
      <c r="A37" s="2"/>
      <c r="B37" s="2"/>
      <c r="C37" s="67"/>
      <c r="D37" s="67"/>
      <c r="E37" s="67"/>
      <c r="F37" s="67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67"/>
      <c r="AC37" s="67"/>
      <c r="AD37" s="67"/>
      <c r="AE37" s="67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67"/>
      <c r="BB37" s="67"/>
      <c r="BC37" s="67"/>
      <c r="BD37" s="67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67"/>
      <c r="CA37" s="67"/>
      <c r="CB37" s="67"/>
      <c r="CC37" s="67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67"/>
      <c r="CZ37" s="67"/>
      <c r="DA37" s="67"/>
      <c r="DB37" s="67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67"/>
      <c r="DY37" s="67"/>
      <c r="DZ37" s="67"/>
      <c r="EA37" s="67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67"/>
      <c r="EX37" s="67"/>
      <c r="EY37" s="67"/>
      <c r="EZ37" s="67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" customHeight="1" thickBot="1">
      <c r="A38" s="2"/>
      <c r="B38" s="2"/>
      <c r="C38" s="68"/>
      <c r="D38" s="68"/>
      <c r="E38" s="68"/>
      <c r="F38" s="68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68"/>
      <c r="AC38" s="68"/>
      <c r="AD38" s="68"/>
      <c r="AE38" s="68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68"/>
      <c r="BB38" s="68"/>
      <c r="BC38" s="68"/>
      <c r="BD38" s="68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68"/>
      <c r="CA38" s="68"/>
      <c r="CB38" s="68"/>
      <c r="CC38" s="68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68"/>
      <c r="CZ38" s="68"/>
      <c r="DA38" s="68"/>
      <c r="DB38" s="68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68"/>
      <c r="DY38" s="68"/>
      <c r="DZ38" s="68"/>
      <c r="EA38" s="68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68"/>
      <c r="EX38" s="68"/>
      <c r="EY38" s="68"/>
      <c r="EZ38" s="68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ht="14.45" customHeight="1">
      <c r="A39" s="2"/>
      <c r="B39" s="2"/>
      <c r="C39" s="67" t="s">
        <v>70</v>
      </c>
      <c r="D39" s="67">
        <f>SUM(Q13:Q28)</f>
        <v>11178.4</v>
      </c>
      <c r="E39" s="67" t="s">
        <v>71</v>
      </c>
      <c r="F39" s="67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67" t="s">
        <v>70</v>
      </c>
      <c r="AC39" s="67">
        <f>SUM(AP13:AP28)</f>
        <v>11178.4</v>
      </c>
      <c r="AD39" s="67" t="s">
        <v>71</v>
      </c>
      <c r="AE39" s="67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67" t="s">
        <v>70</v>
      </c>
      <c r="BB39" s="67">
        <f>SUM(BO13:BO28)</f>
        <v>11178.4</v>
      </c>
      <c r="BC39" s="67" t="s">
        <v>71</v>
      </c>
      <c r="BD39" s="67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67" t="s">
        <v>70</v>
      </c>
      <c r="CA39" s="67">
        <f>SUM(CN13:CN28)</f>
        <v>11178.4</v>
      </c>
      <c r="CB39" s="67" t="s">
        <v>71</v>
      </c>
      <c r="CC39" s="67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67" t="s">
        <v>70</v>
      </c>
      <c r="CZ39" s="67">
        <f>SUM(DM13:DM28)</f>
        <v>11178.4</v>
      </c>
      <c r="DA39" s="67" t="s">
        <v>71</v>
      </c>
      <c r="DB39" s="67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67" t="s">
        <v>70</v>
      </c>
      <c r="DY39" s="67">
        <f>SUM(EL13:EL28)</f>
        <v>11178.4</v>
      </c>
      <c r="DZ39" s="67" t="s">
        <v>71</v>
      </c>
      <c r="EA39" s="67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67" t="s">
        <v>70</v>
      </c>
      <c r="EX39" s="67">
        <f>SUM(FK13:FK28)</f>
        <v>9420</v>
      </c>
      <c r="EY39" s="67" t="s">
        <v>71</v>
      </c>
      <c r="EZ39" s="67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ht="14.45" customHeight="1">
      <c r="A40" s="2"/>
      <c r="B40" s="2"/>
      <c r="C40" s="67"/>
      <c r="D40" s="67"/>
      <c r="E40" s="67"/>
      <c r="F40" s="67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67"/>
      <c r="AC40" s="67"/>
      <c r="AD40" s="67"/>
      <c r="AE40" s="67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67"/>
      <c r="BB40" s="67"/>
      <c r="BC40" s="67"/>
      <c r="BD40" s="67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67"/>
      <c r="CA40" s="67"/>
      <c r="CB40" s="67"/>
      <c r="CC40" s="67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67"/>
      <c r="CZ40" s="67"/>
      <c r="DA40" s="67"/>
      <c r="DB40" s="67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67"/>
      <c r="DY40" s="67"/>
      <c r="DZ40" s="67"/>
      <c r="EA40" s="67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67"/>
      <c r="EX40" s="67"/>
      <c r="EY40" s="67"/>
      <c r="EZ40" s="67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ht="14.45" customHeight="1">
      <c r="A41" s="2"/>
      <c r="B41" s="2"/>
      <c r="C41" s="67"/>
      <c r="D41" s="67"/>
      <c r="E41" s="67"/>
      <c r="F41" s="67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67"/>
      <c r="AC41" s="67"/>
      <c r="AD41" s="67"/>
      <c r="AE41" s="67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67"/>
      <c r="BB41" s="67"/>
      <c r="BC41" s="67"/>
      <c r="BD41" s="67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67"/>
      <c r="CA41" s="67"/>
      <c r="CB41" s="67"/>
      <c r="CC41" s="67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67"/>
      <c r="CZ41" s="67"/>
      <c r="DA41" s="67"/>
      <c r="DB41" s="67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67"/>
      <c r="DY41" s="67"/>
      <c r="DZ41" s="67"/>
      <c r="EA41" s="67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67"/>
      <c r="EX41" s="67"/>
      <c r="EY41" s="67"/>
      <c r="EZ41" s="67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customHeight="1" thickBot="1">
      <c r="A42" s="2"/>
      <c r="B42" s="2"/>
      <c r="C42" s="68"/>
      <c r="D42" s="68"/>
      <c r="E42" s="68"/>
      <c r="F42" s="68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68"/>
      <c r="AC42" s="68"/>
      <c r="AD42" s="68"/>
      <c r="AE42" s="68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68"/>
      <c r="BB42" s="68"/>
      <c r="BC42" s="68"/>
      <c r="BD42" s="68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68"/>
      <c r="CA42" s="68"/>
      <c r="CB42" s="68"/>
      <c r="CC42" s="68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68"/>
      <c r="CZ42" s="68"/>
      <c r="DA42" s="68"/>
      <c r="DB42" s="68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68"/>
      <c r="DY42" s="68"/>
      <c r="DZ42" s="68"/>
      <c r="EA42" s="68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68"/>
      <c r="EX42" s="68"/>
      <c r="EY42" s="68"/>
      <c r="EZ42" s="68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4.45" customHeight="1">
      <c r="A50" s="2"/>
      <c r="B50" s="2"/>
      <c r="C50" s="2"/>
      <c r="D50" s="2"/>
      <c r="E50" s="61" t="s">
        <v>72</v>
      </c>
      <c r="F50" s="62"/>
      <c r="G50" s="62"/>
      <c r="H50" s="63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88"/>
      <c r="BD50" s="88"/>
      <c r="BE50" s="88"/>
      <c r="BF50" s="88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95" t="s">
        <v>72</v>
      </c>
      <c r="CC50" s="96"/>
      <c r="CD50" s="96"/>
      <c r="CE50" s="97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95" t="s">
        <v>72</v>
      </c>
      <c r="DB50" s="96"/>
      <c r="DC50" s="96"/>
      <c r="DD50" s="97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95" t="s">
        <v>72</v>
      </c>
      <c r="EA50" s="96"/>
      <c r="EB50" s="96"/>
      <c r="EC50" s="97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95" t="s">
        <v>72</v>
      </c>
      <c r="EZ50" s="96"/>
      <c r="FA50" s="96"/>
      <c r="FB50" s="97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5" customHeight="1" thickBot="1">
      <c r="A51" s="2"/>
      <c r="B51" s="2"/>
      <c r="C51" s="2"/>
      <c r="D51" s="2"/>
      <c r="E51" s="64"/>
      <c r="F51" s="65"/>
      <c r="G51" s="65"/>
      <c r="H51" s="66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88"/>
      <c r="BD51" s="88"/>
      <c r="BE51" s="88"/>
      <c r="BF51" s="88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98"/>
      <c r="CC51" s="99"/>
      <c r="CD51" s="99"/>
      <c r="CE51" s="100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98"/>
      <c r="DB51" s="99"/>
      <c r="DC51" s="99"/>
      <c r="DD51" s="100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98"/>
      <c r="EA51" s="99"/>
      <c r="EB51" s="99"/>
      <c r="EC51" s="100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98"/>
      <c r="EZ51" s="99"/>
      <c r="FA51" s="99"/>
      <c r="FB51" s="100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4.45" customHeight="1">
      <c r="A52" s="2"/>
      <c r="B52" s="2"/>
      <c r="C52" s="2"/>
      <c r="D52" s="2"/>
      <c r="E52" s="67" t="s">
        <v>68</v>
      </c>
      <c r="F52" s="52">
        <f>F35+AE35+BD35+CC35+DB35+EA35+EZ35</f>
        <v>-68435.399999999994</v>
      </c>
      <c r="G52" s="53"/>
      <c r="H52" s="5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89"/>
      <c r="BD52" s="89"/>
      <c r="BE52" s="89"/>
      <c r="BF52" s="89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90" t="s">
        <v>68</v>
      </c>
      <c r="CC52" s="92"/>
      <c r="CD52" s="93"/>
      <c r="CE52" s="93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90" t="s">
        <v>68</v>
      </c>
      <c r="DB52" s="92"/>
      <c r="DC52" s="93"/>
      <c r="DD52" s="93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90" t="s">
        <v>68</v>
      </c>
      <c r="EA52" s="92"/>
      <c r="EB52" s="93"/>
      <c r="EC52" s="93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90" t="s">
        <v>68</v>
      </c>
      <c r="EZ52" s="92"/>
      <c r="FA52" s="93"/>
      <c r="FB52" s="93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4.45" customHeight="1">
      <c r="A53" s="2"/>
      <c r="B53" s="2"/>
      <c r="C53" s="2"/>
      <c r="D53" s="2"/>
      <c r="E53" s="67"/>
      <c r="F53" s="55"/>
      <c r="G53" s="56"/>
      <c r="H53" s="5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89"/>
      <c r="BD53" s="89"/>
      <c r="BE53" s="89"/>
      <c r="BF53" s="89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90"/>
      <c r="CC53" s="94"/>
      <c r="CD53" s="89"/>
      <c r="CE53" s="89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90"/>
      <c r="DB53" s="94"/>
      <c r="DC53" s="89"/>
      <c r="DD53" s="89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90"/>
      <c r="EA53" s="94"/>
      <c r="EB53" s="89"/>
      <c r="EC53" s="89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90"/>
      <c r="EZ53" s="94"/>
      <c r="FA53" s="89"/>
      <c r="FB53" s="89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4.45" customHeight="1">
      <c r="A54" s="2"/>
      <c r="B54" s="2"/>
      <c r="C54" s="2"/>
      <c r="D54" s="2"/>
      <c r="E54" s="67"/>
      <c r="F54" s="55"/>
      <c r="G54" s="56"/>
      <c r="H54" s="5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89"/>
      <c r="BD54" s="89"/>
      <c r="BE54" s="89"/>
      <c r="BF54" s="89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90"/>
      <c r="CC54" s="94"/>
      <c r="CD54" s="89"/>
      <c r="CE54" s="89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90"/>
      <c r="DB54" s="94"/>
      <c r="DC54" s="89"/>
      <c r="DD54" s="89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90"/>
      <c r="EA54" s="94"/>
      <c r="EB54" s="89"/>
      <c r="EC54" s="89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90"/>
      <c r="EZ54" s="94"/>
      <c r="FA54" s="89"/>
      <c r="FB54" s="89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5" customHeight="1" thickBot="1">
      <c r="A55" s="2"/>
      <c r="B55" s="2"/>
      <c r="C55" s="2"/>
      <c r="D55" s="2"/>
      <c r="E55" s="68"/>
      <c r="F55" s="55"/>
      <c r="G55" s="56"/>
      <c r="H55" s="5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89"/>
      <c r="BD55" s="89"/>
      <c r="BE55" s="89"/>
      <c r="BF55" s="89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91"/>
      <c r="CC55" s="94"/>
      <c r="CD55" s="89"/>
      <c r="CE55" s="89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91"/>
      <c r="DB55" s="94"/>
      <c r="DC55" s="89"/>
      <c r="DD55" s="89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91"/>
      <c r="EA55" s="94"/>
      <c r="EB55" s="89"/>
      <c r="EC55" s="89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91"/>
      <c r="EZ55" s="94"/>
      <c r="FA55" s="89"/>
      <c r="FB55" s="89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4.45" customHeight="1">
      <c r="A56" s="2"/>
      <c r="B56" s="2"/>
      <c r="C56" s="2"/>
      <c r="D56" s="2"/>
      <c r="E56" s="67" t="s">
        <v>70</v>
      </c>
      <c r="F56" s="52">
        <f>D39+AC39+BB39+CA39+CZ39+DY39+EX39</f>
        <v>76490.399999999994</v>
      </c>
      <c r="G56" s="53"/>
      <c r="H56" s="5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89"/>
      <c r="BD56" s="89"/>
      <c r="BE56" s="89"/>
      <c r="BF56" s="89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90" t="s">
        <v>70</v>
      </c>
      <c r="CC56" s="92"/>
      <c r="CD56" s="93"/>
      <c r="CE56" s="93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90" t="s">
        <v>70</v>
      </c>
      <c r="DB56" s="92"/>
      <c r="DC56" s="93"/>
      <c r="DD56" s="93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90" t="s">
        <v>70</v>
      </c>
      <c r="EA56" s="92"/>
      <c r="EB56" s="93"/>
      <c r="EC56" s="93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90" t="s">
        <v>70</v>
      </c>
      <c r="EZ56" s="92"/>
      <c r="FA56" s="93"/>
      <c r="FB56" s="93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4.45" customHeight="1">
      <c r="A57" s="2"/>
      <c r="B57" s="2"/>
      <c r="C57" s="2"/>
      <c r="D57" s="2"/>
      <c r="E57" s="67"/>
      <c r="F57" s="55"/>
      <c r="G57" s="56"/>
      <c r="H57" s="5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89"/>
      <c r="BD57" s="89"/>
      <c r="BE57" s="89"/>
      <c r="BF57" s="89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90"/>
      <c r="CC57" s="94"/>
      <c r="CD57" s="89"/>
      <c r="CE57" s="89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90"/>
      <c r="DB57" s="94"/>
      <c r="DC57" s="89"/>
      <c r="DD57" s="89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90"/>
      <c r="EA57" s="94"/>
      <c r="EB57" s="89"/>
      <c r="EC57" s="89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90"/>
      <c r="EZ57" s="94"/>
      <c r="FA57" s="89"/>
      <c r="FB57" s="89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4.45" customHeight="1">
      <c r="A58" s="2"/>
      <c r="B58" s="2"/>
      <c r="C58" s="2"/>
      <c r="D58" s="2"/>
      <c r="E58" s="67"/>
      <c r="F58" s="55"/>
      <c r="G58" s="56"/>
      <c r="H58" s="5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89"/>
      <c r="BD58" s="89"/>
      <c r="BE58" s="89"/>
      <c r="BF58" s="89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90"/>
      <c r="CC58" s="94"/>
      <c r="CD58" s="89"/>
      <c r="CE58" s="89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90"/>
      <c r="DB58" s="94"/>
      <c r="DC58" s="89"/>
      <c r="DD58" s="89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90"/>
      <c r="EA58" s="94"/>
      <c r="EB58" s="89"/>
      <c r="EC58" s="89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90"/>
      <c r="EZ58" s="94"/>
      <c r="FA58" s="89"/>
      <c r="FB58" s="89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5" customHeight="1" thickBot="1">
      <c r="A59" s="2"/>
      <c r="B59" s="2"/>
      <c r="C59" s="2"/>
      <c r="D59" s="2"/>
      <c r="E59" s="68"/>
      <c r="F59" s="55"/>
      <c r="G59" s="56"/>
      <c r="H59" s="5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89"/>
      <c r="BD59" s="89"/>
      <c r="BE59" s="89"/>
      <c r="BF59" s="89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91"/>
      <c r="CC59" s="94"/>
      <c r="CD59" s="89"/>
      <c r="CE59" s="89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91"/>
      <c r="DB59" s="94"/>
      <c r="DC59" s="89"/>
      <c r="DD59" s="89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91"/>
      <c r="EA59" s="94"/>
      <c r="EB59" s="89"/>
      <c r="EC59" s="89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91"/>
      <c r="EZ59" s="94"/>
      <c r="FA59" s="89"/>
      <c r="FB59" s="89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4.45" customHeight="1">
      <c r="A60" s="2"/>
      <c r="B60" s="2"/>
      <c r="C60" s="2"/>
      <c r="D60" s="2"/>
      <c r="E60" s="67" t="s">
        <v>73</v>
      </c>
      <c r="F60" s="52">
        <f>F56-F52</f>
        <v>144925.79999999999</v>
      </c>
      <c r="G60" s="53"/>
      <c r="H60" s="5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5"/>
      <c r="AE60" s="35"/>
      <c r="AF60" s="35"/>
      <c r="AG60" s="35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89"/>
      <c r="BD60" s="89"/>
      <c r="BE60" s="89"/>
      <c r="BF60" s="89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90" t="s">
        <v>73</v>
      </c>
      <c r="CC60" s="92"/>
      <c r="CD60" s="93"/>
      <c r="CE60" s="93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90" t="s">
        <v>73</v>
      </c>
      <c r="DB60" s="92"/>
      <c r="DC60" s="93"/>
      <c r="DD60" s="93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90" t="s">
        <v>73</v>
      </c>
      <c r="EA60" s="92"/>
      <c r="EB60" s="93"/>
      <c r="EC60" s="93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90" t="s">
        <v>73</v>
      </c>
      <c r="EZ60" s="92"/>
      <c r="FA60" s="93"/>
      <c r="FB60" s="93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4.45" customHeight="1">
      <c r="A61" s="2"/>
      <c r="B61" s="2"/>
      <c r="C61" s="2"/>
      <c r="D61" s="2"/>
      <c r="E61" s="67"/>
      <c r="F61" s="55"/>
      <c r="G61" s="56"/>
      <c r="H61" s="5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5"/>
      <c r="AE61" s="35"/>
      <c r="AF61" s="35"/>
      <c r="AG61" s="3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89"/>
      <c r="BD61" s="89"/>
      <c r="BE61" s="89"/>
      <c r="BF61" s="89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90"/>
      <c r="CC61" s="94"/>
      <c r="CD61" s="89"/>
      <c r="CE61" s="89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90"/>
      <c r="DB61" s="94"/>
      <c r="DC61" s="89"/>
      <c r="DD61" s="89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90"/>
      <c r="EA61" s="94"/>
      <c r="EB61" s="89"/>
      <c r="EC61" s="89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90"/>
      <c r="EZ61" s="94"/>
      <c r="FA61" s="89"/>
      <c r="FB61" s="89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4.45" customHeight="1">
      <c r="A62" s="2"/>
      <c r="B62" s="2"/>
      <c r="C62" s="2"/>
      <c r="D62" s="2"/>
      <c r="E62" s="67"/>
      <c r="F62" s="55"/>
      <c r="G62" s="56"/>
      <c r="H62" s="5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5"/>
      <c r="AE62" s="35"/>
      <c r="AF62" s="35"/>
      <c r="AG62" s="35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89"/>
      <c r="BD62" s="89"/>
      <c r="BE62" s="89"/>
      <c r="BF62" s="89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90"/>
      <c r="CC62" s="94"/>
      <c r="CD62" s="89"/>
      <c r="CE62" s="89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90"/>
      <c r="DB62" s="94"/>
      <c r="DC62" s="89"/>
      <c r="DD62" s="89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90"/>
      <c r="EA62" s="94"/>
      <c r="EB62" s="89"/>
      <c r="EC62" s="89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90"/>
      <c r="EZ62" s="94"/>
      <c r="FA62" s="89"/>
      <c r="FB62" s="89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5" customHeight="1" thickBot="1">
      <c r="A63" s="2"/>
      <c r="B63" s="2"/>
      <c r="C63" s="2"/>
      <c r="D63" s="2"/>
      <c r="E63" s="68"/>
      <c r="F63" s="55"/>
      <c r="G63" s="56"/>
      <c r="H63" s="5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5"/>
      <c r="AE63" s="35"/>
      <c r="AF63" s="35"/>
      <c r="AG63" s="35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89"/>
      <c r="BD63" s="89"/>
      <c r="BE63" s="89"/>
      <c r="BF63" s="89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91"/>
      <c r="CC63" s="94"/>
      <c r="CD63" s="89"/>
      <c r="CE63" s="89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91"/>
      <c r="DB63" s="94"/>
      <c r="DC63" s="89"/>
      <c r="DD63" s="89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91"/>
      <c r="EA63" s="94"/>
      <c r="EB63" s="89"/>
      <c r="EC63" s="89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91"/>
      <c r="EZ63" s="94"/>
      <c r="FA63" s="89"/>
      <c r="FB63" s="89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4.45" customHeight="1">
      <c r="A64" s="2"/>
      <c r="B64" s="2"/>
      <c r="C64" s="2"/>
      <c r="D64" s="2"/>
      <c r="E64" s="67" t="s">
        <v>74</v>
      </c>
      <c r="F64" s="52">
        <f>(F60)/7700</f>
        <v>18.821532467532467</v>
      </c>
      <c r="G64" s="53"/>
      <c r="H64" s="5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5"/>
      <c r="AF64" s="35"/>
      <c r="AG64" s="35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89"/>
      <c r="BD64" s="89"/>
      <c r="BE64" s="89"/>
      <c r="BF64" s="89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90" t="s">
        <v>74</v>
      </c>
      <c r="CC64" s="92"/>
      <c r="CD64" s="93"/>
      <c r="CE64" s="93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90" t="s">
        <v>74</v>
      </c>
      <c r="DB64" s="92"/>
      <c r="DC64" s="93"/>
      <c r="DD64" s="93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90" t="s">
        <v>74</v>
      </c>
      <c r="EA64" s="92"/>
      <c r="EB64" s="93"/>
      <c r="EC64" s="93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90" t="s">
        <v>74</v>
      </c>
      <c r="EZ64" s="92"/>
      <c r="FA64" s="93"/>
      <c r="FB64" s="93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4.45" customHeight="1">
      <c r="A65" s="2"/>
      <c r="B65" s="2"/>
      <c r="C65" s="2"/>
      <c r="D65" s="2"/>
      <c r="E65" s="67"/>
      <c r="F65" s="55"/>
      <c r="G65" s="56"/>
      <c r="H65" s="5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5"/>
      <c r="AE65" s="35"/>
      <c r="AF65" s="35"/>
      <c r="AG65" s="35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89"/>
      <c r="BD65" s="89"/>
      <c r="BE65" s="89"/>
      <c r="BF65" s="89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90"/>
      <c r="CC65" s="94"/>
      <c r="CD65" s="89"/>
      <c r="CE65" s="89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90"/>
      <c r="DB65" s="94"/>
      <c r="DC65" s="89"/>
      <c r="DD65" s="89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90"/>
      <c r="EA65" s="94"/>
      <c r="EB65" s="89"/>
      <c r="EC65" s="89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90"/>
      <c r="EZ65" s="94"/>
      <c r="FA65" s="89"/>
      <c r="FB65" s="89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4.45" customHeight="1">
      <c r="A66" s="2"/>
      <c r="B66" s="2"/>
      <c r="C66" s="2"/>
      <c r="D66" s="2"/>
      <c r="E66" s="67"/>
      <c r="F66" s="55"/>
      <c r="G66" s="56"/>
      <c r="H66" s="5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5"/>
      <c r="AE66" s="35"/>
      <c r="AF66" s="35"/>
      <c r="AG66" s="35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89"/>
      <c r="BD66" s="89"/>
      <c r="BE66" s="89"/>
      <c r="BF66" s="89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90"/>
      <c r="CC66" s="94"/>
      <c r="CD66" s="89"/>
      <c r="CE66" s="89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90"/>
      <c r="DB66" s="94"/>
      <c r="DC66" s="89"/>
      <c r="DD66" s="89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90"/>
      <c r="EA66" s="94"/>
      <c r="EB66" s="89"/>
      <c r="EC66" s="89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90"/>
      <c r="EZ66" s="94"/>
      <c r="FA66" s="89"/>
      <c r="FB66" s="89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5" customHeight="1" thickBot="1">
      <c r="A67" s="2"/>
      <c r="B67" s="2"/>
      <c r="C67" s="2"/>
      <c r="D67" s="2"/>
      <c r="E67" s="68"/>
      <c r="F67" s="55"/>
      <c r="G67" s="56"/>
      <c r="H67" s="5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5"/>
      <c r="AE67" s="35"/>
      <c r="AF67" s="35"/>
      <c r="AG67" s="35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89"/>
      <c r="BD67" s="89"/>
      <c r="BE67" s="89"/>
      <c r="BF67" s="89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91"/>
      <c r="CC67" s="94"/>
      <c r="CD67" s="89"/>
      <c r="CE67" s="89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91"/>
      <c r="DB67" s="94"/>
      <c r="DC67" s="89"/>
      <c r="DD67" s="89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91"/>
      <c r="EA67" s="94"/>
      <c r="EB67" s="89"/>
      <c r="EC67" s="89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91"/>
      <c r="EZ67" s="94"/>
      <c r="FA67" s="89"/>
      <c r="FB67" s="89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4.45" customHeight="1">
      <c r="A68" s="2"/>
      <c r="B68" s="2"/>
      <c r="C68" s="2"/>
      <c r="D68" s="2"/>
      <c r="E68" s="67" t="s">
        <v>78</v>
      </c>
      <c r="F68" s="52">
        <f>D3-F64</f>
        <v>159.17846753246752</v>
      </c>
      <c r="G68" s="53"/>
      <c r="H68" s="5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5"/>
      <c r="AE68" s="35"/>
      <c r="AF68" s="35"/>
      <c r="AG68" s="35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89"/>
      <c r="BD68" s="89"/>
      <c r="BE68" s="89"/>
      <c r="BF68" s="89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90" t="s">
        <v>75</v>
      </c>
      <c r="CC68" s="92"/>
      <c r="CD68" s="93"/>
      <c r="CE68" s="93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90" t="s">
        <v>75</v>
      </c>
      <c r="DB68" s="92"/>
      <c r="DC68" s="93"/>
      <c r="DD68" s="93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90" t="s">
        <v>75</v>
      </c>
      <c r="EA68" s="92"/>
      <c r="EB68" s="93"/>
      <c r="EC68" s="93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90" t="s">
        <v>75</v>
      </c>
      <c r="EZ68" s="92"/>
      <c r="FA68" s="93"/>
      <c r="FB68" s="93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4.45" customHeight="1">
      <c r="A69" s="2"/>
      <c r="B69" s="2"/>
      <c r="C69" s="2"/>
      <c r="D69" s="2"/>
      <c r="E69" s="67"/>
      <c r="F69" s="55"/>
      <c r="G69" s="56"/>
      <c r="H69" s="5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5"/>
      <c r="AE69" s="35"/>
      <c r="AF69" s="35"/>
      <c r="AG69" s="35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89"/>
      <c r="BD69" s="89"/>
      <c r="BE69" s="89"/>
      <c r="BF69" s="89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90"/>
      <c r="CC69" s="94"/>
      <c r="CD69" s="89"/>
      <c r="CE69" s="89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90"/>
      <c r="DB69" s="94"/>
      <c r="DC69" s="89"/>
      <c r="DD69" s="89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90"/>
      <c r="EA69" s="94"/>
      <c r="EB69" s="89"/>
      <c r="EC69" s="89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90"/>
      <c r="EZ69" s="94"/>
      <c r="FA69" s="89"/>
      <c r="FB69" s="89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4.45" customHeight="1">
      <c r="A70" s="2"/>
      <c r="B70" s="2"/>
      <c r="C70" s="2"/>
      <c r="D70" s="2"/>
      <c r="E70" s="67"/>
      <c r="F70" s="55"/>
      <c r="G70" s="56"/>
      <c r="H70" s="5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5"/>
      <c r="AE70" s="35"/>
      <c r="AF70" s="35"/>
      <c r="AG70" s="35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89"/>
      <c r="BD70" s="89"/>
      <c r="BE70" s="89"/>
      <c r="BF70" s="89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90"/>
      <c r="CC70" s="94"/>
      <c r="CD70" s="89"/>
      <c r="CE70" s="89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90"/>
      <c r="DB70" s="94"/>
      <c r="DC70" s="89"/>
      <c r="DD70" s="89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90"/>
      <c r="EA70" s="94"/>
      <c r="EB70" s="89"/>
      <c r="EC70" s="89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90"/>
      <c r="EZ70" s="94"/>
      <c r="FA70" s="89"/>
      <c r="FB70" s="89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" customHeight="1" thickBot="1">
      <c r="A71" s="2"/>
      <c r="B71" s="2"/>
      <c r="C71" s="2"/>
      <c r="D71" s="2"/>
      <c r="E71" s="68"/>
      <c r="F71" s="55"/>
      <c r="G71" s="56"/>
      <c r="H71" s="5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89"/>
      <c r="BD71" s="89"/>
      <c r="BE71" s="89"/>
      <c r="BF71" s="89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91"/>
      <c r="CC71" s="94"/>
      <c r="CD71" s="89"/>
      <c r="CE71" s="89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91"/>
      <c r="DB71" s="94"/>
      <c r="DC71" s="89"/>
      <c r="DD71" s="89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91"/>
      <c r="EA71" s="94"/>
      <c r="EB71" s="89"/>
      <c r="EC71" s="89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91"/>
      <c r="EZ71" s="94"/>
      <c r="FA71" s="89"/>
      <c r="FB71" s="89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4.45" customHeight="1">
      <c r="A72" s="2"/>
      <c r="B72" s="2"/>
      <c r="C72" s="2"/>
      <c r="D72" s="2"/>
      <c r="E72" s="67" t="s">
        <v>79</v>
      </c>
      <c r="F72" s="52">
        <f>148.95/(1.6^2)</f>
        <v>58.183593749999986</v>
      </c>
      <c r="G72" s="53"/>
      <c r="H72" s="5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89"/>
      <c r="BD72" s="89"/>
      <c r="BE72" s="89"/>
      <c r="BF72" s="89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90" t="s">
        <v>76</v>
      </c>
      <c r="CC72" s="92"/>
      <c r="CD72" s="93"/>
      <c r="CE72" s="93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90" t="s">
        <v>76</v>
      </c>
      <c r="DB72" s="92"/>
      <c r="DC72" s="93"/>
      <c r="DD72" s="93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90" t="s">
        <v>76</v>
      </c>
      <c r="EA72" s="92"/>
      <c r="EB72" s="93"/>
      <c r="EC72" s="93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90" t="s">
        <v>76</v>
      </c>
      <c r="EZ72" s="92"/>
      <c r="FA72" s="93"/>
      <c r="FB72" s="93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4.45" customHeight="1">
      <c r="A73" s="2"/>
      <c r="B73" s="2"/>
      <c r="C73" s="2"/>
      <c r="D73" s="2"/>
      <c r="E73" s="67"/>
      <c r="F73" s="55"/>
      <c r="G73" s="56"/>
      <c r="H73" s="5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89"/>
      <c r="BD73" s="89"/>
      <c r="BE73" s="89"/>
      <c r="BF73" s="89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90"/>
      <c r="CC73" s="94"/>
      <c r="CD73" s="89"/>
      <c r="CE73" s="89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90"/>
      <c r="DB73" s="94"/>
      <c r="DC73" s="89"/>
      <c r="DD73" s="89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90"/>
      <c r="EA73" s="94"/>
      <c r="EB73" s="89"/>
      <c r="EC73" s="89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90"/>
      <c r="EZ73" s="94"/>
      <c r="FA73" s="89"/>
      <c r="FB73" s="89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4.45" customHeight="1">
      <c r="A74" s="2"/>
      <c r="B74" s="2"/>
      <c r="C74" s="2"/>
      <c r="D74" s="2"/>
      <c r="E74" s="67"/>
      <c r="F74" s="55"/>
      <c r="G74" s="56"/>
      <c r="H74" s="5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89"/>
      <c r="BD74" s="89"/>
      <c r="BE74" s="89"/>
      <c r="BF74" s="89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90"/>
      <c r="CC74" s="94"/>
      <c r="CD74" s="89"/>
      <c r="CE74" s="89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90"/>
      <c r="DB74" s="94"/>
      <c r="DC74" s="89"/>
      <c r="DD74" s="89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90"/>
      <c r="EA74" s="94"/>
      <c r="EB74" s="89"/>
      <c r="EC74" s="89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90"/>
      <c r="EZ74" s="94"/>
      <c r="FA74" s="89"/>
      <c r="FB74" s="89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" customHeight="1" thickBot="1">
      <c r="A75" s="2"/>
      <c r="B75" s="2"/>
      <c r="C75" s="2"/>
      <c r="D75" s="2"/>
      <c r="E75" s="68"/>
      <c r="F75" s="55"/>
      <c r="G75" s="56"/>
      <c r="H75" s="5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89"/>
      <c r="BD75" s="89"/>
      <c r="BE75" s="89"/>
      <c r="BF75" s="89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91"/>
      <c r="CC75" s="94"/>
      <c r="CD75" s="89"/>
      <c r="CE75" s="89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91"/>
      <c r="DB75" s="94"/>
      <c r="DC75" s="89"/>
      <c r="DD75" s="89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91"/>
      <c r="EA75" s="94"/>
      <c r="EB75" s="89"/>
      <c r="EC75" s="89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91"/>
      <c r="EZ75" s="94"/>
      <c r="FA75" s="89"/>
      <c r="FB75" s="89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3">
    <mergeCell ref="A15:B18"/>
    <mergeCell ref="C15:C18"/>
    <mergeCell ref="D15:E18"/>
    <mergeCell ref="F15:F18"/>
    <mergeCell ref="A19:B22"/>
    <mergeCell ref="C19:C22"/>
    <mergeCell ref="D19:E22"/>
    <mergeCell ref="F19:F22"/>
    <mergeCell ref="B3:C4"/>
    <mergeCell ref="D3:D4"/>
    <mergeCell ref="A9:F10"/>
    <mergeCell ref="A11:B14"/>
    <mergeCell ref="C11:C14"/>
    <mergeCell ref="D11:E14"/>
    <mergeCell ref="F11:F14"/>
    <mergeCell ref="E72:E75"/>
    <mergeCell ref="F72:H75"/>
    <mergeCell ref="E50:H51"/>
    <mergeCell ref="E52:E55"/>
    <mergeCell ref="F52:H55"/>
    <mergeCell ref="E56:E59"/>
    <mergeCell ref="F56:H59"/>
    <mergeCell ref="E60:E63"/>
    <mergeCell ref="F60:H63"/>
    <mergeCell ref="I9:R10"/>
    <mergeCell ref="E64:E67"/>
    <mergeCell ref="F64:H67"/>
    <mergeCell ref="E68:E71"/>
    <mergeCell ref="F68:H71"/>
    <mergeCell ref="C33:F34"/>
    <mergeCell ref="C35:C38"/>
    <mergeCell ref="D35:D38"/>
    <mergeCell ref="E35:E38"/>
    <mergeCell ref="F35:F38"/>
    <mergeCell ref="C39:C42"/>
    <mergeCell ref="D39:D42"/>
    <mergeCell ref="E39:E42"/>
    <mergeCell ref="F39:F42"/>
    <mergeCell ref="EV3:EW4"/>
    <mergeCell ref="EX3:EX4"/>
    <mergeCell ref="Z9:AE10"/>
    <mergeCell ref="AH9:AQ10"/>
    <mergeCell ref="AY9:BD10"/>
    <mergeCell ref="BG9:BP10"/>
    <mergeCell ref="BX9:CC10"/>
    <mergeCell ref="CF9:CO10"/>
    <mergeCell ref="CW9:DB10"/>
    <mergeCell ref="DE9:DN10"/>
    <mergeCell ref="DV9:EA10"/>
    <mergeCell ref="ED9:EM10"/>
    <mergeCell ref="EU9:EZ10"/>
    <mergeCell ref="CA3:CA4"/>
    <mergeCell ref="CX3:CY4"/>
    <mergeCell ref="CZ3:CZ4"/>
    <mergeCell ref="DW3:DX4"/>
    <mergeCell ref="DY3:DY4"/>
    <mergeCell ref="AA3:AB4"/>
    <mergeCell ref="AC3:AC4"/>
    <mergeCell ref="AZ3:BA4"/>
    <mergeCell ref="BB3:BB4"/>
    <mergeCell ref="BY3:BZ4"/>
    <mergeCell ref="FC9:FL10"/>
    <mergeCell ref="Z11:AA14"/>
    <mergeCell ref="AB11:AB14"/>
    <mergeCell ref="AC11:AD14"/>
    <mergeCell ref="AE11:AE14"/>
    <mergeCell ref="AY11:AZ14"/>
    <mergeCell ref="BA11:BA14"/>
    <mergeCell ref="BB11:BC14"/>
    <mergeCell ref="BD11:BD14"/>
    <mergeCell ref="BX11:BY14"/>
    <mergeCell ref="BZ11:BZ14"/>
    <mergeCell ref="CA11:CB14"/>
    <mergeCell ref="CC11:CC14"/>
    <mergeCell ref="CW11:CX14"/>
    <mergeCell ref="CY11:CY14"/>
    <mergeCell ref="CZ11:DA14"/>
    <mergeCell ref="DB15:DB18"/>
    <mergeCell ref="DV15:DW18"/>
    <mergeCell ref="EU11:EV14"/>
    <mergeCell ref="EW11:EW14"/>
    <mergeCell ref="EX11:EY14"/>
    <mergeCell ref="EZ11:EZ14"/>
    <mergeCell ref="Z15:AA18"/>
    <mergeCell ref="AB15:AB18"/>
    <mergeCell ref="AC15:AD18"/>
    <mergeCell ref="AE15:AE18"/>
    <mergeCell ref="AY15:AZ18"/>
    <mergeCell ref="BA15:BA18"/>
    <mergeCell ref="BB15:BC18"/>
    <mergeCell ref="BD15:BD18"/>
    <mergeCell ref="BX15:BY18"/>
    <mergeCell ref="BZ15:BZ18"/>
    <mergeCell ref="CA15:CB18"/>
    <mergeCell ref="CC15:CC18"/>
    <mergeCell ref="DB11:DB14"/>
    <mergeCell ref="DV11:DW14"/>
    <mergeCell ref="DX11:DX14"/>
    <mergeCell ref="DY11:DZ14"/>
    <mergeCell ref="EA11:EA14"/>
    <mergeCell ref="EX15:EY18"/>
    <mergeCell ref="EZ15:EZ18"/>
    <mergeCell ref="Z19:AA22"/>
    <mergeCell ref="AB19:AB22"/>
    <mergeCell ref="AC19:AD22"/>
    <mergeCell ref="AE19:AE22"/>
    <mergeCell ref="AY19:AZ22"/>
    <mergeCell ref="BA19:BA22"/>
    <mergeCell ref="BB19:BC22"/>
    <mergeCell ref="BD19:BD22"/>
    <mergeCell ref="BX19:BY22"/>
    <mergeCell ref="BZ19:BZ22"/>
    <mergeCell ref="CA19:CB22"/>
    <mergeCell ref="CC19:CC22"/>
    <mergeCell ref="CW19:CX22"/>
    <mergeCell ref="CY19:CY22"/>
    <mergeCell ref="DX15:DX18"/>
    <mergeCell ref="DY15:DZ18"/>
    <mergeCell ref="EA15:EA18"/>
    <mergeCell ref="EU15:EV18"/>
    <mergeCell ref="EW15:EW18"/>
    <mergeCell ref="CW15:CX18"/>
    <mergeCell ref="CY15:CY18"/>
    <mergeCell ref="CZ15:DA18"/>
    <mergeCell ref="EA19:EA22"/>
    <mergeCell ref="EU19:EV22"/>
    <mergeCell ref="EW19:EW22"/>
    <mergeCell ref="EX19:EY22"/>
    <mergeCell ref="EZ19:EZ22"/>
    <mergeCell ref="CZ19:DA22"/>
    <mergeCell ref="DB19:DB22"/>
    <mergeCell ref="DV19:DW22"/>
    <mergeCell ref="DX19:DX22"/>
    <mergeCell ref="DY19:DZ22"/>
    <mergeCell ref="EW33:EZ34"/>
    <mergeCell ref="AB35:AB38"/>
    <mergeCell ref="AC35:AC38"/>
    <mergeCell ref="AD35:AD38"/>
    <mergeCell ref="AE35:AE38"/>
    <mergeCell ref="BA35:BA38"/>
    <mergeCell ref="BB35:BB38"/>
    <mergeCell ref="BC35:BC38"/>
    <mergeCell ref="BD35:BD38"/>
    <mergeCell ref="BZ35:BZ38"/>
    <mergeCell ref="CA35:CA38"/>
    <mergeCell ref="CB35:CB38"/>
    <mergeCell ref="CC35:CC38"/>
    <mergeCell ref="CY35:CY38"/>
    <mergeCell ref="CZ35:CZ38"/>
    <mergeCell ref="DA35:DA38"/>
    <mergeCell ref="AB33:AE34"/>
    <mergeCell ref="BA33:BD34"/>
    <mergeCell ref="BZ33:CC34"/>
    <mergeCell ref="CY33:DB34"/>
    <mergeCell ref="DX33:EA34"/>
    <mergeCell ref="EW35:EW38"/>
    <mergeCell ref="EX35:EX38"/>
    <mergeCell ref="EY35:EY38"/>
    <mergeCell ref="EZ35:EZ38"/>
    <mergeCell ref="AB39:AB42"/>
    <mergeCell ref="AC39:AC42"/>
    <mergeCell ref="AD39:AD42"/>
    <mergeCell ref="AE39:AE42"/>
    <mergeCell ref="BA39:BA42"/>
    <mergeCell ref="BB39:BB42"/>
    <mergeCell ref="BC39:BC42"/>
    <mergeCell ref="BD39:BD42"/>
    <mergeCell ref="BZ39:BZ42"/>
    <mergeCell ref="CA39:CA42"/>
    <mergeCell ref="CB39:CB42"/>
    <mergeCell ref="CC39:CC42"/>
    <mergeCell ref="DB35:DB38"/>
    <mergeCell ref="DX35:DX38"/>
    <mergeCell ref="DY35:DY38"/>
    <mergeCell ref="DZ35:DZ38"/>
    <mergeCell ref="EA35:EA38"/>
    <mergeCell ref="EY39:EY42"/>
    <mergeCell ref="EZ39:EZ42"/>
    <mergeCell ref="BC50:BF51"/>
    <mergeCell ref="CB50:CE51"/>
    <mergeCell ref="DA50:DD51"/>
    <mergeCell ref="DZ50:EC51"/>
    <mergeCell ref="EY50:FB51"/>
    <mergeCell ref="DY39:DY42"/>
    <mergeCell ref="DZ39:DZ42"/>
    <mergeCell ref="EA39:EA42"/>
    <mergeCell ref="EW39:EW42"/>
    <mergeCell ref="EX39:EX42"/>
    <mergeCell ref="CY39:CY42"/>
    <mergeCell ref="CZ39:CZ42"/>
    <mergeCell ref="DA39:DA42"/>
    <mergeCell ref="DB39:DB42"/>
    <mergeCell ref="DX39:DX42"/>
    <mergeCell ref="DB52:DD55"/>
    <mergeCell ref="DZ52:DZ55"/>
    <mergeCell ref="EA52:EC55"/>
    <mergeCell ref="EY52:EY55"/>
    <mergeCell ref="EZ52:FB55"/>
    <mergeCell ref="BC52:BC55"/>
    <mergeCell ref="BD52:BF55"/>
    <mergeCell ref="CB52:CB55"/>
    <mergeCell ref="CC52:CE55"/>
    <mergeCell ref="DA52:DA55"/>
    <mergeCell ref="DB56:DD59"/>
    <mergeCell ref="DZ56:DZ59"/>
    <mergeCell ref="EA56:EC59"/>
    <mergeCell ref="EY56:EY59"/>
    <mergeCell ref="EZ56:FB59"/>
    <mergeCell ref="BC56:BC59"/>
    <mergeCell ref="BD56:BF59"/>
    <mergeCell ref="CB56:CB59"/>
    <mergeCell ref="CC56:CE59"/>
    <mergeCell ref="DA56:DA59"/>
    <mergeCell ref="DB60:DD63"/>
    <mergeCell ref="DZ60:DZ63"/>
    <mergeCell ref="EA60:EC63"/>
    <mergeCell ref="EY60:EY63"/>
    <mergeCell ref="EZ60:FB63"/>
    <mergeCell ref="BC60:BC63"/>
    <mergeCell ref="BD60:BF63"/>
    <mergeCell ref="CB60:CB63"/>
    <mergeCell ref="CC60:CE63"/>
    <mergeCell ref="DA60:DA63"/>
    <mergeCell ref="DB64:DD67"/>
    <mergeCell ref="DZ64:DZ67"/>
    <mergeCell ref="EA64:EC67"/>
    <mergeCell ref="EY64:EY67"/>
    <mergeCell ref="EZ64:FB67"/>
    <mergeCell ref="BC64:BC67"/>
    <mergeCell ref="BD64:BF67"/>
    <mergeCell ref="CB64:CB67"/>
    <mergeCell ref="CC64:CE67"/>
    <mergeCell ref="DA64:DA67"/>
    <mergeCell ref="DB68:DD71"/>
    <mergeCell ref="DZ68:DZ71"/>
    <mergeCell ref="EA68:EC71"/>
    <mergeCell ref="EY68:EY71"/>
    <mergeCell ref="EZ68:FB71"/>
    <mergeCell ref="BC68:BC71"/>
    <mergeCell ref="BD68:BF71"/>
    <mergeCell ref="CB68:CB71"/>
    <mergeCell ref="CC68:CE71"/>
    <mergeCell ref="DA68:DA71"/>
    <mergeCell ref="DB72:DD75"/>
    <mergeCell ref="DZ72:DZ75"/>
    <mergeCell ref="EA72:EC75"/>
    <mergeCell ref="EY72:EY75"/>
    <mergeCell ref="EZ72:FB75"/>
    <mergeCell ref="BC72:BC75"/>
    <mergeCell ref="BD72:BF75"/>
    <mergeCell ref="CB72:CB75"/>
    <mergeCell ref="CC72:CE75"/>
    <mergeCell ref="DA72:DA75"/>
  </mergeCells>
  <conditionalFormatting sqref="F39:F42">
    <cfRule type="containsText" dxfId="55" priority="13" operator="containsText" text="Bad shape">
      <formula>NOT(ISERROR(SEARCH("Bad shape",F39)))</formula>
    </cfRule>
    <cfRule type="containsText" dxfId="54" priority="14" operator="containsText" text="Fit shape">
      <formula>NOT(ISERROR(SEARCH("Fit shape",F39)))</formula>
    </cfRule>
  </conditionalFormatting>
  <conditionalFormatting sqref="AE39:AE42">
    <cfRule type="containsText" dxfId="53" priority="11" operator="containsText" text="Bad shape">
      <formula>NOT(ISERROR(SEARCH("Bad shape",AE39)))</formula>
    </cfRule>
    <cfRule type="containsText" dxfId="52" priority="12" operator="containsText" text="Fit shape">
      <formula>NOT(ISERROR(SEARCH("Fit shape",AE39)))</formula>
    </cfRule>
  </conditionalFormatting>
  <conditionalFormatting sqref="BD39:BD42">
    <cfRule type="containsText" dxfId="51" priority="9" operator="containsText" text="Bad shape">
      <formula>NOT(ISERROR(SEARCH("Bad shape",BD39)))</formula>
    </cfRule>
    <cfRule type="containsText" dxfId="50" priority="10" operator="containsText" text="Fit shape">
      <formula>NOT(ISERROR(SEARCH("Fit shape",BD39)))</formula>
    </cfRule>
  </conditionalFormatting>
  <conditionalFormatting sqref="CC39:CC42">
    <cfRule type="containsText" dxfId="49" priority="7" operator="containsText" text="Bad shape">
      <formula>NOT(ISERROR(SEARCH("Bad shape",CC39)))</formula>
    </cfRule>
    <cfRule type="containsText" dxfId="48" priority="8" operator="containsText" text="Fit shape">
      <formula>NOT(ISERROR(SEARCH("Fit shape",CC39)))</formula>
    </cfRule>
  </conditionalFormatting>
  <conditionalFormatting sqref="DB39:DB42">
    <cfRule type="containsText" dxfId="47" priority="5" operator="containsText" text="Bad shape">
      <formula>NOT(ISERROR(SEARCH("Bad shape",DB39)))</formula>
    </cfRule>
    <cfRule type="containsText" dxfId="46" priority="6" operator="containsText" text="Fit shape">
      <formula>NOT(ISERROR(SEARCH("Fit shape",DB39)))</formula>
    </cfRule>
  </conditionalFormatting>
  <conditionalFormatting sqref="EA39:EA42">
    <cfRule type="containsText" dxfId="45" priority="3" operator="containsText" text="Bad shape">
      <formula>NOT(ISERROR(SEARCH("Bad shape",EA39)))</formula>
    </cfRule>
    <cfRule type="containsText" dxfId="44" priority="4" operator="containsText" text="Fit shape">
      <formula>NOT(ISERROR(SEARCH("Fit shape",EA39)))</formula>
    </cfRule>
  </conditionalFormatting>
  <conditionalFormatting sqref="EZ39:EZ42">
    <cfRule type="containsText" dxfId="43" priority="1" operator="containsText" text="Bad shape">
      <formula>NOT(ISERROR(SEARCH("Bad shape",EZ39)))</formula>
    </cfRule>
    <cfRule type="containsText" dxfId="42" priority="2" operator="containsText" text="Fit shape">
      <formula>NOT(ISERROR(SEARCH("Fit shape",EZ39)))</formula>
    </cfRule>
  </conditionalFormatting>
  <dataValidations count="4">
    <dataValidation type="list" allowBlank="1" showInputMessage="1" showErrorMessage="1" sqref="I13:J30 AH13:AI30 BG13:BH30 CF13:CG30 DE13:DF30 ED13:EE30 FC13:FD30" xr:uid="{37DE12C8-4EC0-4CBE-A8D0-28D2904C4A4D}">
      <formula1>EXERCISES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7974E139-0179-4ACA-BFFB-F5A2F7C930BD}">
      <formula1>DINNER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28F63B31-C725-4400-BBB6-3ECFCD73E317}">
      <formula1>LUNCH</formula1>
    </dataValidation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1B473ECF-2203-46B6-B55F-C96F79F48B2A}">
      <formula1>BREAKFAST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49E2-7284-46AA-BC9D-25695B1E5F31}">
  <dimension ref="A1:FS78"/>
  <sheetViews>
    <sheetView zoomScale="40" zoomScaleNormal="40" workbookViewId="0">
      <selection activeCell="F64" sqref="F64:H67"/>
    </sheetView>
  </sheetViews>
  <sheetFormatPr defaultRowHeight="14.45"/>
  <cols>
    <col min="3" max="3" width="35" customWidth="1"/>
    <col min="4" max="4" width="16.140625" customWidth="1"/>
    <col min="5" max="5" width="27.28515625" customWidth="1"/>
    <col min="6" max="6" width="17.85546875" customWidth="1"/>
    <col min="10" max="10" width="18.5703125" customWidth="1"/>
    <col min="11" max="11" width="15.28515625" customWidth="1"/>
    <col min="12" max="12" width="10.7109375" customWidth="1"/>
    <col min="13" max="13" width="11.140625" customWidth="1"/>
    <col min="15" max="15" width="15.42578125" customWidth="1"/>
    <col min="16" max="16" width="6.42578125" customWidth="1"/>
    <col min="17" max="17" width="15.2851562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 ht="14.45" customHeight="1">
      <c r="A3" s="2"/>
      <c r="B3" s="69" t="s">
        <v>40</v>
      </c>
      <c r="C3" s="75"/>
      <c r="D3" s="78">
        <v>159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9" t="s">
        <v>40</v>
      </c>
      <c r="AB3" s="75"/>
      <c r="AC3" s="78">
        <v>159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69" t="s">
        <v>40</v>
      </c>
      <c r="BA3" s="75"/>
      <c r="BB3" s="78">
        <v>159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69" t="s">
        <v>40</v>
      </c>
      <c r="BZ3" s="75"/>
      <c r="CA3" s="78">
        <v>159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69" t="s">
        <v>40</v>
      </c>
      <c r="CY3" s="75"/>
      <c r="CZ3" s="78">
        <v>159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69" t="s">
        <v>40</v>
      </c>
      <c r="DX3" s="75"/>
      <c r="DY3" s="78">
        <v>159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69" t="s">
        <v>40</v>
      </c>
      <c r="EW3" s="75"/>
      <c r="EX3" s="78">
        <v>159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" thickBot="1">
      <c r="A4" s="2"/>
      <c r="B4" s="76"/>
      <c r="C4" s="77"/>
      <c r="D4" s="7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76"/>
      <c r="AB4" s="77"/>
      <c r="AC4" s="79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76"/>
      <c r="BA4" s="77"/>
      <c r="BB4" s="79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76"/>
      <c r="BZ4" s="77"/>
      <c r="CA4" s="79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76"/>
      <c r="CY4" s="77"/>
      <c r="CZ4" s="79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76"/>
      <c r="DX4" s="77"/>
      <c r="DY4" s="79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76"/>
      <c r="EW4" s="77"/>
      <c r="EX4" s="79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 ht="14.45" customHeight="1">
      <c r="A9" s="61" t="s">
        <v>41</v>
      </c>
      <c r="B9" s="62"/>
      <c r="C9" s="62"/>
      <c r="D9" s="62"/>
      <c r="E9" s="62"/>
      <c r="F9" s="63"/>
      <c r="G9" s="15"/>
      <c r="H9" s="15"/>
      <c r="I9" s="69" t="s">
        <v>42</v>
      </c>
      <c r="J9" s="70"/>
      <c r="K9" s="70"/>
      <c r="L9" s="70"/>
      <c r="M9" s="70"/>
      <c r="N9" s="70"/>
      <c r="O9" s="70"/>
      <c r="P9" s="70"/>
      <c r="Q9" s="70"/>
      <c r="R9" s="71"/>
      <c r="S9" s="2"/>
      <c r="T9" s="2"/>
      <c r="U9" s="2"/>
      <c r="V9" s="2"/>
      <c r="W9" s="2"/>
      <c r="X9" s="2"/>
      <c r="Y9" s="2"/>
      <c r="Z9" s="61" t="s">
        <v>43</v>
      </c>
      <c r="AA9" s="62"/>
      <c r="AB9" s="62"/>
      <c r="AC9" s="62"/>
      <c r="AD9" s="62"/>
      <c r="AE9" s="63"/>
      <c r="AF9" s="15"/>
      <c r="AG9" s="15"/>
      <c r="AH9" s="69" t="s">
        <v>44</v>
      </c>
      <c r="AI9" s="70"/>
      <c r="AJ9" s="70"/>
      <c r="AK9" s="70"/>
      <c r="AL9" s="70"/>
      <c r="AM9" s="70"/>
      <c r="AN9" s="70"/>
      <c r="AO9" s="70"/>
      <c r="AP9" s="70"/>
      <c r="AQ9" s="71"/>
      <c r="AR9" s="2"/>
      <c r="AS9" s="2"/>
      <c r="AT9" s="2"/>
      <c r="AU9" s="2"/>
      <c r="AV9" s="2"/>
      <c r="AW9" s="2"/>
      <c r="AX9" s="2"/>
      <c r="AY9" s="61" t="s">
        <v>45</v>
      </c>
      <c r="AZ9" s="62"/>
      <c r="BA9" s="62"/>
      <c r="BB9" s="62"/>
      <c r="BC9" s="62"/>
      <c r="BD9" s="63"/>
      <c r="BE9" s="15"/>
      <c r="BF9" s="15"/>
      <c r="BG9" s="69" t="s">
        <v>46</v>
      </c>
      <c r="BH9" s="70"/>
      <c r="BI9" s="70"/>
      <c r="BJ9" s="70"/>
      <c r="BK9" s="70"/>
      <c r="BL9" s="70"/>
      <c r="BM9" s="70"/>
      <c r="BN9" s="70"/>
      <c r="BO9" s="70"/>
      <c r="BP9" s="71"/>
      <c r="BQ9" s="2"/>
      <c r="BR9" s="2"/>
      <c r="BS9" s="2"/>
      <c r="BT9" s="2"/>
      <c r="BU9" s="2"/>
      <c r="BV9" s="2"/>
      <c r="BW9" s="2"/>
      <c r="BX9" s="61" t="s">
        <v>47</v>
      </c>
      <c r="BY9" s="62"/>
      <c r="BZ9" s="62"/>
      <c r="CA9" s="62"/>
      <c r="CB9" s="62"/>
      <c r="CC9" s="63"/>
      <c r="CD9" s="15"/>
      <c r="CE9" s="15"/>
      <c r="CF9" s="69" t="s">
        <v>48</v>
      </c>
      <c r="CG9" s="70"/>
      <c r="CH9" s="70"/>
      <c r="CI9" s="70"/>
      <c r="CJ9" s="70"/>
      <c r="CK9" s="70"/>
      <c r="CL9" s="70"/>
      <c r="CM9" s="70"/>
      <c r="CN9" s="70"/>
      <c r="CO9" s="71"/>
      <c r="CP9" s="2"/>
      <c r="CQ9" s="2"/>
      <c r="CR9" s="2"/>
      <c r="CS9" s="2"/>
      <c r="CT9" s="2"/>
      <c r="CU9" s="2"/>
      <c r="CV9" s="2"/>
      <c r="CW9" s="61" t="s">
        <v>49</v>
      </c>
      <c r="CX9" s="62"/>
      <c r="CY9" s="62"/>
      <c r="CZ9" s="62"/>
      <c r="DA9" s="62"/>
      <c r="DB9" s="63"/>
      <c r="DC9" s="15"/>
      <c r="DD9" s="15"/>
      <c r="DE9" s="69" t="s">
        <v>50</v>
      </c>
      <c r="DF9" s="70"/>
      <c r="DG9" s="70"/>
      <c r="DH9" s="70"/>
      <c r="DI9" s="70"/>
      <c r="DJ9" s="70"/>
      <c r="DK9" s="70"/>
      <c r="DL9" s="70"/>
      <c r="DM9" s="70"/>
      <c r="DN9" s="71"/>
      <c r="DO9" s="2"/>
      <c r="DP9" s="2"/>
      <c r="DQ9" s="2"/>
      <c r="DR9" s="2"/>
      <c r="DS9" s="2"/>
      <c r="DT9" s="2"/>
      <c r="DU9" s="2"/>
      <c r="DV9" s="61" t="s">
        <v>51</v>
      </c>
      <c r="DW9" s="62"/>
      <c r="DX9" s="62"/>
      <c r="DY9" s="62"/>
      <c r="DZ9" s="62"/>
      <c r="EA9" s="63"/>
      <c r="EB9" s="15"/>
      <c r="EC9" s="15"/>
      <c r="ED9" s="69" t="s">
        <v>52</v>
      </c>
      <c r="EE9" s="70"/>
      <c r="EF9" s="70"/>
      <c r="EG9" s="70"/>
      <c r="EH9" s="70"/>
      <c r="EI9" s="70"/>
      <c r="EJ9" s="70"/>
      <c r="EK9" s="70"/>
      <c r="EL9" s="70"/>
      <c r="EM9" s="71"/>
      <c r="EN9" s="2"/>
      <c r="EO9" s="2"/>
      <c r="EP9" s="2"/>
      <c r="EQ9" s="2"/>
      <c r="ER9" s="2"/>
      <c r="ES9" s="2"/>
      <c r="ET9" s="2"/>
      <c r="EU9" s="61" t="s">
        <v>53</v>
      </c>
      <c r="EV9" s="62"/>
      <c r="EW9" s="62"/>
      <c r="EX9" s="62"/>
      <c r="EY9" s="62"/>
      <c r="EZ9" s="63"/>
      <c r="FA9" s="15"/>
      <c r="FB9" s="15"/>
      <c r="FC9" s="69" t="s">
        <v>54</v>
      </c>
      <c r="FD9" s="70"/>
      <c r="FE9" s="70"/>
      <c r="FF9" s="70"/>
      <c r="FG9" s="70"/>
      <c r="FH9" s="70"/>
      <c r="FI9" s="70"/>
      <c r="FJ9" s="70"/>
      <c r="FK9" s="70"/>
      <c r="FL9" s="71"/>
      <c r="FM9" s="2"/>
      <c r="FN9" s="2"/>
      <c r="FO9" s="2"/>
      <c r="FP9" s="2"/>
      <c r="FQ9" s="2"/>
      <c r="FR9" s="2"/>
      <c r="FS9" s="2"/>
    </row>
    <row r="10" spans="1:175" ht="15" customHeight="1" thickBot="1">
      <c r="A10" s="64"/>
      <c r="B10" s="65"/>
      <c r="C10" s="65"/>
      <c r="D10" s="65"/>
      <c r="E10" s="65"/>
      <c r="F10" s="66"/>
      <c r="G10" s="15"/>
      <c r="H10" s="15"/>
      <c r="I10" s="72"/>
      <c r="J10" s="73"/>
      <c r="K10" s="73"/>
      <c r="L10" s="73"/>
      <c r="M10" s="73"/>
      <c r="N10" s="73"/>
      <c r="O10" s="73"/>
      <c r="P10" s="73"/>
      <c r="Q10" s="73"/>
      <c r="R10" s="74"/>
      <c r="S10" s="2"/>
      <c r="T10" s="2"/>
      <c r="U10" s="2"/>
      <c r="V10" s="2"/>
      <c r="W10" s="2"/>
      <c r="X10" s="2"/>
      <c r="Y10" s="2"/>
      <c r="Z10" s="64"/>
      <c r="AA10" s="65"/>
      <c r="AB10" s="65"/>
      <c r="AC10" s="65"/>
      <c r="AD10" s="65"/>
      <c r="AE10" s="66"/>
      <c r="AF10" s="15"/>
      <c r="AG10" s="15"/>
      <c r="AH10" s="72"/>
      <c r="AI10" s="73"/>
      <c r="AJ10" s="73"/>
      <c r="AK10" s="73"/>
      <c r="AL10" s="73"/>
      <c r="AM10" s="73"/>
      <c r="AN10" s="73"/>
      <c r="AO10" s="73"/>
      <c r="AP10" s="73"/>
      <c r="AQ10" s="74"/>
      <c r="AR10" s="2"/>
      <c r="AS10" s="2"/>
      <c r="AT10" s="2"/>
      <c r="AU10" s="2"/>
      <c r="AV10" s="2"/>
      <c r="AW10" s="2"/>
      <c r="AX10" s="2"/>
      <c r="AY10" s="64"/>
      <c r="AZ10" s="65"/>
      <c r="BA10" s="65"/>
      <c r="BB10" s="65"/>
      <c r="BC10" s="65"/>
      <c r="BD10" s="66"/>
      <c r="BE10" s="15"/>
      <c r="BF10" s="15"/>
      <c r="BG10" s="72"/>
      <c r="BH10" s="73"/>
      <c r="BI10" s="73"/>
      <c r="BJ10" s="73"/>
      <c r="BK10" s="73"/>
      <c r="BL10" s="73"/>
      <c r="BM10" s="73"/>
      <c r="BN10" s="73"/>
      <c r="BO10" s="73"/>
      <c r="BP10" s="74"/>
      <c r="BQ10" s="2"/>
      <c r="BR10" s="2"/>
      <c r="BS10" s="2"/>
      <c r="BT10" s="2"/>
      <c r="BU10" s="2"/>
      <c r="BV10" s="2"/>
      <c r="BW10" s="2"/>
      <c r="BX10" s="64"/>
      <c r="BY10" s="65"/>
      <c r="BZ10" s="65"/>
      <c r="CA10" s="65"/>
      <c r="CB10" s="65"/>
      <c r="CC10" s="66"/>
      <c r="CD10" s="15"/>
      <c r="CE10" s="15"/>
      <c r="CF10" s="72"/>
      <c r="CG10" s="73"/>
      <c r="CH10" s="73"/>
      <c r="CI10" s="73"/>
      <c r="CJ10" s="73"/>
      <c r="CK10" s="73"/>
      <c r="CL10" s="73"/>
      <c r="CM10" s="73"/>
      <c r="CN10" s="73"/>
      <c r="CO10" s="74"/>
      <c r="CP10" s="2"/>
      <c r="CQ10" s="2"/>
      <c r="CR10" s="2"/>
      <c r="CS10" s="2"/>
      <c r="CT10" s="2"/>
      <c r="CU10" s="2"/>
      <c r="CV10" s="2"/>
      <c r="CW10" s="64"/>
      <c r="CX10" s="65"/>
      <c r="CY10" s="65"/>
      <c r="CZ10" s="65"/>
      <c r="DA10" s="65"/>
      <c r="DB10" s="66"/>
      <c r="DC10" s="15"/>
      <c r="DD10" s="15"/>
      <c r="DE10" s="72"/>
      <c r="DF10" s="73"/>
      <c r="DG10" s="73"/>
      <c r="DH10" s="73"/>
      <c r="DI10" s="73"/>
      <c r="DJ10" s="73"/>
      <c r="DK10" s="73"/>
      <c r="DL10" s="73"/>
      <c r="DM10" s="73"/>
      <c r="DN10" s="74"/>
      <c r="DO10" s="2"/>
      <c r="DP10" s="2"/>
      <c r="DQ10" s="2"/>
      <c r="DR10" s="2"/>
      <c r="DS10" s="2"/>
      <c r="DT10" s="2"/>
      <c r="DU10" s="2"/>
      <c r="DV10" s="64"/>
      <c r="DW10" s="65"/>
      <c r="DX10" s="65"/>
      <c r="DY10" s="65"/>
      <c r="DZ10" s="65"/>
      <c r="EA10" s="66"/>
      <c r="EB10" s="15"/>
      <c r="EC10" s="15"/>
      <c r="ED10" s="72"/>
      <c r="EE10" s="73"/>
      <c r="EF10" s="73"/>
      <c r="EG10" s="73"/>
      <c r="EH10" s="73"/>
      <c r="EI10" s="73"/>
      <c r="EJ10" s="73"/>
      <c r="EK10" s="73"/>
      <c r="EL10" s="73"/>
      <c r="EM10" s="74"/>
      <c r="EN10" s="2"/>
      <c r="EO10" s="2"/>
      <c r="EP10" s="2"/>
      <c r="EQ10" s="2"/>
      <c r="ER10" s="2"/>
      <c r="ES10" s="2"/>
      <c r="ET10" s="2"/>
      <c r="EU10" s="64"/>
      <c r="EV10" s="65"/>
      <c r="EW10" s="65"/>
      <c r="EX10" s="65"/>
      <c r="EY10" s="65"/>
      <c r="EZ10" s="66"/>
      <c r="FA10" s="15"/>
      <c r="FB10" s="15"/>
      <c r="FC10" s="72"/>
      <c r="FD10" s="73"/>
      <c r="FE10" s="73"/>
      <c r="FF10" s="73"/>
      <c r="FG10" s="73"/>
      <c r="FH10" s="73"/>
      <c r="FI10" s="73"/>
      <c r="FJ10" s="73"/>
      <c r="FK10" s="73"/>
      <c r="FL10" s="74"/>
      <c r="FM10" s="2"/>
      <c r="FN10" s="2"/>
      <c r="FO10" s="2"/>
      <c r="FP10" s="2"/>
      <c r="FQ10" s="2"/>
      <c r="FR10" s="2"/>
      <c r="FS10" s="2"/>
    </row>
    <row r="11" spans="1:175" ht="15.95">
      <c r="A11" s="52" t="s">
        <v>1</v>
      </c>
      <c r="B11" s="54"/>
      <c r="C11" s="82" t="s">
        <v>6</v>
      </c>
      <c r="D11" s="52" t="s">
        <v>55</v>
      </c>
      <c r="E11" s="54"/>
      <c r="F11" s="85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52" t="s">
        <v>1</v>
      </c>
      <c r="AA11" s="54"/>
      <c r="AB11" s="82" t="s">
        <v>7</v>
      </c>
      <c r="AC11" s="52" t="s">
        <v>55</v>
      </c>
      <c r="AD11" s="54"/>
      <c r="AE11" s="85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52" t="s">
        <v>1</v>
      </c>
      <c r="AZ11" s="54"/>
      <c r="BA11" s="82" t="s">
        <v>9</v>
      </c>
      <c r="BB11" s="52" t="s">
        <v>55</v>
      </c>
      <c r="BC11" s="54"/>
      <c r="BD11" s="85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52" t="s">
        <v>1</v>
      </c>
      <c r="BY11" s="54"/>
      <c r="BZ11" s="82" t="s">
        <v>11</v>
      </c>
      <c r="CA11" s="52" t="s">
        <v>55</v>
      </c>
      <c r="CB11" s="54"/>
      <c r="CC11" s="85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52" t="s">
        <v>1</v>
      </c>
      <c r="CX11" s="54"/>
      <c r="CY11" s="82" t="s">
        <v>13</v>
      </c>
      <c r="CZ11" s="52" t="s">
        <v>55</v>
      </c>
      <c r="DA11" s="54"/>
      <c r="DB11" s="85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52" t="s">
        <v>1</v>
      </c>
      <c r="DW11" s="54"/>
      <c r="DX11" s="82" t="s">
        <v>6</v>
      </c>
      <c r="DY11" s="52" t="s">
        <v>55</v>
      </c>
      <c r="DZ11" s="54"/>
      <c r="EA11" s="85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52" t="s">
        <v>1</v>
      </c>
      <c r="EV11" s="54"/>
      <c r="EW11" s="82" t="s">
        <v>6</v>
      </c>
      <c r="EX11" s="52" t="s">
        <v>55</v>
      </c>
      <c r="EY11" s="54"/>
      <c r="EZ11" s="85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6.5" thickBot="1">
      <c r="A12" s="55"/>
      <c r="B12" s="57"/>
      <c r="C12" s="83"/>
      <c r="D12" s="55"/>
      <c r="E12" s="57"/>
      <c r="F12" s="86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55"/>
      <c r="AA12" s="57"/>
      <c r="AB12" s="83"/>
      <c r="AC12" s="55"/>
      <c r="AD12" s="57"/>
      <c r="AE12" s="86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55"/>
      <c r="AZ12" s="57"/>
      <c r="BA12" s="83"/>
      <c r="BB12" s="55"/>
      <c r="BC12" s="57"/>
      <c r="BD12" s="86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55"/>
      <c r="BY12" s="57"/>
      <c r="BZ12" s="83"/>
      <c r="CA12" s="55"/>
      <c r="CB12" s="57"/>
      <c r="CC12" s="86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55"/>
      <c r="CX12" s="57"/>
      <c r="CY12" s="83"/>
      <c r="CZ12" s="55"/>
      <c r="DA12" s="57"/>
      <c r="DB12" s="86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55"/>
      <c r="DW12" s="57"/>
      <c r="DX12" s="83"/>
      <c r="DY12" s="55"/>
      <c r="DZ12" s="57"/>
      <c r="EA12" s="86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55"/>
      <c r="EV12" s="57"/>
      <c r="EW12" s="83"/>
      <c r="EX12" s="55"/>
      <c r="EY12" s="57"/>
      <c r="EZ12" s="86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15.95">
      <c r="A13" s="55"/>
      <c r="B13" s="57"/>
      <c r="C13" s="83"/>
      <c r="D13" s="55"/>
      <c r="E13" s="57"/>
      <c r="F13" s="86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874.5</v>
      </c>
      <c r="P13" s="21"/>
      <c r="Q13" s="20">
        <f>M13*O13</f>
        <v>1749</v>
      </c>
      <c r="R13" s="21"/>
      <c r="S13" s="2"/>
      <c r="T13" s="2"/>
      <c r="U13" s="2"/>
      <c r="V13" s="2"/>
      <c r="W13" s="2"/>
      <c r="X13" s="2"/>
      <c r="Y13" s="2"/>
      <c r="Z13" s="55"/>
      <c r="AA13" s="57"/>
      <c r="AB13" s="83"/>
      <c r="AC13" s="55"/>
      <c r="AD13" s="57"/>
      <c r="AE13" s="86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874.5</v>
      </c>
      <c r="AO13" s="21"/>
      <c r="AP13" s="20">
        <f>AL13*AN13</f>
        <v>1749</v>
      </c>
      <c r="AQ13" s="21"/>
      <c r="AR13" s="2"/>
      <c r="AS13" s="2"/>
      <c r="AT13" s="2"/>
      <c r="AU13" s="2"/>
      <c r="AV13" s="2"/>
      <c r="AW13" s="2"/>
      <c r="AX13" s="2"/>
      <c r="AY13" s="55"/>
      <c r="AZ13" s="57"/>
      <c r="BA13" s="83"/>
      <c r="BB13" s="55"/>
      <c r="BC13" s="57"/>
      <c r="BD13" s="86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874.5</v>
      </c>
      <c r="BN13" s="21"/>
      <c r="BO13" s="20">
        <f>BK13*BM13</f>
        <v>1749</v>
      </c>
      <c r="BP13" s="21"/>
      <c r="BQ13" s="2"/>
      <c r="BR13" s="2"/>
      <c r="BS13" s="2"/>
      <c r="BT13" s="2"/>
      <c r="BU13" s="2"/>
      <c r="BV13" s="2"/>
      <c r="BW13" s="2"/>
      <c r="BX13" s="55"/>
      <c r="BY13" s="57"/>
      <c r="BZ13" s="83"/>
      <c r="CA13" s="55"/>
      <c r="CB13" s="57"/>
      <c r="CC13" s="86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874.5</v>
      </c>
      <c r="CM13" s="21"/>
      <c r="CN13" s="20">
        <f>CJ13*CL13</f>
        <v>1749</v>
      </c>
      <c r="CO13" s="21"/>
      <c r="CP13" s="2"/>
      <c r="CQ13" s="2"/>
      <c r="CR13" s="2"/>
      <c r="CS13" s="2"/>
      <c r="CT13" s="2"/>
      <c r="CU13" s="2"/>
      <c r="CV13" s="2"/>
      <c r="CW13" s="55"/>
      <c r="CX13" s="57"/>
      <c r="CY13" s="83"/>
      <c r="CZ13" s="55"/>
      <c r="DA13" s="57"/>
      <c r="DB13" s="86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874.5</v>
      </c>
      <c r="DL13" s="21"/>
      <c r="DM13" s="20">
        <f>DI13*DK13</f>
        <v>1749</v>
      </c>
      <c r="DN13" s="21"/>
      <c r="DO13" s="2"/>
      <c r="DP13" s="2"/>
      <c r="DQ13" s="2"/>
      <c r="DR13" s="2"/>
      <c r="DS13" s="2"/>
      <c r="DT13" s="2"/>
      <c r="DU13" s="2"/>
      <c r="DV13" s="55"/>
      <c r="DW13" s="57"/>
      <c r="DX13" s="83"/>
      <c r="DY13" s="55"/>
      <c r="DZ13" s="57"/>
      <c r="EA13" s="86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874.5</v>
      </c>
      <c r="EK13" s="21"/>
      <c r="EL13" s="20">
        <f>EH13*EJ13</f>
        <v>1749</v>
      </c>
      <c r="EM13" s="21"/>
      <c r="EN13" s="2"/>
      <c r="EO13" s="2"/>
      <c r="EP13" s="2"/>
      <c r="EQ13" s="2"/>
      <c r="ER13" s="2"/>
      <c r="ES13" s="2"/>
      <c r="ET13" s="2"/>
      <c r="EU13" s="55"/>
      <c r="EV13" s="57"/>
      <c r="EW13" s="83"/>
      <c r="EX13" s="55"/>
      <c r="EY13" s="57"/>
      <c r="EZ13" s="86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874.5</v>
      </c>
      <c r="FJ13" s="21"/>
      <c r="FK13" s="20">
        <f>FG13*FI13</f>
        <v>1749</v>
      </c>
      <c r="FL13" s="21"/>
      <c r="FM13" s="2"/>
      <c r="FN13" s="2"/>
      <c r="FO13" s="2"/>
      <c r="FP13" s="2"/>
      <c r="FQ13" s="2"/>
      <c r="FR13" s="2"/>
      <c r="FS13" s="2"/>
    </row>
    <row r="14" spans="1:175" ht="16.5" thickBot="1">
      <c r="A14" s="80"/>
      <c r="B14" s="81"/>
      <c r="C14" s="84"/>
      <c r="D14" s="80"/>
      <c r="E14" s="81"/>
      <c r="F14" s="87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80"/>
      <c r="AA14" s="81"/>
      <c r="AB14" s="84"/>
      <c r="AC14" s="80"/>
      <c r="AD14" s="81"/>
      <c r="AE14" s="87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80"/>
      <c r="AZ14" s="81"/>
      <c r="BA14" s="84"/>
      <c r="BB14" s="80"/>
      <c r="BC14" s="81"/>
      <c r="BD14" s="87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80"/>
      <c r="BY14" s="81"/>
      <c r="BZ14" s="84"/>
      <c r="CA14" s="80"/>
      <c r="CB14" s="81"/>
      <c r="CC14" s="87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80"/>
      <c r="CX14" s="81"/>
      <c r="CY14" s="84"/>
      <c r="CZ14" s="80"/>
      <c r="DA14" s="81"/>
      <c r="DB14" s="87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80"/>
      <c r="DW14" s="81"/>
      <c r="DX14" s="84"/>
      <c r="DY14" s="80"/>
      <c r="DZ14" s="81"/>
      <c r="EA14" s="87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80"/>
      <c r="EV14" s="81"/>
      <c r="EW14" s="84"/>
      <c r="EX14" s="80"/>
      <c r="EY14" s="81"/>
      <c r="EZ14" s="87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6.5" thickBot="1">
      <c r="A15" s="52" t="s">
        <v>15</v>
      </c>
      <c r="B15" s="54"/>
      <c r="C15" s="82" t="s">
        <v>18</v>
      </c>
      <c r="D15" s="52" t="s">
        <v>55</v>
      </c>
      <c r="E15" s="54"/>
      <c r="F15" s="85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52" t="s">
        <v>15</v>
      </c>
      <c r="AA15" s="54"/>
      <c r="AB15" s="82" t="s">
        <v>20</v>
      </c>
      <c r="AC15" s="52" t="s">
        <v>55</v>
      </c>
      <c r="AD15" s="54"/>
      <c r="AE15" s="85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52" t="s">
        <v>15</v>
      </c>
      <c r="AZ15" s="54"/>
      <c r="BA15" s="82" t="s">
        <v>22</v>
      </c>
      <c r="BB15" s="52" t="s">
        <v>55</v>
      </c>
      <c r="BC15" s="54"/>
      <c r="BD15" s="85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52" t="s">
        <v>15</v>
      </c>
      <c r="BY15" s="54"/>
      <c r="BZ15" s="82" t="s">
        <v>24</v>
      </c>
      <c r="CA15" s="52" t="s">
        <v>55</v>
      </c>
      <c r="CB15" s="54"/>
      <c r="CC15" s="85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52" t="s">
        <v>15</v>
      </c>
      <c r="CX15" s="54"/>
      <c r="CY15" s="82" t="s">
        <v>26</v>
      </c>
      <c r="CZ15" s="52" t="s">
        <v>55</v>
      </c>
      <c r="DA15" s="54"/>
      <c r="DB15" s="85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52" t="s">
        <v>15</v>
      </c>
      <c r="DW15" s="54"/>
      <c r="DX15" s="82" t="s">
        <v>18</v>
      </c>
      <c r="DY15" s="52" t="s">
        <v>55</v>
      </c>
      <c r="DZ15" s="54"/>
      <c r="EA15" s="85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52" t="s">
        <v>15</v>
      </c>
      <c r="EV15" s="54"/>
      <c r="EW15" s="82" t="s">
        <v>18</v>
      </c>
      <c r="EX15" s="52" t="s">
        <v>55</v>
      </c>
      <c r="EY15" s="54"/>
      <c r="EZ15" s="85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15.95">
      <c r="A16" s="55"/>
      <c r="B16" s="57"/>
      <c r="C16" s="83"/>
      <c r="D16" s="55"/>
      <c r="E16" s="57"/>
      <c r="F16" s="86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1272</v>
      </c>
      <c r="P16" s="21"/>
      <c r="Q16" s="20">
        <f>M16*O16</f>
        <v>1272</v>
      </c>
      <c r="R16" s="21"/>
      <c r="S16" s="2"/>
      <c r="T16" s="2"/>
      <c r="U16" s="2"/>
      <c r="V16" s="2"/>
      <c r="W16" s="2"/>
      <c r="X16" s="2"/>
      <c r="Y16" s="2"/>
      <c r="Z16" s="55"/>
      <c r="AA16" s="57"/>
      <c r="AB16" s="83"/>
      <c r="AC16" s="55"/>
      <c r="AD16" s="57"/>
      <c r="AE16" s="86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1272</v>
      </c>
      <c r="AO16" s="21"/>
      <c r="AP16" s="20">
        <f>AL16*AN16</f>
        <v>1272</v>
      </c>
      <c r="AQ16" s="21"/>
      <c r="AR16" s="2"/>
      <c r="AS16" s="2"/>
      <c r="AT16" s="2"/>
      <c r="AU16" s="2"/>
      <c r="AV16" s="2"/>
      <c r="AW16" s="2"/>
      <c r="AX16" s="2"/>
      <c r="AY16" s="55"/>
      <c r="AZ16" s="57"/>
      <c r="BA16" s="83"/>
      <c r="BB16" s="55"/>
      <c r="BC16" s="57"/>
      <c r="BD16" s="86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1272</v>
      </c>
      <c r="BN16" s="21"/>
      <c r="BO16" s="20">
        <f>BK16*BM16</f>
        <v>1272</v>
      </c>
      <c r="BP16" s="21"/>
      <c r="BQ16" s="2"/>
      <c r="BR16" s="2"/>
      <c r="BS16" s="2"/>
      <c r="BT16" s="2"/>
      <c r="BU16" s="2"/>
      <c r="BV16" s="2"/>
      <c r="BW16" s="2"/>
      <c r="BX16" s="55"/>
      <c r="BY16" s="57"/>
      <c r="BZ16" s="83"/>
      <c r="CA16" s="55"/>
      <c r="CB16" s="57"/>
      <c r="CC16" s="86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1272</v>
      </c>
      <c r="CM16" s="21"/>
      <c r="CN16" s="20">
        <f>CJ16*CL16</f>
        <v>1272</v>
      </c>
      <c r="CO16" s="21"/>
      <c r="CP16" s="2"/>
      <c r="CQ16" s="2"/>
      <c r="CR16" s="2"/>
      <c r="CS16" s="2"/>
      <c r="CT16" s="2"/>
      <c r="CU16" s="2"/>
      <c r="CV16" s="2"/>
      <c r="CW16" s="55"/>
      <c r="CX16" s="57"/>
      <c r="CY16" s="83"/>
      <c r="CZ16" s="55"/>
      <c r="DA16" s="57"/>
      <c r="DB16" s="86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1272</v>
      </c>
      <c r="DL16" s="21"/>
      <c r="DM16" s="20">
        <f>DI16*DK16</f>
        <v>1272</v>
      </c>
      <c r="DN16" s="21"/>
      <c r="DO16" s="2"/>
      <c r="DP16" s="2"/>
      <c r="DQ16" s="2"/>
      <c r="DR16" s="2"/>
      <c r="DS16" s="2"/>
      <c r="DT16" s="2"/>
      <c r="DU16" s="2"/>
      <c r="DV16" s="55"/>
      <c r="DW16" s="57"/>
      <c r="DX16" s="83"/>
      <c r="DY16" s="55"/>
      <c r="DZ16" s="57"/>
      <c r="EA16" s="86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1272</v>
      </c>
      <c r="EK16" s="21"/>
      <c r="EL16" s="20">
        <f>EH16*EJ16</f>
        <v>1272</v>
      </c>
      <c r="EM16" s="21"/>
      <c r="EN16" s="2"/>
      <c r="EO16" s="2"/>
      <c r="EP16" s="2"/>
      <c r="EQ16" s="2"/>
      <c r="ER16" s="2"/>
      <c r="ES16" s="2"/>
      <c r="ET16" s="2"/>
      <c r="EU16" s="55"/>
      <c r="EV16" s="57"/>
      <c r="EW16" s="83"/>
      <c r="EX16" s="55"/>
      <c r="EY16" s="57"/>
      <c r="EZ16" s="86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1272</v>
      </c>
      <c r="FJ16" s="21"/>
      <c r="FK16" s="20">
        <f>FG16*FI16</f>
        <v>1272</v>
      </c>
      <c r="FL16" s="21"/>
      <c r="FM16" s="2"/>
      <c r="FN16" s="2"/>
      <c r="FO16" s="2"/>
      <c r="FP16" s="2"/>
      <c r="FQ16" s="2"/>
      <c r="FR16" s="2"/>
      <c r="FS16" s="2"/>
    </row>
    <row r="17" spans="1:175" ht="15.95">
      <c r="A17" s="55"/>
      <c r="B17" s="57"/>
      <c r="C17" s="83"/>
      <c r="D17" s="55"/>
      <c r="E17" s="57"/>
      <c r="F17" s="86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55"/>
      <c r="AA17" s="57"/>
      <c r="AB17" s="83"/>
      <c r="AC17" s="55"/>
      <c r="AD17" s="57"/>
      <c r="AE17" s="86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55"/>
      <c r="AZ17" s="57"/>
      <c r="BA17" s="83"/>
      <c r="BB17" s="55"/>
      <c r="BC17" s="57"/>
      <c r="BD17" s="86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55"/>
      <c r="BY17" s="57"/>
      <c r="BZ17" s="83"/>
      <c r="CA17" s="55"/>
      <c r="CB17" s="57"/>
      <c r="CC17" s="86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55"/>
      <c r="CX17" s="57"/>
      <c r="CY17" s="83"/>
      <c r="CZ17" s="55"/>
      <c r="DA17" s="57"/>
      <c r="DB17" s="86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55"/>
      <c r="DW17" s="57"/>
      <c r="DX17" s="83"/>
      <c r="DY17" s="55"/>
      <c r="DZ17" s="57"/>
      <c r="EA17" s="86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55"/>
      <c r="EV17" s="57"/>
      <c r="EW17" s="83"/>
      <c r="EX17" s="55"/>
      <c r="EY17" s="57"/>
      <c r="EZ17" s="86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6.5" thickBot="1">
      <c r="A18" s="80"/>
      <c r="B18" s="81"/>
      <c r="C18" s="84"/>
      <c r="D18" s="80"/>
      <c r="E18" s="81"/>
      <c r="F18" s="87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80"/>
      <c r="AA18" s="81"/>
      <c r="AB18" s="84"/>
      <c r="AC18" s="80"/>
      <c r="AD18" s="81"/>
      <c r="AE18" s="87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80"/>
      <c r="AZ18" s="81"/>
      <c r="BA18" s="84"/>
      <c r="BB18" s="80"/>
      <c r="BC18" s="81"/>
      <c r="BD18" s="87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80"/>
      <c r="BY18" s="81"/>
      <c r="BZ18" s="84"/>
      <c r="CA18" s="80"/>
      <c r="CB18" s="81"/>
      <c r="CC18" s="87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80"/>
      <c r="CX18" s="81"/>
      <c r="CY18" s="84"/>
      <c r="CZ18" s="80"/>
      <c r="DA18" s="81"/>
      <c r="DB18" s="87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80"/>
      <c r="DW18" s="81"/>
      <c r="DX18" s="84"/>
      <c r="DY18" s="80"/>
      <c r="DZ18" s="81"/>
      <c r="EA18" s="87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80"/>
      <c r="EV18" s="81"/>
      <c r="EW18" s="84"/>
      <c r="EX18" s="80"/>
      <c r="EY18" s="81"/>
      <c r="EZ18" s="87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15.95">
      <c r="A19" s="52" t="s">
        <v>27</v>
      </c>
      <c r="B19" s="54"/>
      <c r="C19" s="82" t="s">
        <v>28</v>
      </c>
      <c r="D19" s="52" t="s">
        <v>55</v>
      </c>
      <c r="E19" s="54"/>
      <c r="F19" s="85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636</v>
      </c>
      <c r="P19" s="21"/>
      <c r="Q19" s="20">
        <f>M19*O19</f>
        <v>636</v>
      </c>
      <c r="R19" s="21"/>
      <c r="S19" s="2"/>
      <c r="T19" s="2"/>
      <c r="U19" s="2"/>
      <c r="V19" s="2"/>
      <c r="W19" s="2"/>
      <c r="X19" s="2"/>
      <c r="Y19" s="2"/>
      <c r="Z19" s="52" t="s">
        <v>27</v>
      </c>
      <c r="AA19" s="54"/>
      <c r="AB19" s="82" t="s">
        <v>29</v>
      </c>
      <c r="AC19" s="52" t="s">
        <v>55</v>
      </c>
      <c r="AD19" s="54"/>
      <c r="AE19" s="85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636</v>
      </c>
      <c r="AO19" s="21"/>
      <c r="AP19" s="20">
        <f>AL19*AN19</f>
        <v>636</v>
      </c>
      <c r="AQ19" s="21"/>
      <c r="AR19" s="2"/>
      <c r="AS19" s="2"/>
      <c r="AT19" s="2"/>
      <c r="AU19" s="2"/>
      <c r="AV19" s="2"/>
      <c r="AW19" s="2"/>
      <c r="AX19" s="2"/>
      <c r="AY19" s="52" t="s">
        <v>27</v>
      </c>
      <c r="AZ19" s="54"/>
      <c r="BA19" s="82" t="s">
        <v>30</v>
      </c>
      <c r="BB19" s="52" t="s">
        <v>55</v>
      </c>
      <c r="BC19" s="54"/>
      <c r="BD19" s="85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636</v>
      </c>
      <c r="BN19" s="21"/>
      <c r="BO19" s="20">
        <f>BK19*BM19</f>
        <v>636</v>
      </c>
      <c r="BP19" s="21"/>
      <c r="BQ19" s="2"/>
      <c r="BR19" s="2"/>
      <c r="BS19" s="2"/>
      <c r="BT19" s="2"/>
      <c r="BU19" s="2"/>
      <c r="BV19" s="2"/>
      <c r="BW19" s="2"/>
      <c r="BX19" s="52" t="s">
        <v>27</v>
      </c>
      <c r="BY19" s="54"/>
      <c r="BZ19" s="82" t="s">
        <v>31</v>
      </c>
      <c r="CA19" s="52" t="s">
        <v>55</v>
      </c>
      <c r="CB19" s="54"/>
      <c r="CC19" s="85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636</v>
      </c>
      <c r="CM19" s="21"/>
      <c r="CN19" s="20">
        <f>CJ19*CL19</f>
        <v>636</v>
      </c>
      <c r="CO19" s="21"/>
      <c r="CP19" s="2"/>
      <c r="CQ19" s="2"/>
      <c r="CR19" s="2"/>
      <c r="CS19" s="2"/>
      <c r="CT19" s="2"/>
      <c r="CU19" s="2"/>
      <c r="CV19" s="2"/>
      <c r="CW19" s="52" t="s">
        <v>27</v>
      </c>
      <c r="CX19" s="54"/>
      <c r="CY19" s="82" t="s">
        <v>32</v>
      </c>
      <c r="CZ19" s="52" t="s">
        <v>55</v>
      </c>
      <c r="DA19" s="54"/>
      <c r="DB19" s="85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636</v>
      </c>
      <c r="DL19" s="21"/>
      <c r="DM19" s="20">
        <f>DI19*DK19</f>
        <v>636</v>
      </c>
      <c r="DN19" s="21"/>
      <c r="DO19" s="2"/>
      <c r="DP19" s="2"/>
      <c r="DQ19" s="2"/>
      <c r="DR19" s="2"/>
      <c r="DS19" s="2"/>
      <c r="DT19" s="2"/>
      <c r="DU19" s="2"/>
      <c r="DV19" s="52" t="s">
        <v>27</v>
      </c>
      <c r="DW19" s="54"/>
      <c r="DX19" s="82" t="s">
        <v>28</v>
      </c>
      <c r="DY19" s="52" t="s">
        <v>55</v>
      </c>
      <c r="DZ19" s="54"/>
      <c r="EA19" s="85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636</v>
      </c>
      <c r="EK19" s="21"/>
      <c r="EL19" s="20">
        <f>EH19*EJ19</f>
        <v>636</v>
      </c>
      <c r="EM19" s="21"/>
      <c r="EN19" s="2"/>
      <c r="EO19" s="2"/>
      <c r="EP19" s="2"/>
      <c r="EQ19" s="2"/>
      <c r="ER19" s="2"/>
      <c r="ES19" s="2"/>
      <c r="ET19" s="2"/>
      <c r="EU19" s="52" t="s">
        <v>27</v>
      </c>
      <c r="EV19" s="54"/>
      <c r="EW19" s="82" t="s">
        <v>28</v>
      </c>
      <c r="EX19" s="52" t="s">
        <v>55</v>
      </c>
      <c r="EY19" s="54"/>
      <c r="EZ19" s="85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636</v>
      </c>
      <c r="FJ19" s="21"/>
      <c r="FK19" s="20">
        <f>FG19*FI19</f>
        <v>636</v>
      </c>
      <c r="FL19" s="21"/>
      <c r="FM19" s="2"/>
      <c r="FN19" s="2"/>
      <c r="FO19" s="2"/>
      <c r="FP19" s="2"/>
      <c r="FQ19" s="2"/>
      <c r="FR19" s="2"/>
      <c r="FS19" s="2"/>
    </row>
    <row r="20" spans="1:175" ht="15.95">
      <c r="A20" s="55"/>
      <c r="B20" s="57"/>
      <c r="C20" s="83"/>
      <c r="D20" s="55"/>
      <c r="E20" s="57"/>
      <c r="F20" s="86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55"/>
      <c r="AA20" s="57"/>
      <c r="AB20" s="83"/>
      <c r="AC20" s="55"/>
      <c r="AD20" s="57"/>
      <c r="AE20" s="86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55"/>
      <c r="AZ20" s="57"/>
      <c r="BA20" s="83"/>
      <c r="BB20" s="55"/>
      <c r="BC20" s="57"/>
      <c r="BD20" s="86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55"/>
      <c r="BY20" s="57"/>
      <c r="BZ20" s="83"/>
      <c r="CA20" s="55"/>
      <c r="CB20" s="57"/>
      <c r="CC20" s="86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55"/>
      <c r="CX20" s="57"/>
      <c r="CY20" s="83"/>
      <c r="CZ20" s="55"/>
      <c r="DA20" s="57"/>
      <c r="DB20" s="86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55"/>
      <c r="DW20" s="57"/>
      <c r="DX20" s="83"/>
      <c r="DY20" s="55"/>
      <c r="DZ20" s="57"/>
      <c r="EA20" s="86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55"/>
      <c r="EV20" s="57"/>
      <c r="EW20" s="83"/>
      <c r="EX20" s="55"/>
      <c r="EY20" s="57"/>
      <c r="EZ20" s="86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6.5" thickBot="1">
      <c r="A21" s="55"/>
      <c r="B21" s="57"/>
      <c r="C21" s="83"/>
      <c r="D21" s="55"/>
      <c r="E21" s="57"/>
      <c r="F21" s="86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55"/>
      <c r="AA21" s="57"/>
      <c r="AB21" s="83"/>
      <c r="AC21" s="55"/>
      <c r="AD21" s="57"/>
      <c r="AE21" s="86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55"/>
      <c r="AZ21" s="57"/>
      <c r="BA21" s="83"/>
      <c r="BB21" s="55"/>
      <c r="BC21" s="57"/>
      <c r="BD21" s="86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55"/>
      <c r="BY21" s="57"/>
      <c r="BZ21" s="83"/>
      <c r="CA21" s="55"/>
      <c r="CB21" s="57"/>
      <c r="CC21" s="86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55"/>
      <c r="CX21" s="57"/>
      <c r="CY21" s="83"/>
      <c r="CZ21" s="55"/>
      <c r="DA21" s="57"/>
      <c r="DB21" s="86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55"/>
      <c r="DW21" s="57"/>
      <c r="DX21" s="83"/>
      <c r="DY21" s="55"/>
      <c r="DZ21" s="57"/>
      <c r="EA21" s="86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55"/>
      <c r="EV21" s="57"/>
      <c r="EW21" s="83"/>
      <c r="EX21" s="55"/>
      <c r="EY21" s="57"/>
      <c r="EZ21" s="86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6.5" thickBot="1">
      <c r="A22" s="80"/>
      <c r="B22" s="81"/>
      <c r="C22" s="84"/>
      <c r="D22" s="80"/>
      <c r="E22" s="81"/>
      <c r="F22" s="87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1558.2</v>
      </c>
      <c r="P22" s="21"/>
      <c r="Q22" s="20">
        <f>M22*O22</f>
        <v>1558.2</v>
      </c>
      <c r="R22" s="21"/>
      <c r="S22" s="2"/>
      <c r="T22" s="2"/>
      <c r="U22" s="2"/>
      <c r="V22" s="2"/>
      <c r="W22" s="2"/>
      <c r="X22" s="2"/>
      <c r="Y22" s="2"/>
      <c r="Z22" s="80"/>
      <c r="AA22" s="81"/>
      <c r="AB22" s="84"/>
      <c r="AC22" s="80"/>
      <c r="AD22" s="81"/>
      <c r="AE22" s="87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1558.2</v>
      </c>
      <c r="AO22" s="21"/>
      <c r="AP22" s="20">
        <f>AL22*AN22</f>
        <v>1558.2</v>
      </c>
      <c r="AQ22" s="21"/>
      <c r="AR22" s="2"/>
      <c r="AS22" s="2"/>
      <c r="AT22" s="2"/>
      <c r="AU22" s="2"/>
      <c r="AV22" s="2"/>
      <c r="AW22" s="2"/>
      <c r="AX22" s="2"/>
      <c r="AY22" s="80"/>
      <c r="AZ22" s="81"/>
      <c r="BA22" s="84"/>
      <c r="BB22" s="80"/>
      <c r="BC22" s="81"/>
      <c r="BD22" s="87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1558.2</v>
      </c>
      <c r="BN22" s="21"/>
      <c r="BO22" s="20">
        <f>BK22*BM22</f>
        <v>1558.2</v>
      </c>
      <c r="BP22" s="21"/>
      <c r="BQ22" s="2"/>
      <c r="BR22" s="2"/>
      <c r="BS22" s="2"/>
      <c r="BT22" s="2"/>
      <c r="BU22" s="2"/>
      <c r="BV22" s="2"/>
      <c r="BW22" s="2"/>
      <c r="BX22" s="80"/>
      <c r="BY22" s="81"/>
      <c r="BZ22" s="84"/>
      <c r="CA22" s="80"/>
      <c r="CB22" s="81"/>
      <c r="CC22" s="87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1558.2</v>
      </c>
      <c r="CM22" s="21"/>
      <c r="CN22" s="20">
        <f>CJ22*CL22</f>
        <v>1558.2</v>
      </c>
      <c r="CO22" s="21"/>
      <c r="CP22" s="2"/>
      <c r="CQ22" s="2"/>
      <c r="CR22" s="2"/>
      <c r="CS22" s="2"/>
      <c r="CT22" s="2"/>
      <c r="CU22" s="2"/>
      <c r="CV22" s="2"/>
      <c r="CW22" s="80"/>
      <c r="CX22" s="81"/>
      <c r="CY22" s="84"/>
      <c r="CZ22" s="80"/>
      <c r="DA22" s="81"/>
      <c r="DB22" s="87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1558.2</v>
      </c>
      <c r="DL22" s="21"/>
      <c r="DM22" s="20">
        <f>DI22*DK22</f>
        <v>1558.2</v>
      </c>
      <c r="DN22" s="21"/>
      <c r="DO22" s="2"/>
      <c r="DP22" s="2"/>
      <c r="DQ22" s="2"/>
      <c r="DR22" s="2"/>
      <c r="DS22" s="2"/>
      <c r="DT22" s="2"/>
      <c r="DU22" s="2"/>
      <c r="DV22" s="80"/>
      <c r="DW22" s="81"/>
      <c r="DX22" s="84"/>
      <c r="DY22" s="80"/>
      <c r="DZ22" s="81"/>
      <c r="EA22" s="87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1558.2</v>
      </c>
      <c r="EK22" s="21"/>
      <c r="EL22" s="20">
        <f>EH22*EJ22</f>
        <v>1558.2</v>
      </c>
      <c r="EM22" s="21"/>
      <c r="EN22" s="2"/>
      <c r="EO22" s="2"/>
      <c r="EP22" s="2"/>
      <c r="EQ22" s="2"/>
      <c r="ER22" s="2"/>
      <c r="ES22" s="2"/>
      <c r="ET22" s="2"/>
      <c r="EU22" s="80"/>
      <c r="EV22" s="81"/>
      <c r="EW22" s="84"/>
      <c r="EX22" s="80"/>
      <c r="EY22" s="81"/>
      <c r="EZ22" s="87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1558.2</v>
      </c>
      <c r="FJ22" s="21"/>
      <c r="FK22" s="20">
        <f>FG22*FI22</f>
        <v>1558.2</v>
      </c>
      <c r="FL22" s="21"/>
      <c r="FM22" s="2"/>
      <c r="FN22" s="2"/>
      <c r="FO22" s="2"/>
      <c r="FP22" s="2"/>
      <c r="FQ22" s="2"/>
      <c r="FR22" s="2"/>
      <c r="FS22" s="2"/>
    </row>
    <row r="23" spans="1:175" ht="15.95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6.5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.95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1590</v>
      </c>
      <c r="P25" s="21"/>
      <c r="Q25" s="20">
        <f>M25*O25</f>
        <v>3180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1590</v>
      </c>
      <c r="AO25" s="21"/>
      <c r="AP25" s="20">
        <f>AL25*AN25</f>
        <v>3180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1590</v>
      </c>
      <c r="BN25" s="21"/>
      <c r="BO25" s="20">
        <f>BK25*BM25</f>
        <v>3180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1590</v>
      </c>
      <c r="CM25" s="21"/>
      <c r="CN25" s="20">
        <f>CJ25*CL25</f>
        <v>3180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1590</v>
      </c>
      <c r="DL25" s="21"/>
      <c r="DM25" s="20">
        <f>DI25*DK25</f>
        <v>3180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1590</v>
      </c>
      <c r="EK25" s="21"/>
      <c r="EL25" s="20">
        <f>EH25*EJ25</f>
        <v>3180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1590</v>
      </c>
      <c r="FJ25" s="21"/>
      <c r="FK25" s="20">
        <f>FG25*FI25</f>
        <v>3180</v>
      </c>
      <c r="FL25" s="21"/>
      <c r="FM25" s="2"/>
      <c r="FN25" s="2"/>
      <c r="FO25" s="2"/>
      <c r="FP25" s="2"/>
      <c r="FQ25" s="2"/>
      <c r="FR25" s="2"/>
      <c r="FS25" s="2"/>
    </row>
    <row r="26" spans="1:175" ht="15.95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6.5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.95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1590</v>
      </c>
      <c r="P28" s="21"/>
      <c r="Q28" s="20">
        <f>M28*O28</f>
        <v>1590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1590</v>
      </c>
      <c r="AO28" s="21"/>
      <c r="AP28" s="20">
        <f>AL28*AN28</f>
        <v>1590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1590</v>
      </c>
      <c r="BN28" s="21"/>
      <c r="BO28" s="20">
        <f>BK28*BM28</f>
        <v>1590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1590</v>
      </c>
      <c r="CM28" s="21"/>
      <c r="CN28" s="20">
        <f>CJ28*CL28</f>
        <v>1590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1590</v>
      </c>
      <c r="DL28" s="21"/>
      <c r="DM28" s="20">
        <f>DI28*DK28</f>
        <v>1590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1590</v>
      </c>
      <c r="EK28" s="21"/>
      <c r="EL28" s="20">
        <f>EH28*EJ28</f>
        <v>1590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1590</v>
      </c>
      <c r="FJ28" s="21"/>
      <c r="FK28" s="20">
        <f>FG28*FI28</f>
        <v>1590</v>
      </c>
      <c r="FL28" s="21"/>
      <c r="FM28" s="2"/>
      <c r="FN28" s="2"/>
      <c r="FO28" s="2"/>
      <c r="FP28" s="2"/>
      <c r="FQ28" s="2"/>
      <c r="FR28" s="2"/>
      <c r="FS28" s="2"/>
    </row>
    <row r="29" spans="1:175" ht="15.95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6.5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8.600000000000001">
      <c r="A33" s="2"/>
      <c r="B33" s="2"/>
      <c r="C33" s="61" t="s">
        <v>61</v>
      </c>
      <c r="D33" s="62"/>
      <c r="E33" s="62"/>
      <c r="F33" s="63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61" t="s">
        <v>62</v>
      </c>
      <c r="AC33" s="62"/>
      <c r="AD33" s="62"/>
      <c r="AE33" s="63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61" t="s">
        <v>63</v>
      </c>
      <c r="BB33" s="62"/>
      <c r="BC33" s="62"/>
      <c r="BD33" s="63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61" t="s">
        <v>64</v>
      </c>
      <c r="CA33" s="62"/>
      <c r="CB33" s="62"/>
      <c r="CC33" s="63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61" t="s">
        <v>65</v>
      </c>
      <c r="CZ33" s="62"/>
      <c r="DA33" s="62"/>
      <c r="DB33" s="63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61" t="s">
        <v>66</v>
      </c>
      <c r="DY33" s="62"/>
      <c r="DZ33" s="62"/>
      <c r="EA33" s="63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61" t="s">
        <v>67</v>
      </c>
      <c r="EX33" s="62"/>
      <c r="EY33" s="62"/>
      <c r="EZ33" s="63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8.95" thickBot="1">
      <c r="A34" s="2"/>
      <c r="B34" s="2"/>
      <c r="C34" s="64"/>
      <c r="D34" s="65"/>
      <c r="E34" s="65"/>
      <c r="F34" s="66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64"/>
      <c r="AC34" s="65"/>
      <c r="AD34" s="65"/>
      <c r="AE34" s="66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64"/>
      <c r="BB34" s="65"/>
      <c r="BC34" s="65"/>
      <c r="BD34" s="66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64"/>
      <c r="CA34" s="65"/>
      <c r="CB34" s="65"/>
      <c r="CC34" s="66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64"/>
      <c r="CZ34" s="65"/>
      <c r="DA34" s="65"/>
      <c r="DB34" s="66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64"/>
      <c r="DY34" s="65"/>
      <c r="DZ34" s="65"/>
      <c r="EA34" s="66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64"/>
      <c r="EX34" s="65"/>
      <c r="EY34" s="65"/>
      <c r="EZ34" s="66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ht="14.45" customHeight="1">
      <c r="A35" s="2"/>
      <c r="B35" s="2"/>
      <c r="C35" s="67" t="s">
        <v>68</v>
      </c>
      <c r="D35" s="67">
        <f>F11+F15+F19</f>
        <v>1110</v>
      </c>
      <c r="E35" s="67" t="s">
        <v>69</v>
      </c>
      <c r="F35" s="67">
        <f>D35-D39</f>
        <v>-8875.2000000000007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67" t="s">
        <v>68</v>
      </c>
      <c r="AC35" s="67">
        <f>AE11+AE15+AE19</f>
        <v>1165</v>
      </c>
      <c r="AD35" s="67" t="s">
        <v>69</v>
      </c>
      <c r="AE35" s="67">
        <f>AC35-AC39</f>
        <v>-8820.2000000000007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67" t="s">
        <v>68</v>
      </c>
      <c r="BB35" s="67">
        <f>BD11+BD15+BD19</f>
        <v>1270</v>
      </c>
      <c r="BC35" s="67" t="s">
        <v>69</v>
      </c>
      <c r="BD35" s="67">
        <f>BB35-BB39</f>
        <v>-8715.2000000000007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67" t="s">
        <v>68</v>
      </c>
      <c r="CA35" s="67">
        <f>CC11+CC15+CC19</f>
        <v>1170</v>
      </c>
      <c r="CB35" s="67" t="s">
        <v>69</v>
      </c>
      <c r="CC35" s="67">
        <f>CA35-CA39</f>
        <v>-8815.2000000000007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67" t="s">
        <v>68</v>
      </c>
      <c r="CZ35" s="67">
        <f>DB11+DB15+DB19</f>
        <v>1120</v>
      </c>
      <c r="DA35" s="67" t="s">
        <v>69</v>
      </c>
      <c r="DB35" s="67">
        <f>CZ35-CZ39</f>
        <v>-8865.2000000000007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67" t="s">
        <v>68</v>
      </c>
      <c r="DY35" s="67">
        <f>EA11+EA15+EA19</f>
        <v>1110</v>
      </c>
      <c r="DZ35" s="67" t="s">
        <v>69</v>
      </c>
      <c r="EA35" s="67">
        <f>DY35-DY39</f>
        <v>-8875.2000000000007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67" t="s">
        <v>68</v>
      </c>
      <c r="EX35" s="67">
        <f>EZ11+EZ15+EZ19</f>
        <v>1110</v>
      </c>
      <c r="EY35" s="67" t="s">
        <v>69</v>
      </c>
      <c r="EZ35" s="67">
        <f>EX35-EX39</f>
        <v>-8875.2000000000007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ht="14.45" customHeight="1">
      <c r="A36" s="2"/>
      <c r="B36" s="2"/>
      <c r="C36" s="67"/>
      <c r="D36" s="67"/>
      <c r="E36" s="67"/>
      <c r="F36" s="67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67"/>
      <c r="AC36" s="67"/>
      <c r="AD36" s="67"/>
      <c r="AE36" s="67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67"/>
      <c r="BB36" s="67"/>
      <c r="BC36" s="67"/>
      <c r="BD36" s="67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67"/>
      <c r="CA36" s="67"/>
      <c r="CB36" s="67"/>
      <c r="CC36" s="67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67"/>
      <c r="CZ36" s="67"/>
      <c r="DA36" s="67"/>
      <c r="DB36" s="67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67"/>
      <c r="DY36" s="67"/>
      <c r="DZ36" s="67"/>
      <c r="EA36" s="67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67"/>
      <c r="EX36" s="67"/>
      <c r="EY36" s="67"/>
      <c r="EZ36" s="67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ht="14.45" customHeight="1">
      <c r="A37" s="2"/>
      <c r="B37" s="2"/>
      <c r="C37" s="67"/>
      <c r="D37" s="67"/>
      <c r="E37" s="67"/>
      <c r="F37" s="67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67"/>
      <c r="AC37" s="67"/>
      <c r="AD37" s="67"/>
      <c r="AE37" s="67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67"/>
      <c r="BB37" s="67"/>
      <c r="BC37" s="67"/>
      <c r="BD37" s="67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67"/>
      <c r="CA37" s="67"/>
      <c r="CB37" s="67"/>
      <c r="CC37" s="67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67"/>
      <c r="CZ37" s="67"/>
      <c r="DA37" s="67"/>
      <c r="DB37" s="67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67"/>
      <c r="DY37" s="67"/>
      <c r="DZ37" s="67"/>
      <c r="EA37" s="67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67"/>
      <c r="EX37" s="67"/>
      <c r="EY37" s="67"/>
      <c r="EZ37" s="67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" customHeight="1" thickBot="1">
      <c r="A38" s="2"/>
      <c r="B38" s="2"/>
      <c r="C38" s="68"/>
      <c r="D38" s="68"/>
      <c r="E38" s="68"/>
      <c r="F38" s="68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68"/>
      <c r="AC38" s="68"/>
      <c r="AD38" s="68"/>
      <c r="AE38" s="68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68"/>
      <c r="BB38" s="68"/>
      <c r="BC38" s="68"/>
      <c r="BD38" s="68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68"/>
      <c r="CA38" s="68"/>
      <c r="CB38" s="68"/>
      <c r="CC38" s="68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68"/>
      <c r="CZ38" s="68"/>
      <c r="DA38" s="68"/>
      <c r="DB38" s="68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68"/>
      <c r="DY38" s="68"/>
      <c r="DZ38" s="68"/>
      <c r="EA38" s="68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68"/>
      <c r="EX38" s="68"/>
      <c r="EY38" s="68"/>
      <c r="EZ38" s="68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ht="14.45" customHeight="1">
      <c r="A39" s="2"/>
      <c r="B39" s="2"/>
      <c r="C39" s="67" t="s">
        <v>70</v>
      </c>
      <c r="D39" s="67">
        <f>SUM(Q13:Q28)</f>
        <v>9985.2000000000007</v>
      </c>
      <c r="E39" s="67" t="s">
        <v>71</v>
      </c>
      <c r="F39" s="67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67" t="s">
        <v>70</v>
      </c>
      <c r="AC39" s="67">
        <f>SUM(AP13:AP28)</f>
        <v>9985.2000000000007</v>
      </c>
      <c r="AD39" s="67" t="s">
        <v>71</v>
      </c>
      <c r="AE39" s="67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67" t="s">
        <v>70</v>
      </c>
      <c r="BB39" s="67">
        <f>SUM(BO13:BO28)</f>
        <v>9985.2000000000007</v>
      </c>
      <c r="BC39" s="67" t="s">
        <v>71</v>
      </c>
      <c r="BD39" s="67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67" t="s">
        <v>70</v>
      </c>
      <c r="CA39" s="67">
        <f>SUM(CN13:CN28)</f>
        <v>9985.2000000000007</v>
      </c>
      <c r="CB39" s="67" t="s">
        <v>71</v>
      </c>
      <c r="CC39" s="67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67" t="s">
        <v>70</v>
      </c>
      <c r="CZ39" s="67">
        <f>SUM(DM13:DM28)</f>
        <v>9985.2000000000007</v>
      </c>
      <c r="DA39" s="67" t="s">
        <v>71</v>
      </c>
      <c r="DB39" s="67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67" t="s">
        <v>70</v>
      </c>
      <c r="DY39" s="67">
        <f>SUM(EL13:EL28)</f>
        <v>9985.2000000000007</v>
      </c>
      <c r="DZ39" s="67" t="s">
        <v>71</v>
      </c>
      <c r="EA39" s="67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67" t="s">
        <v>70</v>
      </c>
      <c r="EX39" s="67">
        <f>SUM(FK13:FK28)</f>
        <v>9985.2000000000007</v>
      </c>
      <c r="EY39" s="67" t="s">
        <v>71</v>
      </c>
      <c r="EZ39" s="67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ht="14.45" customHeight="1">
      <c r="A40" s="2"/>
      <c r="B40" s="2"/>
      <c r="C40" s="67"/>
      <c r="D40" s="67"/>
      <c r="E40" s="67"/>
      <c r="F40" s="67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67"/>
      <c r="AC40" s="67"/>
      <c r="AD40" s="67"/>
      <c r="AE40" s="67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67"/>
      <c r="BB40" s="67"/>
      <c r="BC40" s="67"/>
      <c r="BD40" s="67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67"/>
      <c r="CA40" s="67"/>
      <c r="CB40" s="67"/>
      <c r="CC40" s="67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67"/>
      <c r="CZ40" s="67"/>
      <c r="DA40" s="67"/>
      <c r="DB40" s="67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67"/>
      <c r="DY40" s="67"/>
      <c r="DZ40" s="67"/>
      <c r="EA40" s="67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67"/>
      <c r="EX40" s="67"/>
      <c r="EY40" s="67"/>
      <c r="EZ40" s="67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ht="14.45" customHeight="1">
      <c r="A41" s="2"/>
      <c r="B41" s="2"/>
      <c r="C41" s="67"/>
      <c r="D41" s="67"/>
      <c r="E41" s="67"/>
      <c r="F41" s="67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67"/>
      <c r="AC41" s="67"/>
      <c r="AD41" s="67"/>
      <c r="AE41" s="67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67"/>
      <c r="BB41" s="67"/>
      <c r="BC41" s="67"/>
      <c r="BD41" s="67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67"/>
      <c r="CA41" s="67"/>
      <c r="CB41" s="67"/>
      <c r="CC41" s="67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67"/>
      <c r="CZ41" s="67"/>
      <c r="DA41" s="67"/>
      <c r="DB41" s="67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67"/>
      <c r="DY41" s="67"/>
      <c r="DZ41" s="67"/>
      <c r="EA41" s="67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67"/>
      <c r="EX41" s="67"/>
      <c r="EY41" s="67"/>
      <c r="EZ41" s="67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customHeight="1" thickBot="1">
      <c r="A42" s="2"/>
      <c r="B42" s="2"/>
      <c r="C42" s="68"/>
      <c r="D42" s="68"/>
      <c r="E42" s="68"/>
      <c r="F42" s="68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68"/>
      <c r="AC42" s="68"/>
      <c r="AD42" s="68"/>
      <c r="AE42" s="68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68"/>
      <c r="BB42" s="68"/>
      <c r="BC42" s="68"/>
      <c r="BD42" s="68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68"/>
      <c r="CA42" s="68"/>
      <c r="CB42" s="68"/>
      <c r="CC42" s="68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68"/>
      <c r="CZ42" s="68"/>
      <c r="DA42" s="68"/>
      <c r="DB42" s="68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68"/>
      <c r="DY42" s="68"/>
      <c r="DZ42" s="68"/>
      <c r="EA42" s="68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68"/>
      <c r="EX42" s="68"/>
      <c r="EY42" s="68"/>
      <c r="EZ42" s="68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4.45" customHeight="1">
      <c r="A50" s="2"/>
      <c r="B50" s="2"/>
      <c r="C50" s="2"/>
      <c r="D50" s="2"/>
      <c r="E50" s="61" t="s">
        <v>72</v>
      </c>
      <c r="F50" s="62"/>
      <c r="G50" s="62"/>
      <c r="H50" s="63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88"/>
      <c r="BD50" s="88"/>
      <c r="BE50" s="88"/>
      <c r="BF50" s="88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95" t="s">
        <v>72</v>
      </c>
      <c r="CC50" s="96"/>
      <c r="CD50" s="96"/>
      <c r="CE50" s="97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95" t="s">
        <v>72</v>
      </c>
      <c r="DB50" s="96"/>
      <c r="DC50" s="96"/>
      <c r="DD50" s="97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95" t="s">
        <v>72</v>
      </c>
      <c r="EA50" s="96"/>
      <c r="EB50" s="96"/>
      <c r="EC50" s="97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95" t="s">
        <v>72</v>
      </c>
      <c r="EZ50" s="96"/>
      <c r="FA50" s="96"/>
      <c r="FB50" s="97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5" customHeight="1" thickBot="1">
      <c r="A51" s="2"/>
      <c r="B51" s="2"/>
      <c r="C51" s="2"/>
      <c r="D51" s="2"/>
      <c r="E51" s="64"/>
      <c r="F51" s="65"/>
      <c r="G51" s="65"/>
      <c r="H51" s="66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88"/>
      <c r="BD51" s="88"/>
      <c r="BE51" s="88"/>
      <c r="BF51" s="88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98"/>
      <c r="CC51" s="99"/>
      <c r="CD51" s="99"/>
      <c r="CE51" s="100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98"/>
      <c r="DB51" s="99"/>
      <c r="DC51" s="99"/>
      <c r="DD51" s="100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98"/>
      <c r="EA51" s="99"/>
      <c r="EB51" s="99"/>
      <c r="EC51" s="100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98"/>
      <c r="EZ51" s="99"/>
      <c r="FA51" s="99"/>
      <c r="FB51" s="100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4.45" customHeight="1">
      <c r="A52" s="2"/>
      <c r="B52" s="2"/>
      <c r="C52" s="2"/>
      <c r="D52" s="2"/>
      <c r="E52" s="67" t="s">
        <v>68</v>
      </c>
      <c r="F52" s="52">
        <f>F35+AE35+BD35+CC35+DB35+EA35+EZ35</f>
        <v>-61841.399999999994</v>
      </c>
      <c r="G52" s="53"/>
      <c r="H52" s="5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89"/>
      <c r="BD52" s="89"/>
      <c r="BE52" s="89"/>
      <c r="BF52" s="89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90" t="s">
        <v>68</v>
      </c>
      <c r="CC52" s="92"/>
      <c r="CD52" s="93"/>
      <c r="CE52" s="93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90" t="s">
        <v>68</v>
      </c>
      <c r="DB52" s="92"/>
      <c r="DC52" s="93"/>
      <c r="DD52" s="93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90" t="s">
        <v>68</v>
      </c>
      <c r="EA52" s="92"/>
      <c r="EB52" s="93"/>
      <c r="EC52" s="93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90" t="s">
        <v>68</v>
      </c>
      <c r="EZ52" s="92"/>
      <c r="FA52" s="93"/>
      <c r="FB52" s="93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4.45" customHeight="1">
      <c r="A53" s="2"/>
      <c r="B53" s="2"/>
      <c r="C53" s="2"/>
      <c r="D53" s="2"/>
      <c r="E53" s="67"/>
      <c r="F53" s="55"/>
      <c r="G53" s="56"/>
      <c r="H53" s="5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89"/>
      <c r="BD53" s="89"/>
      <c r="BE53" s="89"/>
      <c r="BF53" s="89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90"/>
      <c r="CC53" s="94"/>
      <c r="CD53" s="89"/>
      <c r="CE53" s="89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90"/>
      <c r="DB53" s="94"/>
      <c r="DC53" s="89"/>
      <c r="DD53" s="89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90"/>
      <c r="EA53" s="94"/>
      <c r="EB53" s="89"/>
      <c r="EC53" s="89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90"/>
      <c r="EZ53" s="94"/>
      <c r="FA53" s="89"/>
      <c r="FB53" s="89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4.45" customHeight="1">
      <c r="A54" s="2"/>
      <c r="B54" s="2"/>
      <c r="C54" s="2"/>
      <c r="D54" s="2"/>
      <c r="E54" s="67"/>
      <c r="F54" s="55"/>
      <c r="G54" s="56"/>
      <c r="H54" s="5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89"/>
      <c r="BD54" s="89"/>
      <c r="BE54" s="89"/>
      <c r="BF54" s="89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90"/>
      <c r="CC54" s="94"/>
      <c r="CD54" s="89"/>
      <c r="CE54" s="89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90"/>
      <c r="DB54" s="94"/>
      <c r="DC54" s="89"/>
      <c r="DD54" s="89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90"/>
      <c r="EA54" s="94"/>
      <c r="EB54" s="89"/>
      <c r="EC54" s="89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90"/>
      <c r="EZ54" s="94"/>
      <c r="FA54" s="89"/>
      <c r="FB54" s="89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5" customHeight="1" thickBot="1">
      <c r="A55" s="2"/>
      <c r="B55" s="2"/>
      <c r="C55" s="2"/>
      <c r="D55" s="2"/>
      <c r="E55" s="68"/>
      <c r="F55" s="55"/>
      <c r="G55" s="56"/>
      <c r="H55" s="5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89"/>
      <c r="BD55" s="89"/>
      <c r="BE55" s="89"/>
      <c r="BF55" s="89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91"/>
      <c r="CC55" s="94"/>
      <c r="CD55" s="89"/>
      <c r="CE55" s="89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91"/>
      <c r="DB55" s="94"/>
      <c r="DC55" s="89"/>
      <c r="DD55" s="89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91"/>
      <c r="EA55" s="94"/>
      <c r="EB55" s="89"/>
      <c r="EC55" s="89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91"/>
      <c r="EZ55" s="94"/>
      <c r="FA55" s="89"/>
      <c r="FB55" s="89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4.45" customHeight="1">
      <c r="A56" s="2"/>
      <c r="B56" s="2"/>
      <c r="C56" s="2"/>
      <c r="D56" s="2"/>
      <c r="E56" s="67" t="s">
        <v>70</v>
      </c>
      <c r="F56" s="52">
        <f>D39+AC39+BB39+CA39+CZ39+DY39+EX39</f>
        <v>69896.399999999994</v>
      </c>
      <c r="G56" s="53"/>
      <c r="H56" s="5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89"/>
      <c r="BD56" s="89"/>
      <c r="BE56" s="89"/>
      <c r="BF56" s="89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90" t="s">
        <v>70</v>
      </c>
      <c r="CC56" s="92"/>
      <c r="CD56" s="93"/>
      <c r="CE56" s="93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90" t="s">
        <v>70</v>
      </c>
      <c r="DB56" s="92"/>
      <c r="DC56" s="93"/>
      <c r="DD56" s="93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90" t="s">
        <v>70</v>
      </c>
      <c r="EA56" s="92"/>
      <c r="EB56" s="93"/>
      <c r="EC56" s="93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90" t="s">
        <v>70</v>
      </c>
      <c r="EZ56" s="92"/>
      <c r="FA56" s="93"/>
      <c r="FB56" s="93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4.45" customHeight="1">
      <c r="A57" s="2"/>
      <c r="B57" s="2"/>
      <c r="C57" s="2"/>
      <c r="D57" s="2"/>
      <c r="E57" s="67"/>
      <c r="F57" s="55"/>
      <c r="G57" s="56"/>
      <c r="H57" s="5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89"/>
      <c r="BD57" s="89"/>
      <c r="BE57" s="89"/>
      <c r="BF57" s="89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90"/>
      <c r="CC57" s="94"/>
      <c r="CD57" s="89"/>
      <c r="CE57" s="89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90"/>
      <c r="DB57" s="94"/>
      <c r="DC57" s="89"/>
      <c r="DD57" s="89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90"/>
      <c r="EA57" s="94"/>
      <c r="EB57" s="89"/>
      <c r="EC57" s="89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90"/>
      <c r="EZ57" s="94"/>
      <c r="FA57" s="89"/>
      <c r="FB57" s="89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4.45" customHeight="1">
      <c r="A58" s="2"/>
      <c r="B58" s="2"/>
      <c r="C58" s="2"/>
      <c r="D58" s="2"/>
      <c r="E58" s="67"/>
      <c r="F58" s="55"/>
      <c r="G58" s="56"/>
      <c r="H58" s="5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89"/>
      <c r="BD58" s="89"/>
      <c r="BE58" s="89"/>
      <c r="BF58" s="89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90"/>
      <c r="CC58" s="94"/>
      <c r="CD58" s="89"/>
      <c r="CE58" s="89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90"/>
      <c r="DB58" s="94"/>
      <c r="DC58" s="89"/>
      <c r="DD58" s="89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90"/>
      <c r="EA58" s="94"/>
      <c r="EB58" s="89"/>
      <c r="EC58" s="89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90"/>
      <c r="EZ58" s="94"/>
      <c r="FA58" s="89"/>
      <c r="FB58" s="89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5" customHeight="1" thickBot="1">
      <c r="A59" s="2"/>
      <c r="B59" s="2"/>
      <c r="C59" s="2"/>
      <c r="D59" s="2"/>
      <c r="E59" s="68"/>
      <c r="F59" s="55"/>
      <c r="G59" s="56"/>
      <c r="H59" s="5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89"/>
      <c r="BD59" s="89"/>
      <c r="BE59" s="89"/>
      <c r="BF59" s="89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91"/>
      <c r="CC59" s="94"/>
      <c r="CD59" s="89"/>
      <c r="CE59" s="89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91"/>
      <c r="DB59" s="94"/>
      <c r="DC59" s="89"/>
      <c r="DD59" s="89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91"/>
      <c r="EA59" s="94"/>
      <c r="EB59" s="89"/>
      <c r="EC59" s="89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91"/>
      <c r="EZ59" s="94"/>
      <c r="FA59" s="89"/>
      <c r="FB59" s="89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4.45" customHeight="1">
      <c r="A60" s="2"/>
      <c r="B60" s="2"/>
      <c r="C60" s="2"/>
      <c r="D60" s="2"/>
      <c r="E60" s="67" t="s">
        <v>73</v>
      </c>
      <c r="F60" s="52">
        <f>F56-F52</f>
        <v>131737.79999999999</v>
      </c>
      <c r="G60" s="53"/>
      <c r="H60" s="5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5"/>
      <c r="AE60" s="35"/>
      <c r="AF60" s="35"/>
      <c r="AG60" s="35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89"/>
      <c r="BD60" s="89"/>
      <c r="BE60" s="89"/>
      <c r="BF60" s="89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90" t="s">
        <v>73</v>
      </c>
      <c r="CC60" s="92"/>
      <c r="CD60" s="93"/>
      <c r="CE60" s="93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90" t="s">
        <v>73</v>
      </c>
      <c r="DB60" s="92"/>
      <c r="DC60" s="93"/>
      <c r="DD60" s="93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90" t="s">
        <v>73</v>
      </c>
      <c r="EA60" s="92"/>
      <c r="EB60" s="93"/>
      <c r="EC60" s="93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90" t="s">
        <v>73</v>
      </c>
      <c r="EZ60" s="92"/>
      <c r="FA60" s="93"/>
      <c r="FB60" s="93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4.45" customHeight="1">
      <c r="A61" s="2"/>
      <c r="B61" s="2"/>
      <c r="C61" s="2"/>
      <c r="D61" s="2"/>
      <c r="E61" s="67"/>
      <c r="F61" s="55"/>
      <c r="G61" s="56"/>
      <c r="H61" s="5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5"/>
      <c r="AE61" s="35"/>
      <c r="AF61" s="35"/>
      <c r="AG61" s="3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89"/>
      <c r="BD61" s="89"/>
      <c r="BE61" s="89"/>
      <c r="BF61" s="89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90"/>
      <c r="CC61" s="94"/>
      <c r="CD61" s="89"/>
      <c r="CE61" s="89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90"/>
      <c r="DB61" s="94"/>
      <c r="DC61" s="89"/>
      <c r="DD61" s="89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90"/>
      <c r="EA61" s="94"/>
      <c r="EB61" s="89"/>
      <c r="EC61" s="89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90"/>
      <c r="EZ61" s="94"/>
      <c r="FA61" s="89"/>
      <c r="FB61" s="89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4.45" customHeight="1">
      <c r="A62" s="2"/>
      <c r="B62" s="2"/>
      <c r="C62" s="2"/>
      <c r="D62" s="2"/>
      <c r="E62" s="67"/>
      <c r="F62" s="55"/>
      <c r="G62" s="56"/>
      <c r="H62" s="5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5"/>
      <c r="AE62" s="35"/>
      <c r="AF62" s="35"/>
      <c r="AG62" s="35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89"/>
      <c r="BD62" s="89"/>
      <c r="BE62" s="89"/>
      <c r="BF62" s="89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90"/>
      <c r="CC62" s="94"/>
      <c r="CD62" s="89"/>
      <c r="CE62" s="89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90"/>
      <c r="DB62" s="94"/>
      <c r="DC62" s="89"/>
      <c r="DD62" s="89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90"/>
      <c r="EA62" s="94"/>
      <c r="EB62" s="89"/>
      <c r="EC62" s="89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90"/>
      <c r="EZ62" s="94"/>
      <c r="FA62" s="89"/>
      <c r="FB62" s="89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5" customHeight="1" thickBot="1">
      <c r="A63" s="2"/>
      <c r="B63" s="2"/>
      <c r="C63" s="2"/>
      <c r="D63" s="2"/>
      <c r="E63" s="68"/>
      <c r="F63" s="55"/>
      <c r="G63" s="56"/>
      <c r="H63" s="5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5"/>
      <c r="AE63" s="35"/>
      <c r="AF63" s="35"/>
      <c r="AG63" s="35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89"/>
      <c r="BD63" s="89"/>
      <c r="BE63" s="89"/>
      <c r="BF63" s="89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91"/>
      <c r="CC63" s="94"/>
      <c r="CD63" s="89"/>
      <c r="CE63" s="89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91"/>
      <c r="DB63" s="94"/>
      <c r="DC63" s="89"/>
      <c r="DD63" s="89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91"/>
      <c r="EA63" s="94"/>
      <c r="EB63" s="89"/>
      <c r="EC63" s="89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91"/>
      <c r="EZ63" s="94"/>
      <c r="FA63" s="89"/>
      <c r="FB63" s="89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4.45" customHeight="1">
      <c r="A64" s="2"/>
      <c r="B64" s="2"/>
      <c r="C64" s="2"/>
      <c r="D64" s="2"/>
      <c r="E64" s="67" t="s">
        <v>74</v>
      </c>
      <c r="F64" s="52">
        <f>(F60)/7700</f>
        <v>17.108805194805193</v>
      </c>
      <c r="G64" s="53"/>
      <c r="H64" s="5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5"/>
      <c r="AF64" s="35"/>
      <c r="AG64" s="35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89"/>
      <c r="BD64" s="89"/>
      <c r="BE64" s="89"/>
      <c r="BF64" s="89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90" t="s">
        <v>74</v>
      </c>
      <c r="CC64" s="92"/>
      <c r="CD64" s="93"/>
      <c r="CE64" s="93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90" t="s">
        <v>74</v>
      </c>
      <c r="DB64" s="92"/>
      <c r="DC64" s="93"/>
      <c r="DD64" s="93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90" t="s">
        <v>74</v>
      </c>
      <c r="EA64" s="92"/>
      <c r="EB64" s="93"/>
      <c r="EC64" s="93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90" t="s">
        <v>74</v>
      </c>
      <c r="EZ64" s="92"/>
      <c r="FA64" s="93"/>
      <c r="FB64" s="93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4.45" customHeight="1">
      <c r="A65" s="2"/>
      <c r="B65" s="2"/>
      <c r="C65" s="2"/>
      <c r="D65" s="2"/>
      <c r="E65" s="67"/>
      <c r="F65" s="55"/>
      <c r="G65" s="56"/>
      <c r="H65" s="5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5"/>
      <c r="AE65" s="35"/>
      <c r="AF65" s="35"/>
      <c r="AG65" s="35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89"/>
      <c r="BD65" s="89"/>
      <c r="BE65" s="89"/>
      <c r="BF65" s="89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90"/>
      <c r="CC65" s="94"/>
      <c r="CD65" s="89"/>
      <c r="CE65" s="89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90"/>
      <c r="DB65" s="94"/>
      <c r="DC65" s="89"/>
      <c r="DD65" s="89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90"/>
      <c r="EA65" s="94"/>
      <c r="EB65" s="89"/>
      <c r="EC65" s="89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90"/>
      <c r="EZ65" s="94"/>
      <c r="FA65" s="89"/>
      <c r="FB65" s="89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4.45" customHeight="1">
      <c r="A66" s="2"/>
      <c r="B66" s="2"/>
      <c r="C66" s="2"/>
      <c r="D66" s="2"/>
      <c r="E66" s="67"/>
      <c r="F66" s="55"/>
      <c r="G66" s="56"/>
      <c r="H66" s="5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5"/>
      <c r="AE66" s="35"/>
      <c r="AF66" s="35"/>
      <c r="AG66" s="35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89"/>
      <c r="BD66" s="89"/>
      <c r="BE66" s="89"/>
      <c r="BF66" s="89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90"/>
      <c r="CC66" s="94"/>
      <c r="CD66" s="89"/>
      <c r="CE66" s="89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90"/>
      <c r="DB66" s="94"/>
      <c r="DC66" s="89"/>
      <c r="DD66" s="89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90"/>
      <c r="EA66" s="94"/>
      <c r="EB66" s="89"/>
      <c r="EC66" s="89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90"/>
      <c r="EZ66" s="94"/>
      <c r="FA66" s="89"/>
      <c r="FB66" s="89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5" customHeight="1" thickBot="1">
      <c r="A67" s="2"/>
      <c r="B67" s="2"/>
      <c r="C67" s="2"/>
      <c r="D67" s="2"/>
      <c r="E67" s="68"/>
      <c r="F67" s="55"/>
      <c r="G67" s="56"/>
      <c r="H67" s="5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5"/>
      <c r="AE67" s="35"/>
      <c r="AF67" s="35"/>
      <c r="AG67" s="35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89"/>
      <c r="BD67" s="89"/>
      <c r="BE67" s="89"/>
      <c r="BF67" s="89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91"/>
      <c r="CC67" s="94"/>
      <c r="CD67" s="89"/>
      <c r="CE67" s="89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91"/>
      <c r="DB67" s="94"/>
      <c r="DC67" s="89"/>
      <c r="DD67" s="89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91"/>
      <c r="EA67" s="94"/>
      <c r="EB67" s="89"/>
      <c r="EC67" s="89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91"/>
      <c r="EZ67" s="94"/>
      <c r="FA67" s="89"/>
      <c r="FB67" s="89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4.45" customHeight="1">
      <c r="A68" s="2"/>
      <c r="B68" s="2"/>
      <c r="C68" s="2"/>
      <c r="D68" s="2"/>
      <c r="E68" s="67" t="s">
        <v>80</v>
      </c>
      <c r="F68" s="52">
        <f>D3-F64</f>
        <v>141.8911948051948</v>
      </c>
      <c r="G68" s="53"/>
      <c r="H68" s="5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5"/>
      <c r="AE68" s="35"/>
      <c r="AF68" s="35"/>
      <c r="AG68" s="35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89"/>
      <c r="BD68" s="89"/>
      <c r="BE68" s="89"/>
      <c r="BF68" s="89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90" t="s">
        <v>75</v>
      </c>
      <c r="CC68" s="92"/>
      <c r="CD68" s="93"/>
      <c r="CE68" s="93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90" t="s">
        <v>75</v>
      </c>
      <c r="DB68" s="92"/>
      <c r="DC68" s="93"/>
      <c r="DD68" s="93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90" t="s">
        <v>75</v>
      </c>
      <c r="EA68" s="92"/>
      <c r="EB68" s="93"/>
      <c r="EC68" s="93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90" t="s">
        <v>75</v>
      </c>
      <c r="EZ68" s="92"/>
      <c r="FA68" s="93"/>
      <c r="FB68" s="93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4.45" customHeight="1">
      <c r="A69" s="2"/>
      <c r="B69" s="2"/>
      <c r="C69" s="2"/>
      <c r="D69" s="2"/>
      <c r="E69" s="67"/>
      <c r="F69" s="55"/>
      <c r="G69" s="56"/>
      <c r="H69" s="5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5"/>
      <c r="AE69" s="35"/>
      <c r="AF69" s="35"/>
      <c r="AG69" s="35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89"/>
      <c r="BD69" s="89"/>
      <c r="BE69" s="89"/>
      <c r="BF69" s="89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90"/>
      <c r="CC69" s="94"/>
      <c r="CD69" s="89"/>
      <c r="CE69" s="89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90"/>
      <c r="DB69" s="94"/>
      <c r="DC69" s="89"/>
      <c r="DD69" s="89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90"/>
      <c r="EA69" s="94"/>
      <c r="EB69" s="89"/>
      <c r="EC69" s="89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90"/>
      <c r="EZ69" s="94"/>
      <c r="FA69" s="89"/>
      <c r="FB69" s="89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4.45" customHeight="1">
      <c r="A70" s="2"/>
      <c r="B70" s="2"/>
      <c r="C70" s="2"/>
      <c r="D70" s="2"/>
      <c r="E70" s="67"/>
      <c r="F70" s="55"/>
      <c r="G70" s="56"/>
      <c r="H70" s="5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5"/>
      <c r="AE70" s="35"/>
      <c r="AF70" s="35"/>
      <c r="AG70" s="35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89"/>
      <c r="BD70" s="89"/>
      <c r="BE70" s="89"/>
      <c r="BF70" s="89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90"/>
      <c r="CC70" s="94"/>
      <c r="CD70" s="89"/>
      <c r="CE70" s="89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90"/>
      <c r="DB70" s="94"/>
      <c r="DC70" s="89"/>
      <c r="DD70" s="89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90"/>
      <c r="EA70" s="94"/>
      <c r="EB70" s="89"/>
      <c r="EC70" s="89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90"/>
      <c r="EZ70" s="94"/>
      <c r="FA70" s="89"/>
      <c r="FB70" s="89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" customHeight="1" thickBot="1">
      <c r="A71" s="2"/>
      <c r="B71" s="2"/>
      <c r="C71" s="2"/>
      <c r="D71" s="2"/>
      <c r="E71" s="68"/>
      <c r="F71" s="55"/>
      <c r="G71" s="56"/>
      <c r="H71" s="5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89"/>
      <c r="BD71" s="89"/>
      <c r="BE71" s="89"/>
      <c r="BF71" s="89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91"/>
      <c r="CC71" s="94"/>
      <c r="CD71" s="89"/>
      <c r="CE71" s="89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91"/>
      <c r="DB71" s="94"/>
      <c r="DC71" s="89"/>
      <c r="DD71" s="89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91"/>
      <c r="EA71" s="94"/>
      <c r="EB71" s="89"/>
      <c r="EC71" s="89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91"/>
      <c r="EZ71" s="94"/>
      <c r="FA71" s="89"/>
      <c r="FB71" s="89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4.45" customHeight="1">
      <c r="A72" s="2"/>
      <c r="B72" s="2"/>
      <c r="C72" s="2"/>
      <c r="D72" s="2"/>
      <c r="E72" s="67" t="s">
        <v>81</v>
      </c>
      <c r="F72" s="52">
        <f>148.95/(1.6^2)</f>
        <v>58.183593749999986</v>
      </c>
      <c r="G72" s="53"/>
      <c r="H72" s="5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89"/>
      <c r="BD72" s="89"/>
      <c r="BE72" s="89"/>
      <c r="BF72" s="89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90" t="s">
        <v>76</v>
      </c>
      <c r="CC72" s="92"/>
      <c r="CD72" s="93"/>
      <c r="CE72" s="93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90" t="s">
        <v>76</v>
      </c>
      <c r="DB72" s="92"/>
      <c r="DC72" s="93"/>
      <c r="DD72" s="93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90" t="s">
        <v>76</v>
      </c>
      <c r="EA72" s="92"/>
      <c r="EB72" s="93"/>
      <c r="EC72" s="93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90" t="s">
        <v>76</v>
      </c>
      <c r="EZ72" s="92"/>
      <c r="FA72" s="93"/>
      <c r="FB72" s="93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4.45" customHeight="1">
      <c r="A73" s="2"/>
      <c r="B73" s="2"/>
      <c r="C73" s="2"/>
      <c r="D73" s="2"/>
      <c r="E73" s="67"/>
      <c r="F73" s="55"/>
      <c r="G73" s="56"/>
      <c r="H73" s="5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89"/>
      <c r="BD73" s="89"/>
      <c r="BE73" s="89"/>
      <c r="BF73" s="89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90"/>
      <c r="CC73" s="94"/>
      <c r="CD73" s="89"/>
      <c r="CE73" s="89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90"/>
      <c r="DB73" s="94"/>
      <c r="DC73" s="89"/>
      <c r="DD73" s="89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90"/>
      <c r="EA73" s="94"/>
      <c r="EB73" s="89"/>
      <c r="EC73" s="89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90"/>
      <c r="EZ73" s="94"/>
      <c r="FA73" s="89"/>
      <c r="FB73" s="89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4.45" customHeight="1">
      <c r="A74" s="2"/>
      <c r="B74" s="2"/>
      <c r="C74" s="2"/>
      <c r="D74" s="2"/>
      <c r="E74" s="67"/>
      <c r="F74" s="55"/>
      <c r="G74" s="56"/>
      <c r="H74" s="5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89"/>
      <c r="BD74" s="89"/>
      <c r="BE74" s="89"/>
      <c r="BF74" s="89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90"/>
      <c r="CC74" s="94"/>
      <c r="CD74" s="89"/>
      <c r="CE74" s="89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90"/>
      <c r="DB74" s="94"/>
      <c r="DC74" s="89"/>
      <c r="DD74" s="89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90"/>
      <c r="EA74" s="94"/>
      <c r="EB74" s="89"/>
      <c r="EC74" s="89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90"/>
      <c r="EZ74" s="94"/>
      <c r="FA74" s="89"/>
      <c r="FB74" s="89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" customHeight="1" thickBot="1">
      <c r="A75" s="2"/>
      <c r="B75" s="2"/>
      <c r="C75" s="2"/>
      <c r="D75" s="2"/>
      <c r="E75" s="68"/>
      <c r="F75" s="55"/>
      <c r="G75" s="56"/>
      <c r="H75" s="5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89"/>
      <c r="BD75" s="89"/>
      <c r="BE75" s="89"/>
      <c r="BF75" s="89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91"/>
      <c r="CC75" s="94"/>
      <c r="CD75" s="89"/>
      <c r="CE75" s="89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91"/>
      <c r="DB75" s="94"/>
      <c r="DC75" s="89"/>
      <c r="DD75" s="89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91"/>
      <c r="EA75" s="94"/>
      <c r="EB75" s="89"/>
      <c r="EC75" s="89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91"/>
      <c r="EZ75" s="94"/>
      <c r="FA75" s="89"/>
      <c r="FB75" s="89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3">
    <mergeCell ref="I9:R10"/>
    <mergeCell ref="A11:B14"/>
    <mergeCell ref="C11:C14"/>
    <mergeCell ref="D11:E14"/>
    <mergeCell ref="F11:F14"/>
    <mergeCell ref="A15:B18"/>
    <mergeCell ref="C15:C18"/>
    <mergeCell ref="D15:E18"/>
    <mergeCell ref="F15:F18"/>
    <mergeCell ref="A19:B22"/>
    <mergeCell ref="C19:C22"/>
    <mergeCell ref="D19:E22"/>
    <mergeCell ref="F19:F22"/>
    <mergeCell ref="B3:C4"/>
    <mergeCell ref="D3:D4"/>
    <mergeCell ref="A9:F10"/>
    <mergeCell ref="E64:E67"/>
    <mergeCell ref="F64:H67"/>
    <mergeCell ref="E68:E71"/>
    <mergeCell ref="F68:H71"/>
    <mergeCell ref="E72:E75"/>
    <mergeCell ref="F72:H75"/>
    <mergeCell ref="E60:E63"/>
    <mergeCell ref="F60:H63"/>
    <mergeCell ref="C33:F34"/>
    <mergeCell ref="C35:C38"/>
    <mergeCell ref="D35:D38"/>
    <mergeCell ref="E35:E38"/>
    <mergeCell ref="F35:F38"/>
    <mergeCell ref="C39:C42"/>
    <mergeCell ref="D39:D42"/>
    <mergeCell ref="E39:E42"/>
    <mergeCell ref="F39:F42"/>
    <mergeCell ref="E50:H51"/>
    <mergeCell ref="E52:E55"/>
    <mergeCell ref="F52:H55"/>
    <mergeCell ref="E56:E59"/>
    <mergeCell ref="F56:H59"/>
    <mergeCell ref="EV3:EW4"/>
    <mergeCell ref="EX3:EX4"/>
    <mergeCell ref="Z9:AE10"/>
    <mergeCell ref="AH9:AQ10"/>
    <mergeCell ref="AY9:BD10"/>
    <mergeCell ref="BG9:BP10"/>
    <mergeCell ref="BX9:CC10"/>
    <mergeCell ref="CF9:CO10"/>
    <mergeCell ref="CW9:DB10"/>
    <mergeCell ref="DE9:DN10"/>
    <mergeCell ref="DV9:EA10"/>
    <mergeCell ref="ED9:EM10"/>
    <mergeCell ref="EU9:EZ10"/>
    <mergeCell ref="CA3:CA4"/>
    <mergeCell ref="CX3:CY4"/>
    <mergeCell ref="CZ3:CZ4"/>
    <mergeCell ref="DW3:DX4"/>
    <mergeCell ref="DY3:DY4"/>
    <mergeCell ref="AA3:AB4"/>
    <mergeCell ref="AC3:AC4"/>
    <mergeCell ref="AZ3:BA4"/>
    <mergeCell ref="BB3:BB4"/>
    <mergeCell ref="BY3:BZ4"/>
    <mergeCell ref="FC9:FL10"/>
    <mergeCell ref="Z11:AA14"/>
    <mergeCell ref="AB11:AB14"/>
    <mergeCell ref="AC11:AD14"/>
    <mergeCell ref="AE11:AE14"/>
    <mergeCell ref="AY11:AZ14"/>
    <mergeCell ref="BA11:BA14"/>
    <mergeCell ref="BB11:BC14"/>
    <mergeCell ref="BD11:BD14"/>
    <mergeCell ref="BX11:BY14"/>
    <mergeCell ref="BZ11:BZ14"/>
    <mergeCell ref="CA11:CB14"/>
    <mergeCell ref="CC11:CC14"/>
    <mergeCell ref="CW11:CX14"/>
    <mergeCell ref="CY11:CY14"/>
    <mergeCell ref="CZ11:DA14"/>
    <mergeCell ref="DB15:DB18"/>
    <mergeCell ref="DV15:DW18"/>
    <mergeCell ref="EU11:EV14"/>
    <mergeCell ref="EW11:EW14"/>
    <mergeCell ref="EX11:EY14"/>
    <mergeCell ref="EZ11:EZ14"/>
    <mergeCell ref="Z15:AA18"/>
    <mergeCell ref="AB15:AB18"/>
    <mergeCell ref="AC15:AD18"/>
    <mergeCell ref="AE15:AE18"/>
    <mergeCell ref="AY15:AZ18"/>
    <mergeCell ref="BA15:BA18"/>
    <mergeCell ref="BB15:BC18"/>
    <mergeCell ref="BD15:BD18"/>
    <mergeCell ref="BX15:BY18"/>
    <mergeCell ref="BZ15:BZ18"/>
    <mergeCell ref="CA15:CB18"/>
    <mergeCell ref="CC15:CC18"/>
    <mergeCell ref="DB11:DB14"/>
    <mergeCell ref="DV11:DW14"/>
    <mergeCell ref="DX11:DX14"/>
    <mergeCell ref="DY11:DZ14"/>
    <mergeCell ref="EA11:EA14"/>
    <mergeCell ref="EX15:EY18"/>
    <mergeCell ref="EZ15:EZ18"/>
    <mergeCell ref="Z19:AA22"/>
    <mergeCell ref="AB19:AB22"/>
    <mergeCell ref="AC19:AD22"/>
    <mergeCell ref="AE19:AE22"/>
    <mergeCell ref="AY19:AZ22"/>
    <mergeCell ref="BA19:BA22"/>
    <mergeCell ref="BB19:BC22"/>
    <mergeCell ref="BD19:BD22"/>
    <mergeCell ref="BX19:BY22"/>
    <mergeCell ref="BZ19:BZ22"/>
    <mergeCell ref="CA19:CB22"/>
    <mergeCell ref="CC19:CC22"/>
    <mergeCell ref="CW19:CX22"/>
    <mergeCell ref="CY19:CY22"/>
    <mergeCell ref="DX15:DX18"/>
    <mergeCell ref="DY15:DZ18"/>
    <mergeCell ref="EA15:EA18"/>
    <mergeCell ref="EU15:EV18"/>
    <mergeCell ref="EW15:EW18"/>
    <mergeCell ref="CW15:CX18"/>
    <mergeCell ref="CY15:CY18"/>
    <mergeCell ref="CZ15:DA18"/>
    <mergeCell ref="EA19:EA22"/>
    <mergeCell ref="EU19:EV22"/>
    <mergeCell ref="EW19:EW22"/>
    <mergeCell ref="EX19:EY22"/>
    <mergeCell ref="EZ19:EZ22"/>
    <mergeCell ref="CZ19:DA22"/>
    <mergeCell ref="DB19:DB22"/>
    <mergeCell ref="DV19:DW22"/>
    <mergeCell ref="DX19:DX22"/>
    <mergeCell ref="DY19:DZ22"/>
    <mergeCell ref="EW33:EZ34"/>
    <mergeCell ref="AB35:AB38"/>
    <mergeCell ref="AC35:AC38"/>
    <mergeCell ref="AD35:AD38"/>
    <mergeCell ref="AE35:AE38"/>
    <mergeCell ref="BA35:BA38"/>
    <mergeCell ref="BB35:BB38"/>
    <mergeCell ref="BC35:BC38"/>
    <mergeCell ref="BD35:BD38"/>
    <mergeCell ref="BZ35:BZ38"/>
    <mergeCell ref="CA35:CA38"/>
    <mergeCell ref="CB35:CB38"/>
    <mergeCell ref="CC35:CC38"/>
    <mergeCell ref="CY35:CY38"/>
    <mergeCell ref="CZ35:CZ38"/>
    <mergeCell ref="DA35:DA38"/>
    <mergeCell ref="AB33:AE34"/>
    <mergeCell ref="BA33:BD34"/>
    <mergeCell ref="BZ33:CC34"/>
    <mergeCell ref="CY33:DB34"/>
    <mergeCell ref="DX33:EA34"/>
    <mergeCell ref="EW35:EW38"/>
    <mergeCell ref="EX35:EX38"/>
    <mergeCell ref="EY35:EY38"/>
    <mergeCell ref="EZ35:EZ38"/>
    <mergeCell ref="AB39:AB42"/>
    <mergeCell ref="AC39:AC42"/>
    <mergeCell ref="AD39:AD42"/>
    <mergeCell ref="AE39:AE42"/>
    <mergeCell ref="BA39:BA42"/>
    <mergeCell ref="BB39:BB42"/>
    <mergeCell ref="BC39:BC42"/>
    <mergeCell ref="BD39:BD42"/>
    <mergeCell ref="BZ39:BZ42"/>
    <mergeCell ref="CA39:CA42"/>
    <mergeCell ref="CB39:CB42"/>
    <mergeCell ref="CC39:CC42"/>
    <mergeCell ref="DB35:DB38"/>
    <mergeCell ref="DX35:DX38"/>
    <mergeCell ref="DY35:DY38"/>
    <mergeCell ref="DZ35:DZ38"/>
    <mergeCell ref="EA35:EA38"/>
    <mergeCell ref="EY39:EY42"/>
    <mergeCell ref="EZ39:EZ42"/>
    <mergeCell ref="BC50:BF51"/>
    <mergeCell ref="CB50:CE51"/>
    <mergeCell ref="DA50:DD51"/>
    <mergeCell ref="DZ50:EC51"/>
    <mergeCell ref="EY50:FB51"/>
    <mergeCell ref="DY39:DY42"/>
    <mergeCell ref="DZ39:DZ42"/>
    <mergeCell ref="EA39:EA42"/>
    <mergeCell ref="EW39:EW42"/>
    <mergeCell ref="EX39:EX42"/>
    <mergeCell ref="CY39:CY42"/>
    <mergeCell ref="CZ39:CZ42"/>
    <mergeCell ref="DA39:DA42"/>
    <mergeCell ref="DB39:DB42"/>
    <mergeCell ref="DX39:DX42"/>
    <mergeCell ref="DB52:DD55"/>
    <mergeCell ref="DZ52:DZ55"/>
    <mergeCell ref="EA52:EC55"/>
    <mergeCell ref="EY52:EY55"/>
    <mergeCell ref="EZ52:FB55"/>
    <mergeCell ref="BC52:BC55"/>
    <mergeCell ref="BD52:BF55"/>
    <mergeCell ref="CB52:CB55"/>
    <mergeCell ref="CC52:CE55"/>
    <mergeCell ref="DA52:DA55"/>
    <mergeCell ref="DB56:DD59"/>
    <mergeCell ref="DZ56:DZ59"/>
    <mergeCell ref="EA56:EC59"/>
    <mergeCell ref="EY56:EY59"/>
    <mergeCell ref="EZ56:FB59"/>
    <mergeCell ref="BC56:BC59"/>
    <mergeCell ref="BD56:BF59"/>
    <mergeCell ref="CB56:CB59"/>
    <mergeCell ref="CC56:CE59"/>
    <mergeCell ref="DA56:DA59"/>
    <mergeCell ref="DB60:DD63"/>
    <mergeCell ref="DZ60:DZ63"/>
    <mergeCell ref="EA60:EC63"/>
    <mergeCell ref="EY60:EY63"/>
    <mergeCell ref="EZ60:FB63"/>
    <mergeCell ref="BC60:BC63"/>
    <mergeCell ref="BD60:BF63"/>
    <mergeCell ref="CB60:CB63"/>
    <mergeCell ref="CC60:CE63"/>
    <mergeCell ref="DA60:DA63"/>
    <mergeCell ref="DB64:DD67"/>
    <mergeCell ref="DZ64:DZ67"/>
    <mergeCell ref="EA64:EC67"/>
    <mergeCell ref="EY64:EY67"/>
    <mergeCell ref="EZ64:FB67"/>
    <mergeCell ref="BC64:BC67"/>
    <mergeCell ref="BD64:BF67"/>
    <mergeCell ref="CB64:CB67"/>
    <mergeCell ref="CC64:CE67"/>
    <mergeCell ref="DA64:DA67"/>
    <mergeCell ref="DB68:DD71"/>
    <mergeCell ref="DZ68:DZ71"/>
    <mergeCell ref="EA68:EC71"/>
    <mergeCell ref="EY68:EY71"/>
    <mergeCell ref="EZ68:FB71"/>
    <mergeCell ref="BC68:BC71"/>
    <mergeCell ref="BD68:BF71"/>
    <mergeCell ref="CB68:CB71"/>
    <mergeCell ref="CC68:CE71"/>
    <mergeCell ref="DA68:DA71"/>
    <mergeCell ref="DB72:DD75"/>
    <mergeCell ref="DZ72:DZ75"/>
    <mergeCell ref="EA72:EC75"/>
    <mergeCell ref="EY72:EY75"/>
    <mergeCell ref="EZ72:FB75"/>
    <mergeCell ref="BC72:BC75"/>
    <mergeCell ref="BD72:BF75"/>
    <mergeCell ref="CB72:CB75"/>
    <mergeCell ref="CC72:CE75"/>
    <mergeCell ref="DA72:DA75"/>
  </mergeCells>
  <conditionalFormatting sqref="F39:F42">
    <cfRule type="containsText" dxfId="41" priority="13" operator="containsText" text="Bad shape">
      <formula>NOT(ISERROR(SEARCH("Bad shape",F39)))</formula>
    </cfRule>
    <cfRule type="containsText" dxfId="40" priority="14" operator="containsText" text="Fit shape">
      <formula>NOT(ISERROR(SEARCH("Fit shape",F39)))</formula>
    </cfRule>
  </conditionalFormatting>
  <conditionalFormatting sqref="AE39:AE42">
    <cfRule type="containsText" dxfId="39" priority="11" operator="containsText" text="Bad shape">
      <formula>NOT(ISERROR(SEARCH("Bad shape",AE39)))</formula>
    </cfRule>
    <cfRule type="containsText" dxfId="38" priority="12" operator="containsText" text="Fit shape">
      <formula>NOT(ISERROR(SEARCH("Fit shape",AE39)))</formula>
    </cfRule>
  </conditionalFormatting>
  <conditionalFormatting sqref="BD39:BD42">
    <cfRule type="containsText" dxfId="37" priority="9" operator="containsText" text="Bad shape">
      <formula>NOT(ISERROR(SEARCH("Bad shape",BD39)))</formula>
    </cfRule>
    <cfRule type="containsText" dxfId="36" priority="10" operator="containsText" text="Fit shape">
      <formula>NOT(ISERROR(SEARCH("Fit shape",BD39)))</formula>
    </cfRule>
  </conditionalFormatting>
  <conditionalFormatting sqref="CC39:CC42">
    <cfRule type="containsText" dxfId="35" priority="7" operator="containsText" text="Bad shape">
      <formula>NOT(ISERROR(SEARCH("Bad shape",CC39)))</formula>
    </cfRule>
    <cfRule type="containsText" dxfId="34" priority="8" operator="containsText" text="Fit shape">
      <formula>NOT(ISERROR(SEARCH("Fit shape",CC39)))</formula>
    </cfRule>
  </conditionalFormatting>
  <conditionalFormatting sqref="DB39:DB42">
    <cfRule type="containsText" dxfId="33" priority="5" operator="containsText" text="Bad shape">
      <formula>NOT(ISERROR(SEARCH("Bad shape",DB39)))</formula>
    </cfRule>
    <cfRule type="containsText" dxfId="32" priority="6" operator="containsText" text="Fit shape">
      <formula>NOT(ISERROR(SEARCH("Fit shape",DB39)))</formula>
    </cfRule>
  </conditionalFormatting>
  <conditionalFormatting sqref="EA39:EA42">
    <cfRule type="containsText" dxfId="31" priority="3" operator="containsText" text="Bad shape">
      <formula>NOT(ISERROR(SEARCH("Bad shape",EA39)))</formula>
    </cfRule>
    <cfRule type="containsText" dxfId="30" priority="4" operator="containsText" text="Fit shape">
      <formula>NOT(ISERROR(SEARCH("Fit shape",EA39)))</formula>
    </cfRule>
  </conditionalFormatting>
  <conditionalFormatting sqref="EZ39:EZ42">
    <cfRule type="containsText" dxfId="29" priority="1" operator="containsText" text="Bad shape">
      <formula>NOT(ISERROR(SEARCH("Bad shape",EZ39)))</formula>
    </cfRule>
    <cfRule type="containsText" dxfId="28" priority="2" operator="containsText" text="Fit shape">
      <formula>NOT(ISERROR(SEARCH("Fit shape",EZ39)))</formula>
    </cfRule>
  </conditionalFormatting>
  <dataValidations count="4"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A645BBDC-37CC-47B2-BDFE-4E90EA4D2143}">
      <formula1>BREAKFAST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5016AD5B-6D18-4E8E-B3BC-4BEAECBDECEF}">
      <formula1>LUNCH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2DB00C70-42A2-4C9D-80EC-8D6376245B6E}">
      <formula1>DINNER</formula1>
    </dataValidation>
    <dataValidation type="list" allowBlank="1" showInputMessage="1" showErrorMessage="1" sqref="I13:J30 AH13:AI30 BG13:BH30 CF13:CG30 DE13:DF30 ED13:EE30 FC13:FD30" xr:uid="{00283460-121D-419C-A74A-8D2923775F32}">
      <formula1>EXERCISES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3B68-2105-4B6B-A348-3402EE42758C}">
  <dimension ref="A1:FS78"/>
  <sheetViews>
    <sheetView zoomScale="40" zoomScaleNormal="40" workbookViewId="0">
      <selection activeCell="F64" sqref="F64:H67"/>
    </sheetView>
  </sheetViews>
  <sheetFormatPr defaultRowHeight="14.45"/>
  <cols>
    <col min="3" max="3" width="32.140625" customWidth="1"/>
    <col min="4" max="4" width="20.5703125" customWidth="1"/>
    <col min="5" max="5" width="20.140625" customWidth="1"/>
    <col min="6" max="6" width="14.140625" customWidth="1"/>
    <col min="10" max="10" width="19" customWidth="1"/>
    <col min="12" max="12" width="11.5703125" customWidth="1"/>
    <col min="14" max="14" width="8.85546875" customWidth="1"/>
    <col min="16" max="16" width="12.42578125" customWidth="1"/>
    <col min="18" max="18" width="14.14062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 ht="14.45" customHeight="1">
      <c r="A3" s="2"/>
      <c r="B3" s="69" t="s">
        <v>40</v>
      </c>
      <c r="C3" s="75"/>
      <c r="D3" s="78">
        <v>141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9" t="s">
        <v>40</v>
      </c>
      <c r="AB3" s="75"/>
      <c r="AC3" s="78">
        <v>141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69" t="s">
        <v>40</v>
      </c>
      <c r="BA3" s="75"/>
      <c r="BB3" s="78">
        <v>141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69" t="s">
        <v>40</v>
      </c>
      <c r="BZ3" s="75"/>
      <c r="CA3" s="78">
        <v>141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69" t="s">
        <v>40</v>
      </c>
      <c r="CY3" s="75"/>
      <c r="CZ3" s="78">
        <v>141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69" t="s">
        <v>40</v>
      </c>
      <c r="DX3" s="75"/>
      <c r="DY3" s="78">
        <v>141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69" t="s">
        <v>40</v>
      </c>
      <c r="EW3" s="75"/>
      <c r="EX3" s="78">
        <v>141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" thickBot="1">
      <c r="A4" s="2"/>
      <c r="B4" s="76"/>
      <c r="C4" s="77"/>
      <c r="D4" s="7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76"/>
      <c r="AB4" s="77"/>
      <c r="AC4" s="79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76"/>
      <c r="BA4" s="77"/>
      <c r="BB4" s="79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76"/>
      <c r="BZ4" s="77"/>
      <c r="CA4" s="79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76"/>
      <c r="CY4" s="77"/>
      <c r="CZ4" s="79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76"/>
      <c r="DX4" s="77"/>
      <c r="DY4" s="79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76"/>
      <c r="EW4" s="77"/>
      <c r="EX4" s="79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 ht="14.45" customHeight="1">
      <c r="A9" s="61" t="s">
        <v>41</v>
      </c>
      <c r="B9" s="62"/>
      <c r="C9" s="62"/>
      <c r="D9" s="62"/>
      <c r="E9" s="62"/>
      <c r="F9" s="63"/>
      <c r="G9" s="15"/>
      <c r="H9" s="15"/>
      <c r="I9" s="69" t="s">
        <v>42</v>
      </c>
      <c r="J9" s="70"/>
      <c r="K9" s="70"/>
      <c r="L9" s="70"/>
      <c r="M9" s="70"/>
      <c r="N9" s="70"/>
      <c r="O9" s="70"/>
      <c r="P9" s="70"/>
      <c r="Q9" s="70"/>
      <c r="R9" s="71"/>
      <c r="S9" s="2"/>
      <c r="T9" s="2"/>
      <c r="U9" s="2"/>
      <c r="V9" s="2"/>
      <c r="W9" s="2"/>
      <c r="X9" s="2"/>
      <c r="Y9" s="2"/>
      <c r="Z9" s="61" t="s">
        <v>43</v>
      </c>
      <c r="AA9" s="62"/>
      <c r="AB9" s="62"/>
      <c r="AC9" s="62"/>
      <c r="AD9" s="62"/>
      <c r="AE9" s="63"/>
      <c r="AF9" s="15"/>
      <c r="AG9" s="15"/>
      <c r="AH9" s="69" t="s">
        <v>44</v>
      </c>
      <c r="AI9" s="70"/>
      <c r="AJ9" s="70"/>
      <c r="AK9" s="70"/>
      <c r="AL9" s="70"/>
      <c r="AM9" s="70"/>
      <c r="AN9" s="70"/>
      <c r="AO9" s="70"/>
      <c r="AP9" s="70"/>
      <c r="AQ9" s="71"/>
      <c r="AR9" s="2"/>
      <c r="AS9" s="2"/>
      <c r="AT9" s="2"/>
      <c r="AU9" s="2"/>
      <c r="AV9" s="2"/>
      <c r="AW9" s="2"/>
      <c r="AX9" s="2"/>
      <c r="AY9" s="61" t="s">
        <v>45</v>
      </c>
      <c r="AZ9" s="62"/>
      <c r="BA9" s="62"/>
      <c r="BB9" s="62"/>
      <c r="BC9" s="62"/>
      <c r="BD9" s="63"/>
      <c r="BE9" s="15"/>
      <c r="BF9" s="15"/>
      <c r="BG9" s="69" t="s">
        <v>46</v>
      </c>
      <c r="BH9" s="70"/>
      <c r="BI9" s="70"/>
      <c r="BJ9" s="70"/>
      <c r="BK9" s="70"/>
      <c r="BL9" s="70"/>
      <c r="BM9" s="70"/>
      <c r="BN9" s="70"/>
      <c r="BO9" s="70"/>
      <c r="BP9" s="71"/>
      <c r="BQ9" s="2"/>
      <c r="BR9" s="2"/>
      <c r="BS9" s="2"/>
      <c r="BT9" s="2"/>
      <c r="BU9" s="2"/>
      <c r="BV9" s="2"/>
      <c r="BW9" s="2"/>
      <c r="BX9" s="61" t="s">
        <v>47</v>
      </c>
      <c r="BY9" s="62"/>
      <c r="BZ9" s="62"/>
      <c r="CA9" s="62"/>
      <c r="CB9" s="62"/>
      <c r="CC9" s="63"/>
      <c r="CD9" s="15"/>
      <c r="CE9" s="15"/>
      <c r="CF9" s="69" t="s">
        <v>48</v>
      </c>
      <c r="CG9" s="70"/>
      <c r="CH9" s="70"/>
      <c r="CI9" s="70"/>
      <c r="CJ9" s="70"/>
      <c r="CK9" s="70"/>
      <c r="CL9" s="70"/>
      <c r="CM9" s="70"/>
      <c r="CN9" s="70"/>
      <c r="CO9" s="71"/>
      <c r="CP9" s="2"/>
      <c r="CQ9" s="2"/>
      <c r="CR9" s="2"/>
      <c r="CS9" s="2"/>
      <c r="CT9" s="2"/>
      <c r="CU9" s="2"/>
      <c r="CV9" s="2"/>
      <c r="CW9" s="61" t="s">
        <v>49</v>
      </c>
      <c r="CX9" s="62"/>
      <c r="CY9" s="62"/>
      <c r="CZ9" s="62"/>
      <c r="DA9" s="62"/>
      <c r="DB9" s="63"/>
      <c r="DC9" s="15"/>
      <c r="DD9" s="15"/>
      <c r="DE9" s="69" t="s">
        <v>50</v>
      </c>
      <c r="DF9" s="70"/>
      <c r="DG9" s="70"/>
      <c r="DH9" s="70"/>
      <c r="DI9" s="70"/>
      <c r="DJ9" s="70"/>
      <c r="DK9" s="70"/>
      <c r="DL9" s="70"/>
      <c r="DM9" s="70"/>
      <c r="DN9" s="71"/>
      <c r="DO9" s="2"/>
      <c r="DP9" s="2"/>
      <c r="DQ9" s="2"/>
      <c r="DR9" s="2"/>
      <c r="DS9" s="2"/>
      <c r="DT9" s="2"/>
      <c r="DU9" s="2"/>
      <c r="DV9" s="61" t="s">
        <v>51</v>
      </c>
      <c r="DW9" s="62"/>
      <c r="DX9" s="62"/>
      <c r="DY9" s="62"/>
      <c r="DZ9" s="62"/>
      <c r="EA9" s="63"/>
      <c r="EB9" s="15"/>
      <c r="EC9" s="15"/>
      <c r="ED9" s="69" t="s">
        <v>52</v>
      </c>
      <c r="EE9" s="70"/>
      <c r="EF9" s="70"/>
      <c r="EG9" s="70"/>
      <c r="EH9" s="70"/>
      <c r="EI9" s="70"/>
      <c r="EJ9" s="70"/>
      <c r="EK9" s="70"/>
      <c r="EL9" s="70"/>
      <c r="EM9" s="71"/>
      <c r="EN9" s="2"/>
      <c r="EO9" s="2"/>
      <c r="EP9" s="2"/>
      <c r="EQ9" s="2"/>
      <c r="ER9" s="2"/>
      <c r="ES9" s="2"/>
      <c r="ET9" s="2"/>
      <c r="EU9" s="61" t="s">
        <v>53</v>
      </c>
      <c r="EV9" s="62"/>
      <c r="EW9" s="62"/>
      <c r="EX9" s="62"/>
      <c r="EY9" s="62"/>
      <c r="EZ9" s="63"/>
      <c r="FA9" s="15"/>
      <c r="FB9" s="15"/>
      <c r="FC9" s="69" t="s">
        <v>54</v>
      </c>
      <c r="FD9" s="70"/>
      <c r="FE9" s="70"/>
      <c r="FF9" s="70"/>
      <c r="FG9" s="70"/>
      <c r="FH9" s="70"/>
      <c r="FI9" s="70"/>
      <c r="FJ9" s="70"/>
      <c r="FK9" s="70"/>
      <c r="FL9" s="71"/>
      <c r="FM9" s="2"/>
      <c r="FN9" s="2"/>
      <c r="FO9" s="2"/>
      <c r="FP9" s="2"/>
      <c r="FQ9" s="2"/>
      <c r="FR9" s="2"/>
      <c r="FS9" s="2"/>
    </row>
    <row r="10" spans="1:175" ht="15" customHeight="1" thickBot="1">
      <c r="A10" s="64"/>
      <c r="B10" s="65"/>
      <c r="C10" s="65"/>
      <c r="D10" s="65"/>
      <c r="E10" s="65"/>
      <c r="F10" s="66"/>
      <c r="G10" s="15"/>
      <c r="H10" s="15"/>
      <c r="I10" s="72"/>
      <c r="J10" s="73"/>
      <c r="K10" s="73"/>
      <c r="L10" s="73"/>
      <c r="M10" s="73"/>
      <c r="N10" s="73"/>
      <c r="O10" s="73"/>
      <c r="P10" s="73"/>
      <c r="Q10" s="73"/>
      <c r="R10" s="74"/>
      <c r="S10" s="2"/>
      <c r="T10" s="2"/>
      <c r="U10" s="2"/>
      <c r="V10" s="2"/>
      <c r="W10" s="2"/>
      <c r="X10" s="2"/>
      <c r="Y10" s="2"/>
      <c r="Z10" s="64"/>
      <c r="AA10" s="65"/>
      <c r="AB10" s="65"/>
      <c r="AC10" s="65"/>
      <c r="AD10" s="65"/>
      <c r="AE10" s="66"/>
      <c r="AF10" s="15"/>
      <c r="AG10" s="15"/>
      <c r="AH10" s="72"/>
      <c r="AI10" s="73"/>
      <c r="AJ10" s="73"/>
      <c r="AK10" s="73"/>
      <c r="AL10" s="73"/>
      <c r="AM10" s="73"/>
      <c r="AN10" s="73"/>
      <c r="AO10" s="73"/>
      <c r="AP10" s="73"/>
      <c r="AQ10" s="74"/>
      <c r="AR10" s="2"/>
      <c r="AS10" s="2"/>
      <c r="AT10" s="2"/>
      <c r="AU10" s="2"/>
      <c r="AV10" s="2"/>
      <c r="AW10" s="2"/>
      <c r="AX10" s="2"/>
      <c r="AY10" s="64"/>
      <c r="AZ10" s="65"/>
      <c r="BA10" s="65"/>
      <c r="BB10" s="65"/>
      <c r="BC10" s="65"/>
      <c r="BD10" s="66"/>
      <c r="BE10" s="15"/>
      <c r="BF10" s="15"/>
      <c r="BG10" s="72"/>
      <c r="BH10" s="73"/>
      <c r="BI10" s="73"/>
      <c r="BJ10" s="73"/>
      <c r="BK10" s="73"/>
      <c r="BL10" s="73"/>
      <c r="BM10" s="73"/>
      <c r="BN10" s="73"/>
      <c r="BO10" s="73"/>
      <c r="BP10" s="74"/>
      <c r="BQ10" s="2"/>
      <c r="BR10" s="2"/>
      <c r="BS10" s="2"/>
      <c r="BT10" s="2"/>
      <c r="BU10" s="2"/>
      <c r="BV10" s="2"/>
      <c r="BW10" s="2"/>
      <c r="BX10" s="64"/>
      <c r="BY10" s="65"/>
      <c r="BZ10" s="65"/>
      <c r="CA10" s="65"/>
      <c r="CB10" s="65"/>
      <c r="CC10" s="66"/>
      <c r="CD10" s="15"/>
      <c r="CE10" s="15"/>
      <c r="CF10" s="72"/>
      <c r="CG10" s="73"/>
      <c r="CH10" s="73"/>
      <c r="CI10" s="73"/>
      <c r="CJ10" s="73"/>
      <c r="CK10" s="73"/>
      <c r="CL10" s="73"/>
      <c r="CM10" s="73"/>
      <c r="CN10" s="73"/>
      <c r="CO10" s="74"/>
      <c r="CP10" s="2"/>
      <c r="CQ10" s="2"/>
      <c r="CR10" s="2"/>
      <c r="CS10" s="2"/>
      <c r="CT10" s="2"/>
      <c r="CU10" s="2"/>
      <c r="CV10" s="2"/>
      <c r="CW10" s="64"/>
      <c r="CX10" s="65"/>
      <c r="CY10" s="65"/>
      <c r="CZ10" s="65"/>
      <c r="DA10" s="65"/>
      <c r="DB10" s="66"/>
      <c r="DC10" s="15"/>
      <c r="DD10" s="15"/>
      <c r="DE10" s="72"/>
      <c r="DF10" s="73"/>
      <c r="DG10" s="73"/>
      <c r="DH10" s="73"/>
      <c r="DI10" s="73"/>
      <c r="DJ10" s="73"/>
      <c r="DK10" s="73"/>
      <c r="DL10" s="73"/>
      <c r="DM10" s="73"/>
      <c r="DN10" s="74"/>
      <c r="DO10" s="2"/>
      <c r="DP10" s="2"/>
      <c r="DQ10" s="2"/>
      <c r="DR10" s="2"/>
      <c r="DS10" s="2"/>
      <c r="DT10" s="2"/>
      <c r="DU10" s="2"/>
      <c r="DV10" s="64"/>
      <c r="DW10" s="65"/>
      <c r="DX10" s="65"/>
      <c r="DY10" s="65"/>
      <c r="DZ10" s="65"/>
      <c r="EA10" s="66"/>
      <c r="EB10" s="15"/>
      <c r="EC10" s="15"/>
      <c r="ED10" s="72"/>
      <c r="EE10" s="73"/>
      <c r="EF10" s="73"/>
      <c r="EG10" s="73"/>
      <c r="EH10" s="73"/>
      <c r="EI10" s="73"/>
      <c r="EJ10" s="73"/>
      <c r="EK10" s="73"/>
      <c r="EL10" s="73"/>
      <c r="EM10" s="74"/>
      <c r="EN10" s="2"/>
      <c r="EO10" s="2"/>
      <c r="EP10" s="2"/>
      <c r="EQ10" s="2"/>
      <c r="ER10" s="2"/>
      <c r="ES10" s="2"/>
      <c r="ET10" s="2"/>
      <c r="EU10" s="64"/>
      <c r="EV10" s="65"/>
      <c r="EW10" s="65"/>
      <c r="EX10" s="65"/>
      <c r="EY10" s="65"/>
      <c r="EZ10" s="66"/>
      <c r="FA10" s="15"/>
      <c r="FB10" s="15"/>
      <c r="FC10" s="72"/>
      <c r="FD10" s="73"/>
      <c r="FE10" s="73"/>
      <c r="FF10" s="73"/>
      <c r="FG10" s="73"/>
      <c r="FH10" s="73"/>
      <c r="FI10" s="73"/>
      <c r="FJ10" s="73"/>
      <c r="FK10" s="73"/>
      <c r="FL10" s="74"/>
      <c r="FM10" s="2"/>
      <c r="FN10" s="2"/>
      <c r="FO10" s="2"/>
      <c r="FP10" s="2"/>
      <c r="FQ10" s="2"/>
      <c r="FR10" s="2"/>
      <c r="FS10" s="2"/>
    </row>
    <row r="11" spans="1:175" ht="15.95">
      <c r="A11" s="52" t="s">
        <v>1</v>
      </c>
      <c r="B11" s="54"/>
      <c r="C11" s="82" t="s">
        <v>6</v>
      </c>
      <c r="D11" s="52" t="s">
        <v>55</v>
      </c>
      <c r="E11" s="54"/>
      <c r="F11" s="85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52" t="s">
        <v>1</v>
      </c>
      <c r="AA11" s="54"/>
      <c r="AB11" s="82" t="s">
        <v>7</v>
      </c>
      <c r="AC11" s="52" t="s">
        <v>55</v>
      </c>
      <c r="AD11" s="54"/>
      <c r="AE11" s="85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52" t="s">
        <v>1</v>
      </c>
      <c r="AZ11" s="54"/>
      <c r="BA11" s="82" t="s">
        <v>9</v>
      </c>
      <c r="BB11" s="52" t="s">
        <v>55</v>
      </c>
      <c r="BC11" s="54"/>
      <c r="BD11" s="85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52" t="s">
        <v>1</v>
      </c>
      <c r="BY11" s="54"/>
      <c r="BZ11" s="82" t="s">
        <v>11</v>
      </c>
      <c r="CA11" s="52" t="s">
        <v>55</v>
      </c>
      <c r="CB11" s="54"/>
      <c r="CC11" s="85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52" t="s">
        <v>1</v>
      </c>
      <c r="CX11" s="54"/>
      <c r="CY11" s="82" t="s">
        <v>13</v>
      </c>
      <c r="CZ11" s="52" t="s">
        <v>55</v>
      </c>
      <c r="DA11" s="54"/>
      <c r="DB11" s="85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52" t="s">
        <v>1</v>
      </c>
      <c r="DW11" s="54"/>
      <c r="DX11" s="82" t="s">
        <v>6</v>
      </c>
      <c r="DY11" s="52" t="s">
        <v>55</v>
      </c>
      <c r="DZ11" s="54"/>
      <c r="EA11" s="85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52" t="s">
        <v>1</v>
      </c>
      <c r="EV11" s="54"/>
      <c r="EW11" s="82" t="s">
        <v>6</v>
      </c>
      <c r="EX11" s="52" t="s">
        <v>55</v>
      </c>
      <c r="EY11" s="54"/>
      <c r="EZ11" s="85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6.5" thickBot="1">
      <c r="A12" s="55"/>
      <c r="B12" s="57"/>
      <c r="C12" s="83"/>
      <c r="D12" s="55"/>
      <c r="E12" s="57"/>
      <c r="F12" s="86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55"/>
      <c r="AA12" s="57"/>
      <c r="AB12" s="83"/>
      <c r="AC12" s="55"/>
      <c r="AD12" s="57"/>
      <c r="AE12" s="86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55"/>
      <c r="AZ12" s="57"/>
      <c r="BA12" s="83"/>
      <c r="BB12" s="55"/>
      <c r="BC12" s="57"/>
      <c r="BD12" s="86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55"/>
      <c r="BY12" s="57"/>
      <c r="BZ12" s="83"/>
      <c r="CA12" s="55"/>
      <c r="CB12" s="57"/>
      <c r="CC12" s="86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55"/>
      <c r="CX12" s="57"/>
      <c r="CY12" s="83"/>
      <c r="CZ12" s="55"/>
      <c r="DA12" s="57"/>
      <c r="DB12" s="86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55"/>
      <c r="DW12" s="57"/>
      <c r="DX12" s="83"/>
      <c r="DY12" s="55"/>
      <c r="DZ12" s="57"/>
      <c r="EA12" s="86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55"/>
      <c r="EV12" s="57"/>
      <c r="EW12" s="83"/>
      <c r="EX12" s="55"/>
      <c r="EY12" s="57"/>
      <c r="EZ12" s="86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15.95">
      <c r="A13" s="55"/>
      <c r="B13" s="57"/>
      <c r="C13" s="83"/>
      <c r="D13" s="55"/>
      <c r="E13" s="57"/>
      <c r="F13" s="86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775.5</v>
      </c>
      <c r="P13" s="21"/>
      <c r="Q13" s="20">
        <f>M13*O13</f>
        <v>1551</v>
      </c>
      <c r="R13" s="21"/>
      <c r="S13" s="2"/>
      <c r="T13" s="2"/>
      <c r="U13" s="2"/>
      <c r="V13" s="2"/>
      <c r="W13" s="2"/>
      <c r="X13" s="2"/>
      <c r="Y13" s="2"/>
      <c r="Z13" s="55"/>
      <c r="AA13" s="57"/>
      <c r="AB13" s="83"/>
      <c r="AC13" s="55"/>
      <c r="AD13" s="57"/>
      <c r="AE13" s="86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775.5</v>
      </c>
      <c r="AO13" s="21"/>
      <c r="AP13" s="20">
        <f>AL13*AN13</f>
        <v>1551</v>
      </c>
      <c r="AQ13" s="21"/>
      <c r="AR13" s="2"/>
      <c r="AS13" s="2"/>
      <c r="AT13" s="2"/>
      <c r="AU13" s="2"/>
      <c r="AV13" s="2"/>
      <c r="AW13" s="2"/>
      <c r="AX13" s="2"/>
      <c r="AY13" s="55"/>
      <c r="AZ13" s="57"/>
      <c r="BA13" s="83"/>
      <c r="BB13" s="55"/>
      <c r="BC13" s="57"/>
      <c r="BD13" s="86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775.5</v>
      </c>
      <c r="BN13" s="21"/>
      <c r="BO13" s="20">
        <f>BK13*BM13</f>
        <v>1551</v>
      </c>
      <c r="BP13" s="21"/>
      <c r="BQ13" s="2"/>
      <c r="BR13" s="2"/>
      <c r="BS13" s="2"/>
      <c r="BT13" s="2"/>
      <c r="BU13" s="2"/>
      <c r="BV13" s="2"/>
      <c r="BW13" s="2"/>
      <c r="BX13" s="55"/>
      <c r="BY13" s="57"/>
      <c r="BZ13" s="83"/>
      <c r="CA13" s="55"/>
      <c r="CB13" s="57"/>
      <c r="CC13" s="86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775.5</v>
      </c>
      <c r="CM13" s="21"/>
      <c r="CN13" s="20">
        <f>CJ13*CL13</f>
        <v>1551</v>
      </c>
      <c r="CO13" s="21"/>
      <c r="CP13" s="2"/>
      <c r="CQ13" s="2"/>
      <c r="CR13" s="2"/>
      <c r="CS13" s="2"/>
      <c r="CT13" s="2"/>
      <c r="CU13" s="2"/>
      <c r="CV13" s="2"/>
      <c r="CW13" s="55"/>
      <c r="CX13" s="57"/>
      <c r="CY13" s="83"/>
      <c r="CZ13" s="55"/>
      <c r="DA13" s="57"/>
      <c r="DB13" s="86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775.5</v>
      </c>
      <c r="DL13" s="21"/>
      <c r="DM13" s="20">
        <f>DI13*DK13</f>
        <v>1551</v>
      </c>
      <c r="DN13" s="21"/>
      <c r="DO13" s="2"/>
      <c r="DP13" s="2"/>
      <c r="DQ13" s="2"/>
      <c r="DR13" s="2"/>
      <c r="DS13" s="2"/>
      <c r="DT13" s="2"/>
      <c r="DU13" s="2"/>
      <c r="DV13" s="55"/>
      <c r="DW13" s="57"/>
      <c r="DX13" s="83"/>
      <c r="DY13" s="55"/>
      <c r="DZ13" s="57"/>
      <c r="EA13" s="86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775.5</v>
      </c>
      <c r="EK13" s="21"/>
      <c r="EL13" s="20">
        <f>EH13*EJ13</f>
        <v>1551</v>
      </c>
      <c r="EM13" s="21"/>
      <c r="EN13" s="2"/>
      <c r="EO13" s="2"/>
      <c r="EP13" s="2"/>
      <c r="EQ13" s="2"/>
      <c r="ER13" s="2"/>
      <c r="ES13" s="2"/>
      <c r="ET13" s="2"/>
      <c r="EU13" s="55"/>
      <c r="EV13" s="57"/>
      <c r="EW13" s="83"/>
      <c r="EX13" s="55"/>
      <c r="EY13" s="57"/>
      <c r="EZ13" s="86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775.5</v>
      </c>
      <c r="FJ13" s="21"/>
      <c r="FK13" s="20">
        <f>FG13*FI13</f>
        <v>1551</v>
      </c>
      <c r="FL13" s="21"/>
      <c r="FM13" s="2"/>
      <c r="FN13" s="2"/>
      <c r="FO13" s="2"/>
      <c r="FP13" s="2"/>
      <c r="FQ13" s="2"/>
      <c r="FR13" s="2"/>
      <c r="FS13" s="2"/>
    </row>
    <row r="14" spans="1:175" ht="16.5" thickBot="1">
      <c r="A14" s="80"/>
      <c r="B14" s="81"/>
      <c r="C14" s="84"/>
      <c r="D14" s="80"/>
      <c r="E14" s="81"/>
      <c r="F14" s="87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80"/>
      <c r="AA14" s="81"/>
      <c r="AB14" s="84"/>
      <c r="AC14" s="80"/>
      <c r="AD14" s="81"/>
      <c r="AE14" s="87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80"/>
      <c r="AZ14" s="81"/>
      <c r="BA14" s="84"/>
      <c r="BB14" s="80"/>
      <c r="BC14" s="81"/>
      <c r="BD14" s="87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80"/>
      <c r="BY14" s="81"/>
      <c r="BZ14" s="84"/>
      <c r="CA14" s="80"/>
      <c r="CB14" s="81"/>
      <c r="CC14" s="87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80"/>
      <c r="CX14" s="81"/>
      <c r="CY14" s="84"/>
      <c r="CZ14" s="80"/>
      <c r="DA14" s="81"/>
      <c r="DB14" s="87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80"/>
      <c r="DW14" s="81"/>
      <c r="DX14" s="84"/>
      <c r="DY14" s="80"/>
      <c r="DZ14" s="81"/>
      <c r="EA14" s="87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80"/>
      <c r="EV14" s="81"/>
      <c r="EW14" s="84"/>
      <c r="EX14" s="80"/>
      <c r="EY14" s="81"/>
      <c r="EZ14" s="87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6.5" thickBot="1">
      <c r="A15" s="52" t="s">
        <v>15</v>
      </c>
      <c r="B15" s="54"/>
      <c r="C15" s="82" t="s">
        <v>18</v>
      </c>
      <c r="D15" s="52" t="s">
        <v>55</v>
      </c>
      <c r="E15" s="54"/>
      <c r="F15" s="85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52" t="s">
        <v>15</v>
      </c>
      <c r="AA15" s="54"/>
      <c r="AB15" s="82" t="s">
        <v>20</v>
      </c>
      <c r="AC15" s="52" t="s">
        <v>55</v>
      </c>
      <c r="AD15" s="54"/>
      <c r="AE15" s="85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52" t="s">
        <v>15</v>
      </c>
      <c r="AZ15" s="54"/>
      <c r="BA15" s="82" t="s">
        <v>22</v>
      </c>
      <c r="BB15" s="52" t="s">
        <v>55</v>
      </c>
      <c r="BC15" s="54"/>
      <c r="BD15" s="85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52" t="s">
        <v>15</v>
      </c>
      <c r="BY15" s="54"/>
      <c r="BZ15" s="82" t="s">
        <v>24</v>
      </c>
      <c r="CA15" s="52" t="s">
        <v>55</v>
      </c>
      <c r="CB15" s="54"/>
      <c r="CC15" s="85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52" t="s">
        <v>15</v>
      </c>
      <c r="CX15" s="54"/>
      <c r="CY15" s="82" t="s">
        <v>26</v>
      </c>
      <c r="CZ15" s="52" t="s">
        <v>55</v>
      </c>
      <c r="DA15" s="54"/>
      <c r="DB15" s="85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52" t="s">
        <v>15</v>
      </c>
      <c r="DW15" s="54"/>
      <c r="DX15" s="82" t="s">
        <v>18</v>
      </c>
      <c r="DY15" s="52" t="s">
        <v>55</v>
      </c>
      <c r="DZ15" s="54"/>
      <c r="EA15" s="85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52" t="s">
        <v>15</v>
      </c>
      <c r="EV15" s="54"/>
      <c r="EW15" s="82" t="s">
        <v>18</v>
      </c>
      <c r="EX15" s="52" t="s">
        <v>55</v>
      </c>
      <c r="EY15" s="54"/>
      <c r="EZ15" s="85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15.95">
      <c r="A16" s="55"/>
      <c r="B16" s="57"/>
      <c r="C16" s="83"/>
      <c r="D16" s="55"/>
      <c r="E16" s="57"/>
      <c r="F16" s="86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1128</v>
      </c>
      <c r="P16" s="21"/>
      <c r="Q16" s="20">
        <f>M16*O16</f>
        <v>1128</v>
      </c>
      <c r="R16" s="21"/>
      <c r="S16" s="2"/>
      <c r="T16" s="2"/>
      <c r="U16" s="2"/>
      <c r="V16" s="2"/>
      <c r="W16" s="2"/>
      <c r="X16" s="2"/>
      <c r="Y16" s="2"/>
      <c r="Z16" s="55"/>
      <c r="AA16" s="57"/>
      <c r="AB16" s="83"/>
      <c r="AC16" s="55"/>
      <c r="AD16" s="57"/>
      <c r="AE16" s="86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1128</v>
      </c>
      <c r="AO16" s="21"/>
      <c r="AP16" s="20">
        <f>AL16*AN16</f>
        <v>1128</v>
      </c>
      <c r="AQ16" s="21"/>
      <c r="AR16" s="2"/>
      <c r="AS16" s="2"/>
      <c r="AT16" s="2"/>
      <c r="AU16" s="2"/>
      <c r="AV16" s="2"/>
      <c r="AW16" s="2"/>
      <c r="AX16" s="2"/>
      <c r="AY16" s="55"/>
      <c r="AZ16" s="57"/>
      <c r="BA16" s="83"/>
      <c r="BB16" s="55"/>
      <c r="BC16" s="57"/>
      <c r="BD16" s="86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1128</v>
      </c>
      <c r="BN16" s="21"/>
      <c r="BO16" s="20">
        <f>BK16*BM16</f>
        <v>1128</v>
      </c>
      <c r="BP16" s="21"/>
      <c r="BQ16" s="2"/>
      <c r="BR16" s="2"/>
      <c r="BS16" s="2"/>
      <c r="BT16" s="2"/>
      <c r="BU16" s="2"/>
      <c r="BV16" s="2"/>
      <c r="BW16" s="2"/>
      <c r="BX16" s="55"/>
      <c r="BY16" s="57"/>
      <c r="BZ16" s="83"/>
      <c r="CA16" s="55"/>
      <c r="CB16" s="57"/>
      <c r="CC16" s="86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1128</v>
      </c>
      <c r="CM16" s="21"/>
      <c r="CN16" s="20">
        <f>CJ16*CL16</f>
        <v>1128</v>
      </c>
      <c r="CO16" s="21"/>
      <c r="CP16" s="2"/>
      <c r="CQ16" s="2"/>
      <c r="CR16" s="2"/>
      <c r="CS16" s="2"/>
      <c r="CT16" s="2"/>
      <c r="CU16" s="2"/>
      <c r="CV16" s="2"/>
      <c r="CW16" s="55"/>
      <c r="CX16" s="57"/>
      <c r="CY16" s="83"/>
      <c r="CZ16" s="55"/>
      <c r="DA16" s="57"/>
      <c r="DB16" s="86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1128</v>
      </c>
      <c r="DL16" s="21"/>
      <c r="DM16" s="20">
        <f>DI16*DK16</f>
        <v>1128</v>
      </c>
      <c r="DN16" s="21"/>
      <c r="DO16" s="2"/>
      <c r="DP16" s="2"/>
      <c r="DQ16" s="2"/>
      <c r="DR16" s="2"/>
      <c r="DS16" s="2"/>
      <c r="DT16" s="2"/>
      <c r="DU16" s="2"/>
      <c r="DV16" s="55"/>
      <c r="DW16" s="57"/>
      <c r="DX16" s="83"/>
      <c r="DY16" s="55"/>
      <c r="DZ16" s="57"/>
      <c r="EA16" s="86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1128</v>
      </c>
      <c r="EK16" s="21"/>
      <c r="EL16" s="20">
        <f>EH16*EJ16</f>
        <v>1128</v>
      </c>
      <c r="EM16" s="21"/>
      <c r="EN16" s="2"/>
      <c r="EO16" s="2"/>
      <c r="EP16" s="2"/>
      <c r="EQ16" s="2"/>
      <c r="ER16" s="2"/>
      <c r="ES16" s="2"/>
      <c r="ET16" s="2"/>
      <c r="EU16" s="55"/>
      <c r="EV16" s="57"/>
      <c r="EW16" s="83"/>
      <c r="EX16" s="55"/>
      <c r="EY16" s="57"/>
      <c r="EZ16" s="86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1128</v>
      </c>
      <c r="FJ16" s="21"/>
      <c r="FK16" s="20">
        <f>FG16*FI16</f>
        <v>1128</v>
      </c>
      <c r="FL16" s="21"/>
      <c r="FM16" s="2"/>
      <c r="FN16" s="2"/>
      <c r="FO16" s="2"/>
      <c r="FP16" s="2"/>
      <c r="FQ16" s="2"/>
      <c r="FR16" s="2"/>
      <c r="FS16" s="2"/>
    </row>
    <row r="17" spans="1:175" ht="15.95">
      <c r="A17" s="55"/>
      <c r="B17" s="57"/>
      <c r="C17" s="83"/>
      <c r="D17" s="55"/>
      <c r="E17" s="57"/>
      <c r="F17" s="86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55"/>
      <c r="AA17" s="57"/>
      <c r="AB17" s="83"/>
      <c r="AC17" s="55"/>
      <c r="AD17" s="57"/>
      <c r="AE17" s="86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55"/>
      <c r="AZ17" s="57"/>
      <c r="BA17" s="83"/>
      <c r="BB17" s="55"/>
      <c r="BC17" s="57"/>
      <c r="BD17" s="86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55"/>
      <c r="BY17" s="57"/>
      <c r="BZ17" s="83"/>
      <c r="CA17" s="55"/>
      <c r="CB17" s="57"/>
      <c r="CC17" s="86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55"/>
      <c r="CX17" s="57"/>
      <c r="CY17" s="83"/>
      <c r="CZ17" s="55"/>
      <c r="DA17" s="57"/>
      <c r="DB17" s="86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55"/>
      <c r="DW17" s="57"/>
      <c r="DX17" s="83"/>
      <c r="DY17" s="55"/>
      <c r="DZ17" s="57"/>
      <c r="EA17" s="86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55"/>
      <c r="EV17" s="57"/>
      <c r="EW17" s="83"/>
      <c r="EX17" s="55"/>
      <c r="EY17" s="57"/>
      <c r="EZ17" s="86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6.5" thickBot="1">
      <c r="A18" s="80"/>
      <c r="B18" s="81"/>
      <c r="C18" s="84"/>
      <c r="D18" s="80"/>
      <c r="E18" s="81"/>
      <c r="F18" s="87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80"/>
      <c r="AA18" s="81"/>
      <c r="AB18" s="84"/>
      <c r="AC18" s="80"/>
      <c r="AD18" s="81"/>
      <c r="AE18" s="87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80"/>
      <c r="AZ18" s="81"/>
      <c r="BA18" s="84"/>
      <c r="BB18" s="80"/>
      <c r="BC18" s="81"/>
      <c r="BD18" s="87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80"/>
      <c r="BY18" s="81"/>
      <c r="BZ18" s="84"/>
      <c r="CA18" s="80"/>
      <c r="CB18" s="81"/>
      <c r="CC18" s="87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80"/>
      <c r="CX18" s="81"/>
      <c r="CY18" s="84"/>
      <c r="CZ18" s="80"/>
      <c r="DA18" s="81"/>
      <c r="DB18" s="87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80"/>
      <c r="DW18" s="81"/>
      <c r="DX18" s="84"/>
      <c r="DY18" s="80"/>
      <c r="DZ18" s="81"/>
      <c r="EA18" s="87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80"/>
      <c r="EV18" s="81"/>
      <c r="EW18" s="84"/>
      <c r="EX18" s="80"/>
      <c r="EY18" s="81"/>
      <c r="EZ18" s="87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15.95">
      <c r="A19" s="52" t="s">
        <v>27</v>
      </c>
      <c r="B19" s="54"/>
      <c r="C19" s="82" t="s">
        <v>28</v>
      </c>
      <c r="D19" s="52" t="s">
        <v>55</v>
      </c>
      <c r="E19" s="54"/>
      <c r="F19" s="85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564</v>
      </c>
      <c r="P19" s="21"/>
      <c r="Q19" s="20">
        <f>M19*O19</f>
        <v>564</v>
      </c>
      <c r="R19" s="21"/>
      <c r="S19" s="2"/>
      <c r="T19" s="2"/>
      <c r="U19" s="2"/>
      <c r="V19" s="2"/>
      <c r="W19" s="2"/>
      <c r="X19" s="2"/>
      <c r="Y19" s="2"/>
      <c r="Z19" s="52" t="s">
        <v>27</v>
      </c>
      <c r="AA19" s="54"/>
      <c r="AB19" s="82" t="s">
        <v>29</v>
      </c>
      <c r="AC19" s="52" t="s">
        <v>55</v>
      </c>
      <c r="AD19" s="54"/>
      <c r="AE19" s="85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564</v>
      </c>
      <c r="AO19" s="21"/>
      <c r="AP19" s="20">
        <f>AL19*AN19</f>
        <v>564</v>
      </c>
      <c r="AQ19" s="21"/>
      <c r="AR19" s="2"/>
      <c r="AS19" s="2"/>
      <c r="AT19" s="2"/>
      <c r="AU19" s="2"/>
      <c r="AV19" s="2"/>
      <c r="AW19" s="2"/>
      <c r="AX19" s="2"/>
      <c r="AY19" s="52" t="s">
        <v>27</v>
      </c>
      <c r="AZ19" s="54"/>
      <c r="BA19" s="82" t="s">
        <v>30</v>
      </c>
      <c r="BB19" s="52" t="s">
        <v>55</v>
      </c>
      <c r="BC19" s="54"/>
      <c r="BD19" s="85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564</v>
      </c>
      <c r="BN19" s="21"/>
      <c r="BO19" s="20">
        <f>BK19*BM19</f>
        <v>564</v>
      </c>
      <c r="BP19" s="21"/>
      <c r="BQ19" s="2"/>
      <c r="BR19" s="2"/>
      <c r="BS19" s="2"/>
      <c r="BT19" s="2"/>
      <c r="BU19" s="2"/>
      <c r="BV19" s="2"/>
      <c r="BW19" s="2"/>
      <c r="BX19" s="52" t="s">
        <v>27</v>
      </c>
      <c r="BY19" s="54"/>
      <c r="BZ19" s="82" t="s">
        <v>31</v>
      </c>
      <c r="CA19" s="52" t="s">
        <v>55</v>
      </c>
      <c r="CB19" s="54"/>
      <c r="CC19" s="85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564</v>
      </c>
      <c r="CM19" s="21"/>
      <c r="CN19" s="20">
        <f>CJ19*CL19</f>
        <v>564</v>
      </c>
      <c r="CO19" s="21"/>
      <c r="CP19" s="2"/>
      <c r="CQ19" s="2"/>
      <c r="CR19" s="2"/>
      <c r="CS19" s="2"/>
      <c r="CT19" s="2"/>
      <c r="CU19" s="2"/>
      <c r="CV19" s="2"/>
      <c r="CW19" s="52" t="s">
        <v>27</v>
      </c>
      <c r="CX19" s="54"/>
      <c r="CY19" s="82" t="s">
        <v>32</v>
      </c>
      <c r="CZ19" s="52" t="s">
        <v>55</v>
      </c>
      <c r="DA19" s="54"/>
      <c r="DB19" s="85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564</v>
      </c>
      <c r="DL19" s="21"/>
      <c r="DM19" s="20">
        <f>DI19*DK19</f>
        <v>564</v>
      </c>
      <c r="DN19" s="21"/>
      <c r="DO19" s="2"/>
      <c r="DP19" s="2"/>
      <c r="DQ19" s="2"/>
      <c r="DR19" s="2"/>
      <c r="DS19" s="2"/>
      <c r="DT19" s="2"/>
      <c r="DU19" s="2"/>
      <c r="DV19" s="52" t="s">
        <v>27</v>
      </c>
      <c r="DW19" s="54"/>
      <c r="DX19" s="82" t="s">
        <v>28</v>
      </c>
      <c r="DY19" s="52" t="s">
        <v>55</v>
      </c>
      <c r="DZ19" s="54"/>
      <c r="EA19" s="85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564</v>
      </c>
      <c r="EK19" s="21"/>
      <c r="EL19" s="20">
        <f>EH19*EJ19</f>
        <v>564</v>
      </c>
      <c r="EM19" s="21"/>
      <c r="EN19" s="2"/>
      <c r="EO19" s="2"/>
      <c r="EP19" s="2"/>
      <c r="EQ19" s="2"/>
      <c r="ER19" s="2"/>
      <c r="ES19" s="2"/>
      <c r="ET19" s="2"/>
      <c r="EU19" s="52" t="s">
        <v>27</v>
      </c>
      <c r="EV19" s="54"/>
      <c r="EW19" s="82" t="s">
        <v>28</v>
      </c>
      <c r="EX19" s="52" t="s">
        <v>55</v>
      </c>
      <c r="EY19" s="54"/>
      <c r="EZ19" s="85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564</v>
      </c>
      <c r="FJ19" s="21"/>
      <c r="FK19" s="20">
        <f>FG19*FI19</f>
        <v>564</v>
      </c>
      <c r="FL19" s="21"/>
      <c r="FM19" s="2"/>
      <c r="FN19" s="2"/>
      <c r="FO19" s="2"/>
      <c r="FP19" s="2"/>
      <c r="FQ19" s="2"/>
      <c r="FR19" s="2"/>
      <c r="FS19" s="2"/>
    </row>
    <row r="20" spans="1:175" ht="15.95">
      <c r="A20" s="55"/>
      <c r="B20" s="57"/>
      <c r="C20" s="83"/>
      <c r="D20" s="55"/>
      <c r="E20" s="57"/>
      <c r="F20" s="86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55"/>
      <c r="AA20" s="57"/>
      <c r="AB20" s="83"/>
      <c r="AC20" s="55"/>
      <c r="AD20" s="57"/>
      <c r="AE20" s="86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55"/>
      <c r="AZ20" s="57"/>
      <c r="BA20" s="83"/>
      <c r="BB20" s="55"/>
      <c r="BC20" s="57"/>
      <c r="BD20" s="86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55"/>
      <c r="BY20" s="57"/>
      <c r="BZ20" s="83"/>
      <c r="CA20" s="55"/>
      <c r="CB20" s="57"/>
      <c r="CC20" s="86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55"/>
      <c r="CX20" s="57"/>
      <c r="CY20" s="83"/>
      <c r="CZ20" s="55"/>
      <c r="DA20" s="57"/>
      <c r="DB20" s="86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55"/>
      <c r="DW20" s="57"/>
      <c r="DX20" s="83"/>
      <c r="DY20" s="55"/>
      <c r="DZ20" s="57"/>
      <c r="EA20" s="86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55"/>
      <c r="EV20" s="57"/>
      <c r="EW20" s="83"/>
      <c r="EX20" s="55"/>
      <c r="EY20" s="57"/>
      <c r="EZ20" s="86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6.5" thickBot="1">
      <c r="A21" s="55"/>
      <c r="B21" s="57"/>
      <c r="C21" s="83"/>
      <c r="D21" s="55"/>
      <c r="E21" s="57"/>
      <c r="F21" s="86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55"/>
      <c r="AA21" s="57"/>
      <c r="AB21" s="83"/>
      <c r="AC21" s="55"/>
      <c r="AD21" s="57"/>
      <c r="AE21" s="86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55"/>
      <c r="AZ21" s="57"/>
      <c r="BA21" s="83"/>
      <c r="BB21" s="55"/>
      <c r="BC21" s="57"/>
      <c r="BD21" s="86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55"/>
      <c r="BY21" s="57"/>
      <c r="BZ21" s="83"/>
      <c r="CA21" s="55"/>
      <c r="CB21" s="57"/>
      <c r="CC21" s="86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55"/>
      <c r="CX21" s="57"/>
      <c r="CY21" s="83"/>
      <c r="CZ21" s="55"/>
      <c r="DA21" s="57"/>
      <c r="DB21" s="86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55"/>
      <c r="DW21" s="57"/>
      <c r="DX21" s="83"/>
      <c r="DY21" s="55"/>
      <c r="DZ21" s="57"/>
      <c r="EA21" s="86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55"/>
      <c r="EV21" s="57"/>
      <c r="EW21" s="83"/>
      <c r="EX21" s="55"/>
      <c r="EY21" s="57"/>
      <c r="EZ21" s="86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6.5" thickBot="1">
      <c r="A22" s="80"/>
      <c r="B22" s="81"/>
      <c r="C22" s="84"/>
      <c r="D22" s="80"/>
      <c r="E22" s="81"/>
      <c r="F22" s="87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1381.8000000000002</v>
      </c>
      <c r="P22" s="21"/>
      <c r="Q22" s="20">
        <f>M22*O22</f>
        <v>1381.8000000000002</v>
      </c>
      <c r="R22" s="21"/>
      <c r="S22" s="2"/>
      <c r="T22" s="2"/>
      <c r="U22" s="2"/>
      <c r="V22" s="2"/>
      <c r="W22" s="2"/>
      <c r="X22" s="2"/>
      <c r="Y22" s="2"/>
      <c r="Z22" s="80"/>
      <c r="AA22" s="81"/>
      <c r="AB22" s="84"/>
      <c r="AC22" s="80"/>
      <c r="AD22" s="81"/>
      <c r="AE22" s="87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1381.8000000000002</v>
      </c>
      <c r="AO22" s="21"/>
      <c r="AP22" s="20">
        <f>AL22*AN22</f>
        <v>1381.8000000000002</v>
      </c>
      <c r="AQ22" s="21"/>
      <c r="AR22" s="2"/>
      <c r="AS22" s="2"/>
      <c r="AT22" s="2"/>
      <c r="AU22" s="2"/>
      <c r="AV22" s="2"/>
      <c r="AW22" s="2"/>
      <c r="AX22" s="2"/>
      <c r="AY22" s="80"/>
      <c r="AZ22" s="81"/>
      <c r="BA22" s="84"/>
      <c r="BB22" s="80"/>
      <c r="BC22" s="81"/>
      <c r="BD22" s="87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1381.8000000000002</v>
      </c>
      <c r="BN22" s="21"/>
      <c r="BO22" s="20">
        <f>BK22*BM22</f>
        <v>1381.8000000000002</v>
      </c>
      <c r="BP22" s="21"/>
      <c r="BQ22" s="2"/>
      <c r="BR22" s="2"/>
      <c r="BS22" s="2"/>
      <c r="BT22" s="2"/>
      <c r="BU22" s="2"/>
      <c r="BV22" s="2"/>
      <c r="BW22" s="2"/>
      <c r="BX22" s="80"/>
      <c r="BY22" s="81"/>
      <c r="BZ22" s="84"/>
      <c r="CA22" s="80"/>
      <c r="CB22" s="81"/>
      <c r="CC22" s="87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1381.8000000000002</v>
      </c>
      <c r="CM22" s="21"/>
      <c r="CN22" s="20">
        <f>CJ22*CL22</f>
        <v>1381.8000000000002</v>
      </c>
      <c r="CO22" s="21"/>
      <c r="CP22" s="2"/>
      <c r="CQ22" s="2"/>
      <c r="CR22" s="2"/>
      <c r="CS22" s="2"/>
      <c r="CT22" s="2"/>
      <c r="CU22" s="2"/>
      <c r="CV22" s="2"/>
      <c r="CW22" s="80"/>
      <c r="CX22" s="81"/>
      <c r="CY22" s="84"/>
      <c r="CZ22" s="80"/>
      <c r="DA22" s="81"/>
      <c r="DB22" s="87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1381.8000000000002</v>
      </c>
      <c r="DL22" s="21"/>
      <c r="DM22" s="20">
        <f>DI22*DK22</f>
        <v>1381.8000000000002</v>
      </c>
      <c r="DN22" s="21"/>
      <c r="DO22" s="2"/>
      <c r="DP22" s="2"/>
      <c r="DQ22" s="2"/>
      <c r="DR22" s="2"/>
      <c r="DS22" s="2"/>
      <c r="DT22" s="2"/>
      <c r="DU22" s="2"/>
      <c r="DV22" s="80"/>
      <c r="DW22" s="81"/>
      <c r="DX22" s="84"/>
      <c r="DY22" s="80"/>
      <c r="DZ22" s="81"/>
      <c r="EA22" s="87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1381.8000000000002</v>
      </c>
      <c r="EK22" s="21"/>
      <c r="EL22" s="20">
        <f>EH22*EJ22</f>
        <v>1381.8000000000002</v>
      </c>
      <c r="EM22" s="21"/>
      <c r="EN22" s="2"/>
      <c r="EO22" s="2"/>
      <c r="EP22" s="2"/>
      <c r="EQ22" s="2"/>
      <c r="ER22" s="2"/>
      <c r="ES22" s="2"/>
      <c r="ET22" s="2"/>
      <c r="EU22" s="80"/>
      <c r="EV22" s="81"/>
      <c r="EW22" s="84"/>
      <c r="EX22" s="80"/>
      <c r="EY22" s="81"/>
      <c r="EZ22" s="87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1381.8000000000002</v>
      </c>
      <c r="FJ22" s="21"/>
      <c r="FK22" s="20">
        <f>FG22*FI22</f>
        <v>1381.8000000000002</v>
      </c>
      <c r="FL22" s="21"/>
      <c r="FM22" s="2"/>
      <c r="FN22" s="2"/>
      <c r="FO22" s="2"/>
      <c r="FP22" s="2"/>
      <c r="FQ22" s="2"/>
      <c r="FR22" s="2"/>
      <c r="FS22" s="2"/>
    </row>
    <row r="23" spans="1:175" ht="15.95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6.5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.95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1410</v>
      </c>
      <c r="P25" s="21"/>
      <c r="Q25" s="20">
        <f>M25*O25</f>
        <v>2820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1410</v>
      </c>
      <c r="AO25" s="21"/>
      <c r="AP25" s="20">
        <f>AL25*AN25</f>
        <v>2820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1410</v>
      </c>
      <c r="BN25" s="21"/>
      <c r="BO25" s="20">
        <f>BK25*BM25</f>
        <v>2820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1410</v>
      </c>
      <c r="CM25" s="21"/>
      <c r="CN25" s="20">
        <f>CJ25*CL25</f>
        <v>2820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1410</v>
      </c>
      <c r="DL25" s="21"/>
      <c r="DM25" s="20">
        <f>DI25*DK25</f>
        <v>2820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1410</v>
      </c>
      <c r="EK25" s="21"/>
      <c r="EL25" s="20">
        <f>EH25*EJ25</f>
        <v>2820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1410</v>
      </c>
      <c r="FJ25" s="21"/>
      <c r="FK25" s="20">
        <f>FG25*FI25</f>
        <v>2820</v>
      </c>
      <c r="FL25" s="21"/>
      <c r="FM25" s="2"/>
      <c r="FN25" s="2"/>
      <c r="FO25" s="2"/>
      <c r="FP25" s="2"/>
      <c r="FQ25" s="2"/>
      <c r="FR25" s="2"/>
      <c r="FS25" s="2"/>
    </row>
    <row r="26" spans="1:175" ht="15.95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6.5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.95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1410</v>
      </c>
      <c r="P28" s="21"/>
      <c r="Q28" s="20">
        <f>M28*O28</f>
        <v>1410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1410</v>
      </c>
      <c r="AO28" s="21"/>
      <c r="AP28" s="20">
        <f>AL28*AN28</f>
        <v>1410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1410</v>
      </c>
      <c r="BN28" s="21"/>
      <c r="BO28" s="20">
        <f>BK28*BM28</f>
        <v>1410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1410</v>
      </c>
      <c r="CM28" s="21"/>
      <c r="CN28" s="20">
        <f>CJ28*CL28</f>
        <v>1410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1410</v>
      </c>
      <c r="DL28" s="21"/>
      <c r="DM28" s="20">
        <f>DI28*DK28</f>
        <v>1410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1410</v>
      </c>
      <c r="EK28" s="21"/>
      <c r="EL28" s="20">
        <f>EH28*EJ28</f>
        <v>1410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1410</v>
      </c>
      <c r="FJ28" s="21"/>
      <c r="FK28" s="20">
        <f>FG28*FI28</f>
        <v>1410</v>
      </c>
      <c r="FL28" s="21"/>
      <c r="FM28" s="2"/>
      <c r="FN28" s="2"/>
      <c r="FO28" s="2"/>
      <c r="FP28" s="2"/>
      <c r="FQ28" s="2"/>
      <c r="FR28" s="2"/>
      <c r="FS28" s="2"/>
    </row>
    <row r="29" spans="1:175" ht="15.95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6.5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8.600000000000001">
      <c r="A33" s="2"/>
      <c r="B33" s="2"/>
      <c r="C33" s="61" t="s">
        <v>61</v>
      </c>
      <c r="D33" s="62"/>
      <c r="E33" s="62"/>
      <c r="F33" s="63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61" t="s">
        <v>62</v>
      </c>
      <c r="AC33" s="62"/>
      <c r="AD33" s="62"/>
      <c r="AE33" s="63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61" t="s">
        <v>63</v>
      </c>
      <c r="BB33" s="62"/>
      <c r="BC33" s="62"/>
      <c r="BD33" s="63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61" t="s">
        <v>64</v>
      </c>
      <c r="CA33" s="62"/>
      <c r="CB33" s="62"/>
      <c r="CC33" s="63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61" t="s">
        <v>65</v>
      </c>
      <c r="CZ33" s="62"/>
      <c r="DA33" s="62"/>
      <c r="DB33" s="63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61" t="s">
        <v>66</v>
      </c>
      <c r="DY33" s="62"/>
      <c r="DZ33" s="62"/>
      <c r="EA33" s="63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61" t="s">
        <v>67</v>
      </c>
      <c r="EX33" s="62"/>
      <c r="EY33" s="62"/>
      <c r="EZ33" s="63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8.95" thickBot="1">
      <c r="A34" s="2"/>
      <c r="B34" s="2"/>
      <c r="C34" s="64"/>
      <c r="D34" s="65"/>
      <c r="E34" s="65"/>
      <c r="F34" s="66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64"/>
      <c r="AC34" s="65"/>
      <c r="AD34" s="65"/>
      <c r="AE34" s="66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64"/>
      <c r="BB34" s="65"/>
      <c r="BC34" s="65"/>
      <c r="BD34" s="66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64"/>
      <c r="CA34" s="65"/>
      <c r="CB34" s="65"/>
      <c r="CC34" s="66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64"/>
      <c r="CZ34" s="65"/>
      <c r="DA34" s="65"/>
      <c r="DB34" s="66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64"/>
      <c r="DY34" s="65"/>
      <c r="DZ34" s="65"/>
      <c r="EA34" s="66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64"/>
      <c r="EX34" s="65"/>
      <c r="EY34" s="65"/>
      <c r="EZ34" s="66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ht="14.45" customHeight="1">
      <c r="A35" s="2"/>
      <c r="B35" s="2"/>
      <c r="C35" s="67" t="s">
        <v>68</v>
      </c>
      <c r="D35" s="67">
        <f>F11+F15+F19</f>
        <v>1110</v>
      </c>
      <c r="E35" s="67" t="s">
        <v>69</v>
      </c>
      <c r="F35" s="67">
        <f>D35-D39</f>
        <v>-7744.7999999999993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67" t="s">
        <v>68</v>
      </c>
      <c r="AC35" s="67">
        <f>AE11+AE15+AE19</f>
        <v>1165</v>
      </c>
      <c r="AD35" s="67" t="s">
        <v>69</v>
      </c>
      <c r="AE35" s="67">
        <f>AC35-AC39</f>
        <v>-7689.7999999999993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67" t="s">
        <v>68</v>
      </c>
      <c r="BB35" s="67">
        <f>BD11+BD15+BD19</f>
        <v>1270</v>
      </c>
      <c r="BC35" s="67" t="s">
        <v>69</v>
      </c>
      <c r="BD35" s="67">
        <f>BB35-BB39</f>
        <v>-7584.7999999999993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67" t="s">
        <v>68</v>
      </c>
      <c r="CA35" s="67">
        <f>CC11+CC15+CC19</f>
        <v>1170</v>
      </c>
      <c r="CB35" s="67" t="s">
        <v>69</v>
      </c>
      <c r="CC35" s="67">
        <f>CA35-CA39</f>
        <v>-7684.7999999999993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67" t="s">
        <v>68</v>
      </c>
      <c r="CZ35" s="67">
        <f>DB11+DB15+DB19</f>
        <v>1120</v>
      </c>
      <c r="DA35" s="67" t="s">
        <v>69</v>
      </c>
      <c r="DB35" s="67">
        <f>CZ35-CZ39</f>
        <v>-7734.7999999999993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67" t="s">
        <v>68</v>
      </c>
      <c r="DY35" s="67">
        <f>EA11+EA15+EA19</f>
        <v>1110</v>
      </c>
      <c r="DZ35" s="67" t="s">
        <v>69</v>
      </c>
      <c r="EA35" s="67">
        <f>DY35-DY39</f>
        <v>-7744.7999999999993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67" t="s">
        <v>68</v>
      </c>
      <c r="EX35" s="67">
        <f>EZ11+EZ15+EZ19</f>
        <v>1110</v>
      </c>
      <c r="EY35" s="67" t="s">
        <v>69</v>
      </c>
      <c r="EZ35" s="67">
        <f>EX35-EX39</f>
        <v>-7744.7999999999993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ht="14.45" customHeight="1">
      <c r="A36" s="2"/>
      <c r="B36" s="2"/>
      <c r="C36" s="67"/>
      <c r="D36" s="67"/>
      <c r="E36" s="67"/>
      <c r="F36" s="67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67"/>
      <c r="AC36" s="67"/>
      <c r="AD36" s="67"/>
      <c r="AE36" s="67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67"/>
      <c r="BB36" s="67"/>
      <c r="BC36" s="67"/>
      <c r="BD36" s="67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67"/>
      <c r="CA36" s="67"/>
      <c r="CB36" s="67"/>
      <c r="CC36" s="67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67"/>
      <c r="CZ36" s="67"/>
      <c r="DA36" s="67"/>
      <c r="DB36" s="67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67"/>
      <c r="DY36" s="67"/>
      <c r="DZ36" s="67"/>
      <c r="EA36" s="67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67"/>
      <c r="EX36" s="67"/>
      <c r="EY36" s="67"/>
      <c r="EZ36" s="67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ht="14.45" customHeight="1">
      <c r="A37" s="2"/>
      <c r="B37" s="2"/>
      <c r="C37" s="67"/>
      <c r="D37" s="67"/>
      <c r="E37" s="67"/>
      <c r="F37" s="67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67"/>
      <c r="AC37" s="67"/>
      <c r="AD37" s="67"/>
      <c r="AE37" s="67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67"/>
      <c r="BB37" s="67"/>
      <c r="BC37" s="67"/>
      <c r="BD37" s="67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67"/>
      <c r="CA37" s="67"/>
      <c r="CB37" s="67"/>
      <c r="CC37" s="67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67"/>
      <c r="CZ37" s="67"/>
      <c r="DA37" s="67"/>
      <c r="DB37" s="67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67"/>
      <c r="DY37" s="67"/>
      <c r="DZ37" s="67"/>
      <c r="EA37" s="67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67"/>
      <c r="EX37" s="67"/>
      <c r="EY37" s="67"/>
      <c r="EZ37" s="67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" customHeight="1" thickBot="1">
      <c r="A38" s="2"/>
      <c r="B38" s="2"/>
      <c r="C38" s="68"/>
      <c r="D38" s="68"/>
      <c r="E38" s="68"/>
      <c r="F38" s="68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68"/>
      <c r="AC38" s="68"/>
      <c r="AD38" s="68"/>
      <c r="AE38" s="68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68"/>
      <c r="BB38" s="68"/>
      <c r="BC38" s="68"/>
      <c r="BD38" s="68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68"/>
      <c r="CA38" s="68"/>
      <c r="CB38" s="68"/>
      <c r="CC38" s="68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68"/>
      <c r="CZ38" s="68"/>
      <c r="DA38" s="68"/>
      <c r="DB38" s="68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68"/>
      <c r="DY38" s="68"/>
      <c r="DZ38" s="68"/>
      <c r="EA38" s="68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68"/>
      <c r="EX38" s="68"/>
      <c r="EY38" s="68"/>
      <c r="EZ38" s="68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ht="14.45" customHeight="1">
      <c r="A39" s="2"/>
      <c r="B39" s="2"/>
      <c r="C39" s="67" t="s">
        <v>70</v>
      </c>
      <c r="D39" s="67">
        <f>SUM(Q13:Q28)</f>
        <v>8854.7999999999993</v>
      </c>
      <c r="E39" s="67" t="s">
        <v>71</v>
      </c>
      <c r="F39" s="67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67" t="s">
        <v>70</v>
      </c>
      <c r="AC39" s="67">
        <f>SUM(AP13:AP28)</f>
        <v>8854.7999999999993</v>
      </c>
      <c r="AD39" s="67" t="s">
        <v>71</v>
      </c>
      <c r="AE39" s="67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67" t="s">
        <v>70</v>
      </c>
      <c r="BB39" s="67">
        <f>SUM(BO13:BO28)</f>
        <v>8854.7999999999993</v>
      </c>
      <c r="BC39" s="67" t="s">
        <v>71</v>
      </c>
      <c r="BD39" s="67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67" t="s">
        <v>70</v>
      </c>
      <c r="CA39" s="67">
        <f>SUM(CN13:CN28)</f>
        <v>8854.7999999999993</v>
      </c>
      <c r="CB39" s="67" t="s">
        <v>71</v>
      </c>
      <c r="CC39" s="67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67" t="s">
        <v>70</v>
      </c>
      <c r="CZ39" s="67">
        <f>SUM(DM13:DM28)</f>
        <v>8854.7999999999993</v>
      </c>
      <c r="DA39" s="67" t="s">
        <v>71</v>
      </c>
      <c r="DB39" s="67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67" t="s">
        <v>70</v>
      </c>
      <c r="DY39" s="67">
        <f>SUM(EL13:EL28)</f>
        <v>8854.7999999999993</v>
      </c>
      <c r="DZ39" s="67" t="s">
        <v>71</v>
      </c>
      <c r="EA39" s="67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67" t="s">
        <v>70</v>
      </c>
      <c r="EX39" s="67">
        <f>SUM(FK13:FK28)</f>
        <v>8854.7999999999993</v>
      </c>
      <c r="EY39" s="67" t="s">
        <v>71</v>
      </c>
      <c r="EZ39" s="67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ht="14.45" customHeight="1">
      <c r="A40" s="2"/>
      <c r="B40" s="2"/>
      <c r="C40" s="67"/>
      <c r="D40" s="67"/>
      <c r="E40" s="67"/>
      <c r="F40" s="67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67"/>
      <c r="AC40" s="67"/>
      <c r="AD40" s="67"/>
      <c r="AE40" s="67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67"/>
      <c r="BB40" s="67"/>
      <c r="BC40" s="67"/>
      <c r="BD40" s="67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67"/>
      <c r="CA40" s="67"/>
      <c r="CB40" s="67"/>
      <c r="CC40" s="67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67"/>
      <c r="CZ40" s="67"/>
      <c r="DA40" s="67"/>
      <c r="DB40" s="67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67"/>
      <c r="DY40" s="67"/>
      <c r="DZ40" s="67"/>
      <c r="EA40" s="67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67"/>
      <c r="EX40" s="67"/>
      <c r="EY40" s="67"/>
      <c r="EZ40" s="67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ht="14.45" customHeight="1">
      <c r="A41" s="2"/>
      <c r="B41" s="2"/>
      <c r="C41" s="67"/>
      <c r="D41" s="67"/>
      <c r="E41" s="67"/>
      <c r="F41" s="67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67"/>
      <c r="AC41" s="67"/>
      <c r="AD41" s="67"/>
      <c r="AE41" s="67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67"/>
      <c r="BB41" s="67"/>
      <c r="BC41" s="67"/>
      <c r="BD41" s="67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67"/>
      <c r="CA41" s="67"/>
      <c r="CB41" s="67"/>
      <c r="CC41" s="67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67"/>
      <c r="CZ41" s="67"/>
      <c r="DA41" s="67"/>
      <c r="DB41" s="67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67"/>
      <c r="DY41" s="67"/>
      <c r="DZ41" s="67"/>
      <c r="EA41" s="67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67"/>
      <c r="EX41" s="67"/>
      <c r="EY41" s="67"/>
      <c r="EZ41" s="67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customHeight="1" thickBot="1">
      <c r="A42" s="2"/>
      <c r="B42" s="2"/>
      <c r="C42" s="68"/>
      <c r="D42" s="68"/>
      <c r="E42" s="68"/>
      <c r="F42" s="68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68"/>
      <c r="AC42" s="68"/>
      <c r="AD42" s="68"/>
      <c r="AE42" s="68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68"/>
      <c r="BB42" s="68"/>
      <c r="BC42" s="68"/>
      <c r="BD42" s="68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68"/>
      <c r="CA42" s="68"/>
      <c r="CB42" s="68"/>
      <c r="CC42" s="68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68"/>
      <c r="CZ42" s="68"/>
      <c r="DA42" s="68"/>
      <c r="DB42" s="68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68"/>
      <c r="DY42" s="68"/>
      <c r="DZ42" s="68"/>
      <c r="EA42" s="68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68"/>
      <c r="EX42" s="68"/>
      <c r="EY42" s="68"/>
      <c r="EZ42" s="68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4.45" customHeight="1">
      <c r="A50" s="2"/>
      <c r="B50" s="2"/>
      <c r="C50" s="2"/>
      <c r="D50" s="2"/>
      <c r="E50" s="61" t="s">
        <v>72</v>
      </c>
      <c r="F50" s="62"/>
      <c r="G50" s="62"/>
      <c r="H50" s="63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88"/>
      <c r="BD50" s="88"/>
      <c r="BE50" s="88"/>
      <c r="BF50" s="88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95" t="s">
        <v>72</v>
      </c>
      <c r="CC50" s="96"/>
      <c r="CD50" s="96"/>
      <c r="CE50" s="97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95" t="s">
        <v>72</v>
      </c>
      <c r="DB50" s="96"/>
      <c r="DC50" s="96"/>
      <c r="DD50" s="97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95" t="s">
        <v>72</v>
      </c>
      <c r="EA50" s="96"/>
      <c r="EB50" s="96"/>
      <c r="EC50" s="97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95" t="s">
        <v>72</v>
      </c>
      <c r="EZ50" s="96"/>
      <c r="FA50" s="96"/>
      <c r="FB50" s="97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5" customHeight="1" thickBot="1">
      <c r="A51" s="2"/>
      <c r="B51" s="2"/>
      <c r="C51" s="2"/>
      <c r="D51" s="2"/>
      <c r="E51" s="64"/>
      <c r="F51" s="65"/>
      <c r="G51" s="65"/>
      <c r="H51" s="66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88"/>
      <c r="BD51" s="88"/>
      <c r="BE51" s="88"/>
      <c r="BF51" s="88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98"/>
      <c r="CC51" s="99"/>
      <c r="CD51" s="99"/>
      <c r="CE51" s="100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98"/>
      <c r="DB51" s="99"/>
      <c r="DC51" s="99"/>
      <c r="DD51" s="100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98"/>
      <c r="EA51" s="99"/>
      <c r="EB51" s="99"/>
      <c r="EC51" s="100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98"/>
      <c r="EZ51" s="99"/>
      <c r="FA51" s="99"/>
      <c r="FB51" s="100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4.45" customHeight="1">
      <c r="A52" s="2"/>
      <c r="B52" s="2"/>
      <c r="C52" s="2"/>
      <c r="D52" s="2"/>
      <c r="E52" s="67" t="s">
        <v>68</v>
      </c>
      <c r="F52" s="52">
        <f>F35+AE35+BD35+CC35+DB35+EA35+EZ35</f>
        <v>-53928.600000000006</v>
      </c>
      <c r="G52" s="53"/>
      <c r="H52" s="5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89"/>
      <c r="BD52" s="89"/>
      <c r="BE52" s="89"/>
      <c r="BF52" s="89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90" t="s">
        <v>68</v>
      </c>
      <c r="CC52" s="92"/>
      <c r="CD52" s="93"/>
      <c r="CE52" s="93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90" t="s">
        <v>68</v>
      </c>
      <c r="DB52" s="92"/>
      <c r="DC52" s="93"/>
      <c r="DD52" s="93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90" t="s">
        <v>68</v>
      </c>
      <c r="EA52" s="92"/>
      <c r="EB52" s="93"/>
      <c r="EC52" s="93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90" t="s">
        <v>68</v>
      </c>
      <c r="EZ52" s="92"/>
      <c r="FA52" s="93"/>
      <c r="FB52" s="93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4.45" customHeight="1">
      <c r="A53" s="2"/>
      <c r="B53" s="2"/>
      <c r="C53" s="2"/>
      <c r="D53" s="2"/>
      <c r="E53" s="67"/>
      <c r="F53" s="55"/>
      <c r="G53" s="56"/>
      <c r="H53" s="5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89"/>
      <c r="BD53" s="89"/>
      <c r="BE53" s="89"/>
      <c r="BF53" s="89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90"/>
      <c r="CC53" s="94"/>
      <c r="CD53" s="89"/>
      <c r="CE53" s="89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90"/>
      <c r="DB53" s="94"/>
      <c r="DC53" s="89"/>
      <c r="DD53" s="89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90"/>
      <c r="EA53" s="94"/>
      <c r="EB53" s="89"/>
      <c r="EC53" s="89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90"/>
      <c r="EZ53" s="94"/>
      <c r="FA53" s="89"/>
      <c r="FB53" s="89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4.45" customHeight="1">
      <c r="A54" s="2"/>
      <c r="B54" s="2"/>
      <c r="C54" s="2"/>
      <c r="D54" s="2"/>
      <c r="E54" s="67"/>
      <c r="F54" s="55"/>
      <c r="G54" s="56"/>
      <c r="H54" s="5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89"/>
      <c r="BD54" s="89"/>
      <c r="BE54" s="89"/>
      <c r="BF54" s="89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90"/>
      <c r="CC54" s="94"/>
      <c r="CD54" s="89"/>
      <c r="CE54" s="89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90"/>
      <c r="DB54" s="94"/>
      <c r="DC54" s="89"/>
      <c r="DD54" s="89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90"/>
      <c r="EA54" s="94"/>
      <c r="EB54" s="89"/>
      <c r="EC54" s="89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90"/>
      <c r="EZ54" s="94"/>
      <c r="FA54" s="89"/>
      <c r="FB54" s="89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5" customHeight="1" thickBot="1">
      <c r="A55" s="2"/>
      <c r="B55" s="2"/>
      <c r="C55" s="2"/>
      <c r="D55" s="2"/>
      <c r="E55" s="68"/>
      <c r="F55" s="55"/>
      <c r="G55" s="56"/>
      <c r="H55" s="5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89"/>
      <c r="BD55" s="89"/>
      <c r="BE55" s="89"/>
      <c r="BF55" s="89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91"/>
      <c r="CC55" s="94"/>
      <c r="CD55" s="89"/>
      <c r="CE55" s="89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91"/>
      <c r="DB55" s="94"/>
      <c r="DC55" s="89"/>
      <c r="DD55" s="89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91"/>
      <c r="EA55" s="94"/>
      <c r="EB55" s="89"/>
      <c r="EC55" s="89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91"/>
      <c r="EZ55" s="94"/>
      <c r="FA55" s="89"/>
      <c r="FB55" s="89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4.45" customHeight="1">
      <c r="A56" s="2"/>
      <c r="B56" s="2"/>
      <c r="C56" s="2"/>
      <c r="D56" s="2"/>
      <c r="E56" s="67" t="s">
        <v>70</v>
      </c>
      <c r="F56" s="52">
        <f>D39+AC39+BB39+CA39+CZ39+DY39+EX39</f>
        <v>61983.600000000006</v>
      </c>
      <c r="G56" s="53"/>
      <c r="H56" s="5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89"/>
      <c r="BD56" s="89"/>
      <c r="BE56" s="89"/>
      <c r="BF56" s="89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90" t="s">
        <v>70</v>
      </c>
      <c r="CC56" s="92"/>
      <c r="CD56" s="93"/>
      <c r="CE56" s="93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90" t="s">
        <v>70</v>
      </c>
      <c r="DB56" s="92"/>
      <c r="DC56" s="93"/>
      <c r="DD56" s="93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90" t="s">
        <v>70</v>
      </c>
      <c r="EA56" s="92"/>
      <c r="EB56" s="93"/>
      <c r="EC56" s="93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90" t="s">
        <v>70</v>
      </c>
      <c r="EZ56" s="92"/>
      <c r="FA56" s="93"/>
      <c r="FB56" s="93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4.45" customHeight="1">
      <c r="A57" s="2"/>
      <c r="B57" s="2"/>
      <c r="C57" s="2"/>
      <c r="D57" s="2"/>
      <c r="E57" s="67"/>
      <c r="F57" s="55"/>
      <c r="G57" s="56"/>
      <c r="H57" s="5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89"/>
      <c r="BD57" s="89"/>
      <c r="BE57" s="89"/>
      <c r="BF57" s="89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90"/>
      <c r="CC57" s="94"/>
      <c r="CD57" s="89"/>
      <c r="CE57" s="89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90"/>
      <c r="DB57" s="94"/>
      <c r="DC57" s="89"/>
      <c r="DD57" s="89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90"/>
      <c r="EA57" s="94"/>
      <c r="EB57" s="89"/>
      <c r="EC57" s="89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90"/>
      <c r="EZ57" s="94"/>
      <c r="FA57" s="89"/>
      <c r="FB57" s="89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4.45" customHeight="1">
      <c r="A58" s="2"/>
      <c r="B58" s="2"/>
      <c r="C58" s="2"/>
      <c r="D58" s="2"/>
      <c r="E58" s="67"/>
      <c r="F58" s="55"/>
      <c r="G58" s="56"/>
      <c r="H58" s="5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89"/>
      <c r="BD58" s="89"/>
      <c r="BE58" s="89"/>
      <c r="BF58" s="89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90"/>
      <c r="CC58" s="94"/>
      <c r="CD58" s="89"/>
      <c r="CE58" s="89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90"/>
      <c r="DB58" s="94"/>
      <c r="DC58" s="89"/>
      <c r="DD58" s="89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90"/>
      <c r="EA58" s="94"/>
      <c r="EB58" s="89"/>
      <c r="EC58" s="89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90"/>
      <c r="EZ58" s="94"/>
      <c r="FA58" s="89"/>
      <c r="FB58" s="89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5" customHeight="1" thickBot="1">
      <c r="A59" s="2"/>
      <c r="B59" s="2"/>
      <c r="C59" s="2"/>
      <c r="D59" s="2"/>
      <c r="E59" s="68"/>
      <c r="F59" s="55"/>
      <c r="G59" s="56"/>
      <c r="H59" s="5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89"/>
      <c r="BD59" s="89"/>
      <c r="BE59" s="89"/>
      <c r="BF59" s="89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91"/>
      <c r="CC59" s="94"/>
      <c r="CD59" s="89"/>
      <c r="CE59" s="89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91"/>
      <c r="DB59" s="94"/>
      <c r="DC59" s="89"/>
      <c r="DD59" s="89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91"/>
      <c r="EA59" s="94"/>
      <c r="EB59" s="89"/>
      <c r="EC59" s="89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91"/>
      <c r="EZ59" s="94"/>
      <c r="FA59" s="89"/>
      <c r="FB59" s="89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4.45" customHeight="1">
      <c r="A60" s="2"/>
      <c r="B60" s="2"/>
      <c r="C60" s="2"/>
      <c r="D60" s="2"/>
      <c r="E60" s="67" t="s">
        <v>73</v>
      </c>
      <c r="F60" s="52">
        <f>F56-F52</f>
        <v>115912.20000000001</v>
      </c>
      <c r="G60" s="53"/>
      <c r="H60" s="5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5"/>
      <c r="AE60" s="35"/>
      <c r="AF60" s="35"/>
      <c r="AG60" s="35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89"/>
      <c r="BD60" s="89"/>
      <c r="BE60" s="89"/>
      <c r="BF60" s="89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90" t="s">
        <v>73</v>
      </c>
      <c r="CC60" s="92"/>
      <c r="CD60" s="93"/>
      <c r="CE60" s="93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90" t="s">
        <v>73</v>
      </c>
      <c r="DB60" s="92"/>
      <c r="DC60" s="93"/>
      <c r="DD60" s="93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90" t="s">
        <v>73</v>
      </c>
      <c r="EA60" s="92"/>
      <c r="EB60" s="93"/>
      <c r="EC60" s="93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90" t="s">
        <v>73</v>
      </c>
      <c r="EZ60" s="92"/>
      <c r="FA60" s="93"/>
      <c r="FB60" s="93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4.45" customHeight="1">
      <c r="A61" s="2"/>
      <c r="B61" s="2"/>
      <c r="C61" s="2"/>
      <c r="D61" s="2"/>
      <c r="E61" s="67"/>
      <c r="F61" s="55"/>
      <c r="G61" s="56"/>
      <c r="H61" s="5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5"/>
      <c r="AE61" s="35"/>
      <c r="AF61" s="35"/>
      <c r="AG61" s="3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89"/>
      <c r="BD61" s="89"/>
      <c r="BE61" s="89"/>
      <c r="BF61" s="89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90"/>
      <c r="CC61" s="94"/>
      <c r="CD61" s="89"/>
      <c r="CE61" s="89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90"/>
      <c r="DB61" s="94"/>
      <c r="DC61" s="89"/>
      <c r="DD61" s="89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90"/>
      <c r="EA61" s="94"/>
      <c r="EB61" s="89"/>
      <c r="EC61" s="89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90"/>
      <c r="EZ61" s="94"/>
      <c r="FA61" s="89"/>
      <c r="FB61" s="89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4.45" customHeight="1">
      <c r="A62" s="2"/>
      <c r="B62" s="2"/>
      <c r="C62" s="2"/>
      <c r="D62" s="2"/>
      <c r="E62" s="67"/>
      <c r="F62" s="55"/>
      <c r="G62" s="56"/>
      <c r="H62" s="5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5"/>
      <c r="AE62" s="35"/>
      <c r="AF62" s="35"/>
      <c r="AG62" s="35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89"/>
      <c r="BD62" s="89"/>
      <c r="BE62" s="89"/>
      <c r="BF62" s="89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90"/>
      <c r="CC62" s="94"/>
      <c r="CD62" s="89"/>
      <c r="CE62" s="89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90"/>
      <c r="DB62" s="94"/>
      <c r="DC62" s="89"/>
      <c r="DD62" s="89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90"/>
      <c r="EA62" s="94"/>
      <c r="EB62" s="89"/>
      <c r="EC62" s="89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90"/>
      <c r="EZ62" s="94"/>
      <c r="FA62" s="89"/>
      <c r="FB62" s="89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5" customHeight="1" thickBot="1">
      <c r="A63" s="2"/>
      <c r="B63" s="2"/>
      <c r="C63" s="2"/>
      <c r="D63" s="2"/>
      <c r="E63" s="68"/>
      <c r="F63" s="55"/>
      <c r="G63" s="56"/>
      <c r="H63" s="5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5"/>
      <c r="AE63" s="35"/>
      <c r="AF63" s="35"/>
      <c r="AG63" s="35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89"/>
      <c r="BD63" s="89"/>
      <c r="BE63" s="89"/>
      <c r="BF63" s="89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91"/>
      <c r="CC63" s="94"/>
      <c r="CD63" s="89"/>
      <c r="CE63" s="89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91"/>
      <c r="DB63" s="94"/>
      <c r="DC63" s="89"/>
      <c r="DD63" s="89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91"/>
      <c r="EA63" s="94"/>
      <c r="EB63" s="89"/>
      <c r="EC63" s="89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91"/>
      <c r="EZ63" s="94"/>
      <c r="FA63" s="89"/>
      <c r="FB63" s="89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4.45" customHeight="1">
      <c r="A64" s="2"/>
      <c r="B64" s="2"/>
      <c r="C64" s="2"/>
      <c r="D64" s="2"/>
      <c r="E64" s="67" t="s">
        <v>74</v>
      </c>
      <c r="F64" s="52">
        <f>(F60)/7700</f>
        <v>15.053532467532468</v>
      </c>
      <c r="G64" s="53"/>
      <c r="H64" s="5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5"/>
      <c r="AF64" s="35"/>
      <c r="AG64" s="35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89"/>
      <c r="BD64" s="89"/>
      <c r="BE64" s="89"/>
      <c r="BF64" s="89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90" t="s">
        <v>74</v>
      </c>
      <c r="CC64" s="92"/>
      <c r="CD64" s="93"/>
      <c r="CE64" s="93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90" t="s">
        <v>74</v>
      </c>
      <c r="DB64" s="92"/>
      <c r="DC64" s="93"/>
      <c r="DD64" s="93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90" t="s">
        <v>74</v>
      </c>
      <c r="EA64" s="92"/>
      <c r="EB64" s="93"/>
      <c r="EC64" s="93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90" t="s">
        <v>74</v>
      </c>
      <c r="EZ64" s="92"/>
      <c r="FA64" s="93"/>
      <c r="FB64" s="93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4.45" customHeight="1">
      <c r="A65" s="2"/>
      <c r="B65" s="2"/>
      <c r="C65" s="2"/>
      <c r="D65" s="2"/>
      <c r="E65" s="67"/>
      <c r="F65" s="55"/>
      <c r="G65" s="56"/>
      <c r="H65" s="5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5"/>
      <c r="AE65" s="35"/>
      <c r="AF65" s="35"/>
      <c r="AG65" s="35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89"/>
      <c r="BD65" s="89"/>
      <c r="BE65" s="89"/>
      <c r="BF65" s="89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90"/>
      <c r="CC65" s="94"/>
      <c r="CD65" s="89"/>
      <c r="CE65" s="89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90"/>
      <c r="DB65" s="94"/>
      <c r="DC65" s="89"/>
      <c r="DD65" s="89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90"/>
      <c r="EA65" s="94"/>
      <c r="EB65" s="89"/>
      <c r="EC65" s="89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90"/>
      <c r="EZ65" s="94"/>
      <c r="FA65" s="89"/>
      <c r="FB65" s="89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4.45" customHeight="1">
      <c r="A66" s="2"/>
      <c r="B66" s="2"/>
      <c r="C66" s="2"/>
      <c r="D66" s="2"/>
      <c r="E66" s="67"/>
      <c r="F66" s="55"/>
      <c r="G66" s="56"/>
      <c r="H66" s="5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5"/>
      <c r="AE66" s="35"/>
      <c r="AF66" s="35"/>
      <c r="AG66" s="35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89"/>
      <c r="BD66" s="89"/>
      <c r="BE66" s="89"/>
      <c r="BF66" s="89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90"/>
      <c r="CC66" s="94"/>
      <c r="CD66" s="89"/>
      <c r="CE66" s="89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90"/>
      <c r="DB66" s="94"/>
      <c r="DC66" s="89"/>
      <c r="DD66" s="89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90"/>
      <c r="EA66" s="94"/>
      <c r="EB66" s="89"/>
      <c r="EC66" s="89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90"/>
      <c r="EZ66" s="94"/>
      <c r="FA66" s="89"/>
      <c r="FB66" s="89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5" customHeight="1" thickBot="1">
      <c r="A67" s="2"/>
      <c r="B67" s="2"/>
      <c r="C67" s="2"/>
      <c r="D67" s="2"/>
      <c r="E67" s="68"/>
      <c r="F67" s="55"/>
      <c r="G67" s="56"/>
      <c r="H67" s="5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5"/>
      <c r="AE67" s="35"/>
      <c r="AF67" s="35"/>
      <c r="AG67" s="35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89"/>
      <c r="BD67" s="89"/>
      <c r="BE67" s="89"/>
      <c r="BF67" s="89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91"/>
      <c r="CC67" s="94"/>
      <c r="CD67" s="89"/>
      <c r="CE67" s="89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91"/>
      <c r="DB67" s="94"/>
      <c r="DC67" s="89"/>
      <c r="DD67" s="89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91"/>
      <c r="EA67" s="94"/>
      <c r="EB67" s="89"/>
      <c r="EC67" s="89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91"/>
      <c r="EZ67" s="94"/>
      <c r="FA67" s="89"/>
      <c r="FB67" s="89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4.45" customHeight="1">
      <c r="A68" s="2"/>
      <c r="B68" s="2"/>
      <c r="C68" s="2"/>
      <c r="D68" s="2"/>
      <c r="E68" s="67" t="s">
        <v>82</v>
      </c>
      <c r="F68" s="52">
        <f>D3-F64</f>
        <v>125.94646753246754</v>
      </c>
      <c r="G68" s="53"/>
      <c r="H68" s="5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5"/>
      <c r="AE68" s="35"/>
      <c r="AF68" s="35"/>
      <c r="AG68" s="35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89"/>
      <c r="BD68" s="89"/>
      <c r="BE68" s="89"/>
      <c r="BF68" s="89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90" t="s">
        <v>75</v>
      </c>
      <c r="CC68" s="92"/>
      <c r="CD68" s="93"/>
      <c r="CE68" s="93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90" t="s">
        <v>75</v>
      </c>
      <c r="DB68" s="92"/>
      <c r="DC68" s="93"/>
      <c r="DD68" s="93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90" t="s">
        <v>75</v>
      </c>
      <c r="EA68" s="92"/>
      <c r="EB68" s="93"/>
      <c r="EC68" s="93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90" t="s">
        <v>75</v>
      </c>
      <c r="EZ68" s="92"/>
      <c r="FA68" s="93"/>
      <c r="FB68" s="93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4.45" customHeight="1">
      <c r="A69" s="2"/>
      <c r="B69" s="2"/>
      <c r="C69" s="2"/>
      <c r="D69" s="2"/>
      <c r="E69" s="67"/>
      <c r="F69" s="55"/>
      <c r="G69" s="56"/>
      <c r="H69" s="5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5"/>
      <c r="AE69" s="35"/>
      <c r="AF69" s="35"/>
      <c r="AG69" s="35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89"/>
      <c r="BD69" s="89"/>
      <c r="BE69" s="89"/>
      <c r="BF69" s="89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90"/>
      <c r="CC69" s="94"/>
      <c r="CD69" s="89"/>
      <c r="CE69" s="89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90"/>
      <c r="DB69" s="94"/>
      <c r="DC69" s="89"/>
      <c r="DD69" s="89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90"/>
      <c r="EA69" s="94"/>
      <c r="EB69" s="89"/>
      <c r="EC69" s="89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90"/>
      <c r="EZ69" s="94"/>
      <c r="FA69" s="89"/>
      <c r="FB69" s="89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4.45" customHeight="1">
      <c r="A70" s="2"/>
      <c r="B70" s="2"/>
      <c r="C70" s="2"/>
      <c r="D70" s="2"/>
      <c r="E70" s="67"/>
      <c r="F70" s="55"/>
      <c r="G70" s="56"/>
      <c r="H70" s="5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5"/>
      <c r="AE70" s="35"/>
      <c r="AF70" s="35"/>
      <c r="AG70" s="35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89"/>
      <c r="BD70" s="89"/>
      <c r="BE70" s="89"/>
      <c r="BF70" s="89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90"/>
      <c r="CC70" s="94"/>
      <c r="CD70" s="89"/>
      <c r="CE70" s="89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90"/>
      <c r="DB70" s="94"/>
      <c r="DC70" s="89"/>
      <c r="DD70" s="89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90"/>
      <c r="EA70" s="94"/>
      <c r="EB70" s="89"/>
      <c r="EC70" s="89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90"/>
      <c r="EZ70" s="94"/>
      <c r="FA70" s="89"/>
      <c r="FB70" s="89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" customHeight="1" thickBot="1">
      <c r="A71" s="2"/>
      <c r="B71" s="2"/>
      <c r="C71" s="2"/>
      <c r="D71" s="2"/>
      <c r="E71" s="68"/>
      <c r="F71" s="55"/>
      <c r="G71" s="56"/>
      <c r="H71" s="5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89"/>
      <c r="BD71" s="89"/>
      <c r="BE71" s="89"/>
      <c r="BF71" s="89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91"/>
      <c r="CC71" s="94"/>
      <c r="CD71" s="89"/>
      <c r="CE71" s="89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91"/>
      <c r="DB71" s="94"/>
      <c r="DC71" s="89"/>
      <c r="DD71" s="89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91"/>
      <c r="EA71" s="94"/>
      <c r="EB71" s="89"/>
      <c r="EC71" s="89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91"/>
      <c r="EZ71" s="94"/>
      <c r="FA71" s="89"/>
      <c r="FB71" s="89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4.45" customHeight="1">
      <c r="A72" s="2"/>
      <c r="B72" s="2"/>
      <c r="C72" s="2"/>
      <c r="D72" s="2"/>
      <c r="E72" s="67" t="s">
        <v>83</v>
      </c>
      <c r="F72" s="52">
        <f>148.95/(1.6^2)</f>
        <v>58.183593749999986</v>
      </c>
      <c r="G72" s="53"/>
      <c r="H72" s="5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89"/>
      <c r="BD72" s="89"/>
      <c r="BE72" s="89"/>
      <c r="BF72" s="89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90" t="s">
        <v>76</v>
      </c>
      <c r="CC72" s="92"/>
      <c r="CD72" s="93"/>
      <c r="CE72" s="93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90" t="s">
        <v>76</v>
      </c>
      <c r="DB72" s="92"/>
      <c r="DC72" s="93"/>
      <c r="DD72" s="93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90" t="s">
        <v>76</v>
      </c>
      <c r="EA72" s="92"/>
      <c r="EB72" s="93"/>
      <c r="EC72" s="93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90" t="s">
        <v>76</v>
      </c>
      <c r="EZ72" s="92"/>
      <c r="FA72" s="93"/>
      <c r="FB72" s="93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4.45" customHeight="1">
      <c r="A73" s="2"/>
      <c r="B73" s="2"/>
      <c r="C73" s="2"/>
      <c r="D73" s="2"/>
      <c r="E73" s="67"/>
      <c r="F73" s="55"/>
      <c r="G73" s="56"/>
      <c r="H73" s="5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89"/>
      <c r="BD73" s="89"/>
      <c r="BE73" s="89"/>
      <c r="BF73" s="89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90"/>
      <c r="CC73" s="94"/>
      <c r="CD73" s="89"/>
      <c r="CE73" s="89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90"/>
      <c r="DB73" s="94"/>
      <c r="DC73" s="89"/>
      <c r="DD73" s="89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90"/>
      <c r="EA73" s="94"/>
      <c r="EB73" s="89"/>
      <c r="EC73" s="89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90"/>
      <c r="EZ73" s="94"/>
      <c r="FA73" s="89"/>
      <c r="FB73" s="89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4.45" customHeight="1">
      <c r="A74" s="2"/>
      <c r="B74" s="2"/>
      <c r="C74" s="2"/>
      <c r="D74" s="2"/>
      <c r="E74" s="67"/>
      <c r="F74" s="55"/>
      <c r="G74" s="56"/>
      <c r="H74" s="5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89"/>
      <c r="BD74" s="89"/>
      <c r="BE74" s="89"/>
      <c r="BF74" s="89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90"/>
      <c r="CC74" s="94"/>
      <c r="CD74" s="89"/>
      <c r="CE74" s="89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90"/>
      <c r="DB74" s="94"/>
      <c r="DC74" s="89"/>
      <c r="DD74" s="89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90"/>
      <c r="EA74" s="94"/>
      <c r="EB74" s="89"/>
      <c r="EC74" s="89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90"/>
      <c r="EZ74" s="94"/>
      <c r="FA74" s="89"/>
      <c r="FB74" s="89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" customHeight="1" thickBot="1">
      <c r="A75" s="2"/>
      <c r="B75" s="2"/>
      <c r="C75" s="2"/>
      <c r="D75" s="2"/>
      <c r="E75" s="68"/>
      <c r="F75" s="55"/>
      <c r="G75" s="56"/>
      <c r="H75" s="5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89"/>
      <c r="BD75" s="89"/>
      <c r="BE75" s="89"/>
      <c r="BF75" s="89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91"/>
      <c r="CC75" s="94"/>
      <c r="CD75" s="89"/>
      <c r="CE75" s="89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91"/>
      <c r="DB75" s="94"/>
      <c r="DC75" s="89"/>
      <c r="DD75" s="89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91"/>
      <c r="EA75" s="94"/>
      <c r="EB75" s="89"/>
      <c r="EC75" s="89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91"/>
      <c r="EZ75" s="94"/>
      <c r="FA75" s="89"/>
      <c r="FB75" s="89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3">
    <mergeCell ref="I9:R10"/>
    <mergeCell ref="A11:B14"/>
    <mergeCell ref="C11:C14"/>
    <mergeCell ref="D11:E14"/>
    <mergeCell ref="F11:F14"/>
    <mergeCell ref="A15:B18"/>
    <mergeCell ref="C15:C18"/>
    <mergeCell ref="D15:E18"/>
    <mergeCell ref="F15:F18"/>
    <mergeCell ref="A19:B22"/>
    <mergeCell ref="C19:C22"/>
    <mergeCell ref="D19:E22"/>
    <mergeCell ref="F19:F22"/>
    <mergeCell ref="B3:C4"/>
    <mergeCell ref="D3:D4"/>
    <mergeCell ref="A9:F10"/>
    <mergeCell ref="E64:E67"/>
    <mergeCell ref="F64:H67"/>
    <mergeCell ref="E68:E71"/>
    <mergeCell ref="F68:H71"/>
    <mergeCell ref="E72:E75"/>
    <mergeCell ref="F72:H75"/>
    <mergeCell ref="E60:E63"/>
    <mergeCell ref="F60:H63"/>
    <mergeCell ref="C33:F34"/>
    <mergeCell ref="C35:C38"/>
    <mergeCell ref="D35:D38"/>
    <mergeCell ref="E35:E38"/>
    <mergeCell ref="F35:F38"/>
    <mergeCell ref="C39:C42"/>
    <mergeCell ref="D39:D42"/>
    <mergeCell ref="E39:E42"/>
    <mergeCell ref="F39:F42"/>
    <mergeCell ref="E50:H51"/>
    <mergeCell ref="E52:E55"/>
    <mergeCell ref="F52:H55"/>
    <mergeCell ref="E56:E59"/>
    <mergeCell ref="F56:H59"/>
    <mergeCell ref="EV3:EW4"/>
    <mergeCell ref="EX3:EX4"/>
    <mergeCell ref="Z9:AE10"/>
    <mergeCell ref="AH9:AQ10"/>
    <mergeCell ref="AY9:BD10"/>
    <mergeCell ref="BG9:BP10"/>
    <mergeCell ref="BX9:CC10"/>
    <mergeCell ref="CF9:CO10"/>
    <mergeCell ref="CW9:DB10"/>
    <mergeCell ref="DE9:DN10"/>
    <mergeCell ref="DV9:EA10"/>
    <mergeCell ref="ED9:EM10"/>
    <mergeCell ref="EU9:EZ10"/>
    <mergeCell ref="CA3:CA4"/>
    <mergeCell ref="CX3:CY4"/>
    <mergeCell ref="CZ3:CZ4"/>
    <mergeCell ref="DW3:DX4"/>
    <mergeCell ref="DY3:DY4"/>
    <mergeCell ref="AA3:AB4"/>
    <mergeCell ref="AC3:AC4"/>
    <mergeCell ref="AZ3:BA4"/>
    <mergeCell ref="BB3:BB4"/>
    <mergeCell ref="BY3:BZ4"/>
    <mergeCell ref="FC9:FL10"/>
    <mergeCell ref="Z11:AA14"/>
    <mergeCell ref="AB11:AB14"/>
    <mergeCell ref="AC11:AD14"/>
    <mergeCell ref="AE11:AE14"/>
    <mergeCell ref="AY11:AZ14"/>
    <mergeCell ref="BA11:BA14"/>
    <mergeCell ref="BB11:BC14"/>
    <mergeCell ref="BD11:BD14"/>
    <mergeCell ref="BX11:BY14"/>
    <mergeCell ref="BZ11:BZ14"/>
    <mergeCell ref="CA11:CB14"/>
    <mergeCell ref="CC11:CC14"/>
    <mergeCell ref="CW11:CX14"/>
    <mergeCell ref="CY11:CY14"/>
    <mergeCell ref="CZ11:DA14"/>
    <mergeCell ref="DB15:DB18"/>
    <mergeCell ref="DV15:DW18"/>
    <mergeCell ref="EU11:EV14"/>
    <mergeCell ref="EW11:EW14"/>
    <mergeCell ref="EX11:EY14"/>
    <mergeCell ref="EZ11:EZ14"/>
    <mergeCell ref="Z15:AA18"/>
    <mergeCell ref="AB15:AB18"/>
    <mergeCell ref="AC15:AD18"/>
    <mergeCell ref="AE15:AE18"/>
    <mergeCell ref="AY15:AZ18"/>
    <mergeCell ref="BA15:BA18"/>
    <mergeCell ref="BB15:BC18"/>
    <mergeCell ref="BD15:BD18"/>
    <mergeCell ref="BX15:BY18"/>
    <mergeCell ref="BZ15:BZ18"/>
    <mergeCell ref="CA15:CB18"/>
    <mergeCell ref="CC15:CC18"/>
    <mergeCell ref="DB11:DB14"/>
    <mergeCell ref="DV11:DW14"/>
    <mergeCell ref="DX11:DX14"/>
    <mergeCell ref="DY11:DZ14"/>
    <mergeCell ref="EA11:EA14"/>
    <mergeCell ref="EX15:EY18"/>
    <mergeCell ref="EZ15:EZ18"/>
    <mergeCell ref="Z19:AA22"/>
    <mergeCell ref="AB19:AB22"/>
    <mergeCell ref="AC19:AD22"/>
    <mergeCell ref="AE19:AE22"/>
    <mergeCell ref="AY19:AZ22"/>
    <mergeCell ref="BA19:BA22"/>
    <mergeCell ref="BB19:BC22"/>
    <mergeCell ref="BD19:BD22"/>
    <mergeCell ref="BX19:BY22"/>
    <mergeCell ref="BZ19:BZ22"/>
    <mergeCell ref="CA19:CB22"/>
    <mergeCell ref="CC19:CC22"/>
    <mergeCell ref="CW19:CX22"/>
    <mergeCell ref="CY19:CY22"/>
    <mergeCell ref="DX15:DX18"/>
    <mergeCell ref="DY15:DZ18"/>
    <mergeCell ref="EA15:EA18"/>
    <mergeCell ref="EU15:EV18"/>
    <mergeCell ref="EW15:EW18"/>
    <mergeCell ref="CW15:CX18"/>
    <mergeCell ref="CY15:CY18"/>
    <mergeCell ref="CZ15:DA18"/>
    <mergeCell ref="EA19:EA22"/>
    <mergeCell ref="EU19:EV22"/>
    <mergeCell ref="EW19:EW22"/>
    <mergeCell ref="EX19:EY22"/>
    <mergeCell ref="EZ19:EZ22"/>
    <mergeCell ref="CZ19:DA22"/>
    <mergeCell ref="DB19:DB22"/>
    <mergeCell ref="DV19:DW22"/>
    <mergeCell ref="DX19:DX22"/>
    <mergeCell ref="DY19:DZ22"/>
    <mergeCell ref="EW33:EZ34"/>
    <mergeCell ref="AB35:AB38"/>
    <mergeCell ref="AC35:AC38"/>
    <mergeCell ref="AD35:AD38"/>
    <mergeCell ref="AE35:AE38"/>
    <mergeCell ref="BA35:BA38"/>
    <mergeCell ref="BB35:BB38"/>
    <mergeCell ref="BC35:BC38"/>
    <mergeCell ref="BD35:BD38"/>
    <mergeCell ref="BZ35:BZ38"/>
    <mergeCell ref="CA35:CA38"/>
    <mergeCell ref="CB35:CB38"/>
    <mergeCell ref="CC35:CC38"/>
    <mergeCell ref="CY35:CY38"/>
    <mergeCell ref="CZ35:CZ38"/>
    <mergeCell ref="DA35:DA38"/>
    <mergeCell ref="AB33:AE34"/>
    <mergeCell ref="BA33:BD34"/>
    <mergeCell ref="BZ33:CC34"/>
    <mergeCell ref="CY33:DB34"/>
    <mergeCell ref="DX33:EA34"/>
    <mergeCell ref="EW35:EW38"/>
    <mergeCell ref="EX35:EX38"/>
    <mergeCell ref="EY35:EY38"/>
    <mergeCell ref="EZ35:EZ38"/>
    <mergeCell ref="AB39:AB42"/>
    <mergeCell ref="AC39:AC42"/>
    <mergeCell ref="AD39:AD42"/>
    <mergeCell ref="AE39:AE42"/>
    <mergeCell ref="BA39:BA42"/>
    <mergeCell ref="BB39:BB42"/>
    <mergeCell ref="BC39:BC42"/>
    <mergeCell ref="BD39:BD42"/>
    <mergeCell ref="BZ39:BZ42"/>
    <mergeCell ref="CA39:CA42"/>
    <mergeCell ref="CB39:CB42"/>
    <mergeCell ref="CC39:CC42"/>
    <mergeCell ref="DB35:DB38"/>
    <mergeCell ref="DX35:DX38"/>
    <mergeCell ref="DY35:DY38"/>
    <mergeCell ref="DZ35:DZ38"/>
    <mergeCell ref="EA35:EA38"/>
    <mergeCell ref="EY39:EY42"/>
    <mergeCell ref="EZ39:EZ42"/>
    <mergeCell ref="BC50:BF51"/>
    <mergeCell ref="CB50:CE51"/>
    <mergeCell ref="DA50:DD51"/>
    <mergeCell ref="DZ50:EC51"/>
    <mergeCell ref="EY50:FB51"/>
    <mergeCell ref="DY39:DY42"/>
    <mergeCell ref="DZ39:DZ42"/>
    <mergeCell ref="EA39:EA42"/>
    <mergeCell ref="EW39:EW42"/>
    <mergeCell ref="EX39:EX42"/>
    <mergeCell ref="CY39:CY42"/>
    <mergeCell ref="CZ39:CZ42"/>
    <mergeCell ref="DA39:DA42"/>
    <mergeCell ref="DB39:DB42"/>
    <mergeCell ref="DX39:DX42"/>
    <mergeCell ref="DB52:DD55"/>
    <mergeCell ref="DZ52:DZ55"/>
    <mergeCell ref="EA52:EC55"/>
    <mergeCell ref="EY52:EY55"/>
    <mergeCell ref="EZ52:FB55"/>
    <mergeCell ref="BC52:BC55"/>
    <mergeCell ref="BD52:BF55"/>
    <mergeCell ref="CB52:CB55"/>
    <mergeCell ref="CC52:CE55"/>
    <mergeCell ref="DA52:DA55"/>
    <mergeCell ref="DB56:DD59"/>
    <mergeCell ref="DZ56:DZ59"/>
    <mergeCell ref="EA56:EC59"/>
    <mergeCell ref="EY56:EY59"/>
    <mergeCell ref="EZ56:FB59"/>
    <mergeCell ref="BC56:BC59"/>
    <mergeCell ref="BD56:BF59"/>
    <mergeCell ref="CB56:CB59"/>
    <mergeCell ref="CC56:CE59"/>
    <mergeCell ref="DA56:DA59"/>
    <mergeCell ref="DB60:DD63"/>
    <mergeCell ref="DZ60:DZ63"/>
    <mergeCell ref="EA60:EC63"/>
    <mergeCell ref="EY60:EY63"/>
    <mergeCell ref="EZ60:FB63"/>
    <mergeCell ref="BC60:BC63"/>
    <mergeCell ref="BD60:BF63"/>
    <mergeCell ref="CB60:CB63"/>
    <mergeCell ref="CC60:CE63"/>
    <mergeCell ref="DA60:DA63"/>
    <mergeCell ref="DB64:DD67"/>
    <mergeCell ref="DZ64:DZ67"/>
    <mergeCell ref="EA64:EC67"/>
    <mergeCell ref="EY64:EY67"/>
    <mergeCell ref="EZ64:FB67"/>
    <mergeCell ref="BC64:BC67"/>
    <mergeCell ref="BD64:BF67"/>
    <mergeCell ref="CB64:CB67"/>
    <mergeCell ref="CC64:CE67"/>
    <mergeCell ref="DA64:DA67"/>
    <mergeCell ref="DB68:DD71"/>
    <mergeCell ref="DZ68:DZ71"/>
    <mergeCell ref="EA68:EC71"/>
    <mergeCell ref="EY68:EY71"/>
    <mergeCell ref="EZ68:FB71"/>
    <mergeCell ref="BC68:BC71"/>
    <mergeCell ref="BD68:BF71"/>
    <mergeCell ref="CB68:CB71"/>
    <mergeCell ref="CC68:CE71"/>
    <mergeCell ref="DA68:DA71"/>
    <mergeCell ref="DB72:DD75"/>
    <mergeCell ref="DZ72:DZ75"/>
    <mergeCell ref="EA72:EC75"/>
    <mergeCell ref="EY72:EY75"/>
    <mergeCell ref="EZ72:FB75"/>
    <mergeCell ref="BC72:BC75"/>
    <mergeCell ref="BD72:BF75"/>
    <mergeCell ref="CB72:CB75"/>
    <mergeCell ref="CC72:CE75"/>
    <mergeCell ref="DA72:DA75"/>
  </mergeCells>
  <conditionalFormatting sqref="F39:F42">
    <cfRule type="containsText" dxfId="27" priority="13" operator="containsText" text="Bad shape">
      <formula>NOT(ISERROR(SEARCH("Bad shape",F39)))</formula>
    </cfRule>
    <cfRule type="containsText" dxfId="26" priority="14" operator="containsText" text="Fit shape">
      <formula>NOT(ISERROR(SEARCH("Fit shape",F39)))</formula>
    </cfRule>
  </conditionalFormatting>
  <conditionalFormatting sqref="AE39:AE42">
    <cfRule type="containsText" dxfId="25" priority="11" operator="containsText" text="Bad shape">
      <formula>NOT(ISERROR(SEARCH("Bad shape",AE39)))</formula>
    </cfRule>
    <cfRule type="containsText" dxfId="24" priority="12" operator="containsText" text="Fit shape">
      <formula>NOT(ISERROR(SEARCH("Fit shape",AE39)))</formula>
    </cfRule>
  </conditionalFormatting>
  <conditionalFormatting sqref="BD39:BD42">
    <cfRule type="containsText" dxfId="23" priority="9" operator="containsText" text="Bad shape">
      <formula>NOT(ISERROR(SEARCH("Bad shape",BD39)))</formula>
    </cfRule>
    <cfRule type="containsText" dxfId="22" priority="10" operator="containsText" text="Fit shape">
      <formula>NOT(ISERROR(SEARCH("Fit shape",BD39)))</formula>
    </cfRule>
  </conditionalFormatting>
  <conditionalFormatting sqref="CC39:CC42">
    <cfRule type="containsText" dxfId="21" priority="7" operator="containsText" text="Bad shape">
      <formula>NOT(ISERROR(SEARCH("Bad shape",CC39)))</formula>
    </cfRule>
    <cfRule type="containsText" dxfId="20" priority="8" operator="containsText" text="Fit shape">
      <formula>NOT(ISERROR(SEARCH("Fit shape",CC39)))</formula>
    </cfRule>
  </conditionalFormatting>
  <conditionalFormatting sqref="DB39:DB42">
    <cfRule type="containsText" dxfId="19" priority="5" operator="containsText" text="Bad shape">
      <formula>NOT(ISERROR(SEARCH("Bad shape",DB39)))</formula>
    </cfRule>
    <cfRule type="containsText" dxfId="18" priority="6" operator="containsText" text="Fit shape">
      <formula>NOT(ISERROR(SEARCH("Fit shape",DB39)))</formula>
    </cfRule>
  </conditionalFormatting>
  <conditionalFormatting sqref="EA39:EA42">
    <cfRule type="containsText" dxfId="17" priority="3" operator="containsText" text="Bad shape">
      <formula>NOT(ISERROR(SEARCH("Bad shape",EA39)))</formula>
    </cfRule>
    <cfRule type="containsText" dxfId="16" priority="4" operator="containsText" text="Fit shape">
      <formula>NOT(ISERROR(SEARCH("Fit shape",EA39)))</formula>
    </cfRule>
  </conditionalFormatting>
  <conditionalFormatting sqref="EZ39:EZ42">
    <cfRule type="containsText" dxfId="15" priority="1" operator="containsText" text="Bad shape">
      <formula>NOT(ISERROR(SEARCH("Bad shape",EZ39)))</formula>
    </cfRule>
    <cfRule type="containsText" dxfId="14" priority="2" operator="containsText" text="Fit shape">
      <formula>NOT(ISERROR(SEARCH("Fit shape",EZ39)))</formula>
    </cfRule>
  </conditionalFormatting>
  <dataValidations count="4">
    <dataValidation type="list" allowBlank="1" showInputMessage="1" showErrorMessage="1" sqref="I13:J30 AH13:AI30 BG13:BH30 CF13:CG30 DE13:DF30 ED13:EE30 FC13:FD30" xr:uid="{04B4C5D3-DF60-45A7-8039-B5810FE06D01}">
      <formula1>EXERCISES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70A843BF-A1A9-4ADD-A38C-3B71E642A941}">
      <formula1>DINNER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FA675341-89F7-4544-BA87-E2CDE50B462D}">
      <formula1>LUNCH</formula1>
    </dataValidation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95800643-B612-4D08-BB68-CED31D9610BB}">
      <formula1>BREAKFAST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85FF-4063-4EB3-AEC9-BE74DC950207}">
  <dimension ref="A1:FS78"/>
  <sheetViews>
    <sheetView topLeftCell="A37" zoomScale="50" zoomScaleNormal="50" workbookViewId="0">
      <selection activeCell="F64" sqref="F64:H67"/>
    </sheetView>
  </sheetViews>
  <sheetFormatPr defaultRowHeight="14.45"/>
  <cols>
    <col min="5" max="5" width="23.570312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>
      <c r="A3" s="2"/>
      <c r="B3" s="69" t="s">
        <v>40</v>
      </c>
      <c r="C3" s="75"/>
      <c r="D3" s="78">
        <v>125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9" t="s">
        <v>40</v>
      </c>
      <c r="AB3" s="75"/>
      <c r="AC3" s="78">
        <v>125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69" t="s">
        <v>40</v>
      </c>
      <c r="BA3" s="75"/>
      <c r="BB3" s="78">
        <v>125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69" t="s">
        <v>40</v>
      </c>
      <c r="BZ3" s="75"/>
      <c r="CA3" s="78">
        <v>125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69" t="s">
        <v>40</v>
      </c>
      <c r="CY3" s="75"/>
      <c r="CZ3" s="78">
        <v>125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69" t="s">
        <v>40</v>
      </c>
      <c r="DX3" s="75"/>
      <c r="DY3" s="78">
        <v>125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69" t="s">
        <v>40</v>
      </c>
      <c r="EW3" s="75"/>
      <c r="EX3" s="78">
        <v>125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" thickBot="1">
      <c r="A4" s="2"/>
      <c r="B4" s="76"/>
      <c r="C4" s="77"/>
      <c r="D4" s="7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76"/>
      <c r="AB4" s="77"/>
      <c r="AC4" s="79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76"/>
      <c r="BA4" s="77"/>
      <c r="BB4" s="79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76"/>
      <c r="BZ4" s="77"/>
      <c r="CA4" s="79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76"/>
      <c r="CY4" s="77"/>
      <c r="CZ4" s="79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76"/>
      <c r="DX4" s="77"/>
      <c r="DY4" s="79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76"/>
      <c r="EW4" s="77"/>
      <c r="EX4" s="79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>
      <c r="A9" s="61" t="s">
        <v>41</v>
      </c>
      <c r="B9" s="62"/>
      <c r="C9" s="62"/>
      <c r="D9" s="62"/>
      <c r="E9" s="62"/>
      <c r="F9" s="63"/>
      <c r="G9" s="15"/>
      <c r="H9" s="15"/>
      <c r="I9" s="69" t="s">
        <v>42</v>
      </c>
      <c r="J9" s="70"/>
      <c r="K9" s="70"/>
      <c r="L9" s="70"/>
      <c r="M9" s="70"/>
      <c r="N9" s="70"/>
      <c r="O9" s="70"/>
      <c r="P9" s="70"/>
      <c r="Q9" s="70"/>
      <c r="R9" s="71"/>
      <c r="S9" s="2"/>
      <c r="T9" s="2"/>
      <c r="U9" s="2"/>
      <c r="V9" s="2"/>
      <c r="W9" s="2"/>
      <c r="X9" s="2"/>
      <c r="Y9" s="2"/>
      <c r="Z9" s="61" t="s">
        <v>43</v>
      </c>
      <c r="AA9" s="62"/>
      <c r="AB9" s="62"/>
      <c r="AC9" s="62"/>
      <c r="AD9" s="62"/>
      <c r="AE9" s="63"/>
      <c r="AF9" s="15"/>
      <c r="AG9" s="15"/>
      <c r="AH9" s="69" t="s">
        <v>44</v>
      </c>
      <c r="AI9" s="70"/>
      <c r="AJ9" s="70"/>
      <c r="AK9" s="70"/>
      <c r="AL9" s="70"/>
      <c r="AM9" s="70"/>
      <c r="AN9" s="70"/>
      <c r="AO9" s="70"/>
      <c r="AP9" s="70"/>
      <c r="AQ9" s="71"/>
      <c r="AR9" s="2"/>
      <c r="AS9" s="2"/>
      <c r="AT9" s="2"/>
      <c r="AU9" s="2"/>
      <c r="AV9" s="2"/>
      <c r="AW9" s="2"/>
      <c r="AX9" s="2"/>
      <c r="AY9" s="61" t="s">
        <v>45</v>
      </c>
      <c r="AZ9" s="62"/>
      <c r="BA9" s="62"/>
      <c r="BB9" s="62"/>
      <c r="BC9" s="62"/>
      <c r="BD9" s="63"/>
      <c r="BE9" s="15"/>
      <c r="BF9" s="15"/>
      <c r="BG9" s="69" t="s">
        <v>46</v>
      </c>
      <c r="BH9" s="70"/>
      <c r="BI9" s="70"/>
      <c r="BJ9" s="70"/>
      <c r="BK9" s="70"/>
      <c r="BL9" s="70"/>
      <c r="BM9" s="70"/>
      <c r="BN9" s="70"/>
      <c r="BO9" s="70"/>
      <c r="BP9" s="71"/>
      <c r="BQ9" s="2"/>
      <c r="BR9" s="2"/>
      <c r="BS9" s="2"/>
      <c r="BT9" s="2"/>
      <c r="BU9" s="2"/>
      <c r="BV9" s="2"/>
      <c r="BW9" s="2"/>
      <c r="BX9" s="61" t="s">
        <v>47</v>
      </c>
      <c r="BY9" s="62"/>
      <c r="BZ9" s="62"/>
      <c r="CA9" s="62"/>
      <c r="CB9" s="62"/>
      <c r="CC9" s="63"/>
      <c r="CD9" s="15"/>
      <c r="CE9" s="15"/>
      <c r="CF9" s="69" t="s">
        <v>48</v>
      </c>
      <c r="CG9" s="70"/>
      <c r="CH9" s="70"/>
      <c r="CI9" s="70"/>
      <c r="CJ9" s="70"/>
      <c r="CK9" s="70"/>
      <c r="CL9" s="70"/>
      <c r="CM9" s="70"/>
      <c r="CN9" s="70"/>
      <c r="CO9" s="71"/>
      <c r="CP9" s="2"/>
      <c r="CQ9" s="2"/>
      <c r="CR9" s="2"/>
      <c r="CS9" s="2"/>
      <c r="CT9" s="2"/>
      <c r="CU9" s="2"/>
      <c r="CV9" s="2"/>
      <c r="CW9" s="61" t="s">
        <v>49</v>
      </c>
      <c r="CX9" s="62"/>
      <c r="CY9" s="62"/>
      <c r="CZ9" s="62"/>
      <c r="DA9" s="62"/>
      <c r="DB9" s="63"/>
      <c r="DC9" s="15"/>
      <c r="DD9" s="15"/>
      <c r="DE9" s="69" t="s">
        <v>50</v>
      </c>
      <c r="DF9" s="70"/>
      <c r="DG9" s="70"/>
      <c r="DH9" s="70"/>
      <c r="DI9" s="70"/>
      <c r="DJ9" s="70"/>
      <c r="DK9" s="70"/>
      <c r="DL9" s="70"/>
      <c r="DM9" s="70"/>
      <c r="DN9" s="71"/>
      <c r="DO9" s="2"/>
      <c r="DP9" s="2"/>
      <c r="DQ9" s="2"/>
      <c r="DR9" s="2"/>
      <c r="DS9" s="2"/>
      <c r="DT9" s="2"/>
      <c r="DU9" s="2"/>
      <c r="DV9" s="61" t="s">
        <v>51</v>
      </c>
      <c r="DW9" s="62"/>
      <c r="DX9" s="62"/>
      <c r="DY9" s="62"/>
      <c r="DZ9" s="62"/>
      <c r="EA9" s="63"/>
      <c r="EB9" s="15"/>
      <c r="EC9" s="15"/>
      <c r="ED9" s="69" t="s">
        <v>52</v>
      </c>
      <c r="EE9" s="70"/>
      <c r="EF9" s="70"/>
      <c r="EG9" s="70"/>
      <c r="EH9" s="70"/>
      <c r="EI9" s="70"/>
      <c r="EJ9" s="70"/>
      <c r="EK9" s="70"/>
      <c r="EL9" s="70"/>
      <c r="EM9" s="71"/>
      <c r="EN9" s="2"/>
      <c r="EO9" s="2"/>
      <c r="EP9" s="2"/>
      <c r="EQ9" s="2"/>
      <c r="ER9" s="2"/>
      <c r="ES9" s="2"/>
      <c r="ET9" s="2"/>
      <c r="EU9" s="61" t="s">
        <v>53</v>
      </c>
      <c r="EV9" s="62"/>
      <c r="EW9" s="62"/>
      <c r="EX9" s="62"/>
      <c r="EY9" s="62"/>
      <c r="EZ9" s="63"/>
      <c r="FA9" s="15"/>
      <c r="FB9" s="15"/>
      <c r="FC9" s="69" t="s">
        <v>54</v>
      </c>
      <c r="FD9" s="70"/>
      <c r="FE9" s="70"/>
      <c r="FF9" s="70"/>
      <c r="FG9" s="70"/>
      <c r="FH9" s="70"/>
      <c r="FI9" s="70"/>
      <c r="FJ9" s="70"/>
      <c r="FK9" s="70"/>
      <c r="FL9" s="71"/>
      <c r="FM9" s="2"/>
      <c r="FN9" s="2"/>
      <c r="FO9" s="2"/>
      <c r="FP9" s="2"/>
      <c r="FQ9" s="2"/>
      <c r="FR9" s="2"/>
      <c r="FS9" s="2"/>
    </row>
    <row r="10" spans="1:175" ht="15" thickBot="1">
      <c r="A10" s="64"/>
      <c r="B10" s="65"/>
      <c r="C10" s="65"/>
      <c r="D10" s="65"/>
      <c r="E10" s="65"/>
      <c r="F10" s="66"/>
      <c r="G10" s="15"/>
      <c r="H10" s="15"/>
      <c r="I10" s="72"/>
      <c r="J10" s="73"/>
      <c r="K10" s="73"/>
      <c r="L10" s="73"/>
      <c r="M10" s="73"/>
      <c r="N10" s="73"/>
      <c r="O10" s="73"/>
      <c r="P10" s="73"/>
      <c r="Q10" s="73"/>
      <c r="R10" s="74"/>
      <c r="S10" s="2"/>
      <c r="T10" s="2"/>
      <c r="U10" s="2"/>
      <c r="V10" s="2"/>
      <c r="W10" s="2"/>
      <c r="X10" s="2"/>
      <c r="Y10" s="2"/>
      <c r="Z10" s="64"/>
      <c r="AA10" s="65"/>
      <c r="AB10" s="65"/>
      <c r="AC10" s="65"/>
      <c r="AD10" s="65"/>
      <c r="AE10" s="66"/>
      <c r="AF10" s="15"/>
      <c r="AG10" s="15"/>
      <c r="AH10" s="72"/>
      <c r="AI10" s="73"/>
      <c r="AJ10" s="73"/>
      <c r="AK10" s="73"/>
      <c r="AL10" s="73"/>
      <c r="AM10" s="73"/>
      <c r="AN10" s="73"/>
      <c r="AO10" s="73"/>
      <c r="AP10" s="73"/>
      <c r="AQ10" s="74"/>
      <c r="AR10" s="2"/>
      <c r="AS10" s="2"/>
      <c r="AT10" s="2"/>
      <c r="AU10" s="2"/>
      <c r="AV10" s="2"/>
      <c r="AW10" s="2"/>
      <c r="AX10" s="2"/>
      <c r="AY10" s="64"/>
      <c r="AZ10" s="65"/>
      <c r="BA10" s="65"/>
      <c r="BB10" s="65"/>
      <c r="BC10" s="65"/>
      <c r="BD10" s="66"/>
      <c r="BE10" s="15"/>
      <c r="BF10" s="15"/>
      <c r="BG10" s="72"/>
      <c r="BH10" s="73"/>
      <c r="BI10" s="73"/>
      <c r="BJ10" s="73"/>
      <c r="BK10" s="73"/>
      <c r="BL10" s="73"/>
      <c r="BM10" s="73"/>
      <c r="BN10" s="73"/>
      <c r="BO10" s="73"/>
      <c r="BP10" s="74"/>
      <c r="BQ10" s="2"/>
      <c r="BR10" s="2"/>
      <c r="BS10" s="2"/>
      <c r="BT10" s="2"/>
      <c r="BU10" s="2"/>
      <c r="BV10" s="2"/>
      <c r="BW10" s="2"/>
      <c r="BX10" s="64"/>
      <c r="BY10" s="65"/>
      <c r="BZ10" s="65"/>
      <c r="CA10" s="65"/>
      <c r="CB10" s="65"/>
      <c r="CC10" s="66"/>
      <c r="CD10" s="15"/>
      <c r="CE10" s="15"/>
      <c r="CF10" s="72"/>
      <c r="CG10" s="73"/>
      <c r="CH10" s="73"/>
      <c r="CI10" s="73"/>
      <c r="CJ10" s="73"/>
      <c r="CK10" s="73"/>
      <c r="CL10" s="73"/>
      <c r="CM10" s="73"/>
      <c r="CN10" s="73"/>
      <c r="CO10" s="74"/>
      <c r="CP10" s="2"/>
      <c r="CQ10" s="2"/>
      <c r="CR10" s="2"/>
      <c r="CS10" s="2"/>
      <c r="CT10" s="2"/>
      <c r="CU10" s="2"/>
      <c r="CV10" s="2"/>
      <c r="CW10" s="64"/>
      <c r="CX10" s="65"/>
      <c r="CY10" s="65"/>
      <c r="CZ10" s="65"/>
      <c r="DA10" s="65"/>
      <c r="DB10" s="66"/>
      <c r="DC10" s="15"/>
      <c r="DD10" s="15"/>
      <c r="DE10" s="72"/>
      <c r="DF10" s="73"/>
      <c r="DG10" s="73"/>
      <c r="DH10" s="73"/>
      <c r="DI10" s="73"/>
      <c r="DJ10" s="73"/>
      <c r="DK10" s="73"/>
      <c r="DL10" s="73"/>
      <c r="DM10" s="73"/>
      <c r="DN10" s="74"/>
      <c r="DO10" s="2"/>
      <c r="DP10" s="2"/>
      <c r="DQ10" s="2"/>
      <c r="DR10" s="2"/>
      <c r="DS10" s="2"/>
      <c r="DT10" s="2"/>
      <c r="DU10" s="2"/>
      <c r="DV10" s="64"/>
      <c r="DW10" s="65"/>
      <c r="DX10" s="65"/>
      <c r="DY10" s="65"/>
      <c r="DZ10" s="65"/>
      <c r="EA10" s="66"/>
      <c r="EB10" s="15"/>
      <c r="EC10" s="15"/>
      <c r="ED10" s="72"/>
      <c r="EE10" s="73"/>
      <c r="EF10" s="73"/>
      <c r="EG10" s="73"/>
      <c r="EH10" s="73"/>
      <c r="EI10" s="73"/>
      <c r="EJ10" s="73"/>
      <c r="EK10" s="73"/>
      <c r="EL10" s="73"/>
      <c r="EM10" s="74"/>
      <c r="EN10" s="2"/>
      <c r="EO10" s="2"/>
      <c r="EP10" s="2"/>
      <c r="EQ10" s="2"/>
      <c r="ER10" s="2"/>
      <c r="ES10" s="2"/>
      <c r="ET10" s="2"/>
      <c r="EU10" s="64"/>
      <c r="EV10" s="65"/>
      <c r="EW10" s="65"/>
      <c r="EX10" s="65"/>
      <c r="EY10" s="65"/>
      <c r="EZ10" s="66"/>
      <c r="FA10" s="15"/>
      <c r="FB10" s="15"/>
      <c r="FC10" s="72"/>
      <c r="FD10" s="73"/>
      <c r="FE10" s="73"/>
      <c r="FF10" s="73"/>
      <c r="FG10" s="73"/>
      <c r="FH10" s="73"/>
      <c r="FI10" s="73"/>
      <c r="FJ10" s="73"/>
      <c r="FK10" s="73"/>
      <c r="FL10" s="74"/>
      <c r="FM10" s="2"/>
      <c r="FN10" s="2"/>
      <c r="FO10" s="2"/>
      <c r="FP10" s="2"/>
      <c r="FQ10" s="2"/>
      <c r="FR10" s="2"/>
      <c r="FS10" s="2"/>
    </row>
    <row r="11" spans="1:175" ht="15.95">
      <c r="A11" s="52" t="s">
        <v>1</v>
      </c>
      <c r="B11" s="54"/>
      <c r="C11" s="82" t="s">
        <v>6</v>
      </c>
      <c r="D11" s="52" t="s">
        <v>55</v>
      </c>
      <c r="E11" s="54"/>
      <c r="F11" s="85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52" t="s">
        <v>1</v>
      </c>
      <c r="AA11" s="54"/>
      <c r="AB11" s="82" t="s">
        <v>7</v>
      </c>
      <c r="AC11" s="52" t="s">
        <v>55</v>
      </c>
      <c r="AD11" s="54"/>
      <c r="AE11" s="85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52" t="s">
        <v>1</v>
      </c>
      <c r="AZ11" s="54"/>
      <c r="BA11" s="82" t="s">
        <v>9</v>
      </c>
      <c r="BB11" s="52" t="s">
        <v>55</v>
      </c>
      <c r="BC11" s="54"/>
      <c r="BD11" s="85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52" t="s">
        <v>1</v>
      </c>
      <c r="BY11" s="54"/>
      <c r="BZ11" s="82" t="s">
        <v>11</v>
      </c>
      <c r="CA11" s="52" t="s">
        <v>55</v>
      </c>
      <c r="CB11" s="54"/>
      <c r="CC11" s="85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52" t="s">
        <v>1</v>
      </c>
      <c r="CX11" s="54"/>
      <c r="CY11" s="82" t="s">
        <v>13</v>
      </c>
      <c r="CZ11" s="52" t="s">
        <v>55</v>
      </c>
      <c r="DA11" s="54"/>
      <c r="DB11" s="85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52" t="s">
        <v>1</v>
      </c>
      <c r="DW11" s="54"/>
      <c r="DX11" s="82" t="s">
        <v>6</v>
      </c>
      <c r="DY11" s="52" t="s">
        <v>55</v>
      </c>
      <c r="DZ11" s="54"/>
      <c r="EA11" s="85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52" t="s">
        <v>1</v>
      </c>
      <c r="EV11" s="54"/>
      <c r="EW11" s="82" t="s">
        <v>6</v>
      </c>
      <c r="EX11" s="52" t="s">
        <v>55</v>
      </c>
      <c r="EY11" s="54"/>
      <c r="EZ11" s="85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6.5" thickBot="1">
      <c r="A12" s="55"/>
      <c r="B12" s="57"/>
      <c r="C12" s="83"/>
      <c r="D12" s="55"/>
      <c r="E12" s="57"/>
      <c r="F12" s="86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55"/>
      <c r="AA12" s="57"/>
      <c r="AB12" s="83"/>
      <c r="AC12" s="55"/>
      <c r="AD12" s="57"/>
      <c r="AE12" s="86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55"/>
      <c r="AZ12" s="57"/>
      <c r="BA12" s="83"/>
      <c r="BB12" s="55"/>
      <c r="BC12" s="57"/>
      <c r="BD12" s="86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55"/>
      <c r="BY12" s="57"/>
      <c r="BZ12" s="83"/>
      <c r="CA12" s="55"/>
      <c r="CB12" s="57"/>
      <c r="CC12" s="86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55"/>
      <c r="CX12" s="57"/>
      <c r="CY12" s="83"/>
      <c r="CZ12" s="55"/>
      <c r="DA12" s="57"/>
      <c r="DB12" s="86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55"/>
      <c r="DW12" s="57"/>
      <c r="DX12" s="83"/>
      <c r="DY12" s="55"/>
      <c r="DZ12" s="57"/>
      <c r="EA12" s="86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55"/>
      <c r="EV12" s="57"/>
      <c r="EW12" s="83"/>
      <c r="EX12" s="55"/>
      <c r="EY12" s="57"/>
      <c r="EZ12" s="86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15.95">
      <c r="A13" s="55"/>
      <c r="B13" s="57"/>
      <c r="C13" s="83"/>
      <c r="D13" s="55"/>
      <c r="E13" s="57"/>
      <c r="F13" s="86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687.5</v>
      </c>
      <c r="P13" s="21"/>
      <c r="Q13" s="20">
        <f>M13*O13</f>
        <v>1375</v>
      </c>
      <c r="R13" s="21"/>
      <c r="S13" s="2"/>
      <c r="T13" s="2"/>
      <c r="U13" s="2"/>
      <c r="V13" s="2"/>
      <c r="W13" s="2"/>
      <c r="X13" s="2"/>
      <c r="Y13" s="2"/>
      <c r="Z13" s="55"/>
      <c r="AA13" s="57"/>
      <c r="AB13" s="83"/>
      <c r="AC13" s="55"/>
      <c r="AD13" s="57"/>
      <c r="AE13" s="86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687.5</v>
      </c>
      <c r="AO13" s="21"/>
      <c r="AP13" s="20">
        <f>AL13*AN13</f>
        <v>1375</v>
      </c>
      <c r="AQ13" s="21"/>
      <c r="AR13" s="2"/>
      <c r="AS13" s="2"/>
      <c r="AT13" s="2"/>
      <c r="AU13" s="2"/>
      <c r="AV13" s="2"/>
      <c r="AW13" s="2"/>
      <c r="AX13" s="2"/>
      <c r="AY13" s="55"/>
      <c r="AZ13" s="57"/>
      <c r="BA13" s="83"/>
      <c r="BB13" s="55"/>
      <c r="BC13" s="57"/>
      <c r="BD13" s="86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687.5</v>
      </c>
      <c r="BN13" s="21"/>
      <c r="BO13" s="20">
        <f>BK13*BM13</f>
        <v>1375</v>
      </c>
      <c r="BP13" s="21"/>
      <c r="BQ13" s="2"/>
      <c r="BR13" s="2"/>
      <c r="BS13" s="2"/>
      <c r="BT13" s="2"/>
      <c r="BU13" s="2"/>
      <c r="BV13" s="2"/>
      <c r="BW13" s="2"/>
      <c r="BX13" s="55"/>
      <c r="BY13" s="57"/>
      <c r="BZ13" s="83"/>
      <c r="CA13" s="55"/>
      <c r="CB13" s="57"/>
      <c r="CC13" s="86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687.5</v>
      </c>
      <c r="CM13" s="21"/>
      <c r="CN13" s="20">
        <f>CJ13*CL13</f>
        <v>1375</v>
      </c>
      <c r="CO13" s="21"/>
      <c r="CP13" s="2"/>
      <c r="CQ13" s="2"/>
      <c r="CR13" s="2"/>
      <c r="CS13" s="2"/>
      <c r="CT13" s="2"/>
      <c r="CU13" s="2"/>
      <c r="CV13" s="2"/>
      <c r="CW13" s="55"/>
      <c r="CX13" s="57"/>
      <c r="CY13" s="83"/>
      <c r="CZ13" s="55"/>
      <c r="DA13" s="57"/>
      <c r="DB13" s="86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687.5</v>
      </c>
      <c r="DL13" s="21"/>
      <c r="DM13" s="20">
        <f>DI13*DK13</f>
        <v>1375</v>
      </c>
      <c r="DN13" s="21"/>
      <c r="DO13" s="2"/>
      <c r="DP13" s="2"/>
      <c r="DQ13" s="2"/>
      <c r="DR13" s="2"/>
      <c r="DS13" s="2"/>
      <c r="DT13" s="2"/>
      <c r="DU13" s="2"/>
      <c r="DV13" s="55"/>
      <c r="DW13" s="57"/>
      <c r="DX13" s="83"/>
      <c r="DY13" s="55"/>
      <c r="DZ13" s="57"/>
      <c r="EA13" s="86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687.5</v>
      </c>
      <c r="EK13" s="21"/>
      <c r="EL13" s="20">
        <f>EH13*EJ13</f>
        <v>1375</v>
      </c>
      <c r="EM13" s="21"/>
      <c r="EN13" s="2"/>
      <c r="EO13" s="2"/>
      <c r="EP13" s="2"/>
      <c r="EQ13" s="2"/>
      <c r="ER13" s="2"/>
      <c r="ES13" s="2"/>
      <c r="ET13" s="2"/>
      <c r="EU13" s="55"/>
      <c r="EV13" s="57"/>
      <c r="EW13" s="83"/>
      <c r="EX13" s="55"/>
      <c r="EY13" s="57"/>
      <c r="EZ13" s="86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687.5</v>
      </c>
      <c r="FJ13" s="21"/>
      <c r="FK13" s="20">
        <f>FG13*FI13</f>
        <v>1375</v>
      </c>
      <c r="FL13" s="21"/>
      <c r="FM13" s="2"/>
      <c r="FN13" s="2"/>
      <c r="FO13" s="2"/>
      <c r="FP13" s="2"/>
      <c r="FQ13" s="2"/>
      <c r="FR13" s="2"/>
      <c r="FS13" s="2"/>
    </row>
    <row r="14" spans="1:175" ht="16.5" thickBot="1">
      <c r="A14" s="80"/>
      <c r="B14" s="81"/>
      <c r="C14" s="84"/>
      <c r="D14" s="80"/>
      <c r="E14" s="81"/>
      <c r="F14" s="87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80"/>
      <c r="AA14" s="81"/>
      <c r="AB14" s="84"/>
      <c r="AC14" s="80"/>
      <c r="AD14" s="81"/>
      <c r="AE14" s="87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80"/>
      <c r="AZ14" s="81"/>
      <c r="BA14" s="84"/>
      <c r="BB14" s="80"/>
      <c r="BC14" s="81"/>
      <c r="BD14" s="87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80"/>
      <c r="BY14" s="81"/>
      <c r="BZ14" s="84"/>
      <c r="CA14" s="80"/>
      <c r="CB14" s="81"/>
      <c r="CC14" s="87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80"/>
      <c r="CX14" s="81"/>
      <c r="CY14" s="84"/>
      <c r="CZ14" s="80"/>
      <c r="DA14" s="81"/>
      <c r="DB14" s="87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80"/>
      <c r="DW14" s="81"/>
      <c r="DX14" s="84"/>
      <c r="DY14" s="80"/>
      <c r="DZ14" s="81"/>
      <c r="EA14" s="87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80"/>
      <c r="EV14" s="81"/>
      <c r="EW14" s="84"/>
      <c r="EX14" s="80"/>
      <c r="EY14" s="81"/>
      <c r="EZ14" s="87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6.5" thickBot="1">
      <c r="A15" s="52" t="s">
        <v>15</v>
      </c>
      <c r="B15" s="54"/>
      <c r="C15" s="82" t="s">
        <v>18</v>
      </c>
      <c r="D15" s="52" t="s">
        <v>55</v>
      </c>
      <c r="E15" s="54"/>
      <c r="F15" s="85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52" t="s">
        <v>15</v>
      </c>
      <c r="AA15" s="54"/>
      <c r="AB15" s="82" t="s">
        <v>20</v>
      </c>
      <c r="AC15" s="52" t="s">
        <v>55</v>
      </c>
      <c r="AD15" s="54"/>
      <c r="AE15" s="85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52" t="s">
        <v>15</v>
      </c>
      <c r="AZ15" s="54"/>
      <c r="BA15" s="82" t="s">
        <v>22</v>
      </c>
      <c r="BB15" s="52" t="s">
        <v>55</v>
      </c>
      <c r="BC15" s="54"/>
      <c r="BD15" s="85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52" t="s">
        <v>15</v>
      </c>
      <c r="BY15" s="54"/>
      <c r="BZ15" s="82" t="s">
        <v>24</v>
      </c>
      <c r="CA15" s="52" t="s">
        <v>55</v>
      </c>
      <c r="CB15" s="54"/>
      <c r="CC15" s="85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52" t="s">
        <v>15</v>
      </c>
      <c r="CX15" s="54"/>
      <c r="CY15" s="82" t="s">
        <v>26</v>
      </c>
      <c r="CZ15" s="52" t="s">
        <v>55</v>
      </c>
      <c r="DA15" s="54"/>
      <c r="DB15" s="85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52" t="s">
        <v>15</v>
      </c>
      <c r="DW15" s="54"/>
      <c r="DX15" s="82" t="s">
        <v>18</v>
      </c>
      <c r="DY15" s="52" t="s">
        <v>55</v>
      </c>
      <c r="DZ15" s="54"/>
      <c r="EA15" s="85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52" t="s">
        <v>15</v>
      </c>
      <c r="EV15" s="54"/>
      <c r="EW15" s="82" t="s">
        <v>18</v>
      </c>
      <c r="EX15" s="52" t="s">
        <v>55</v>
      </c>
      <c r="EY15" s="54"/>
      <c r="EZ15" s="85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15.95">
      <c r="A16" s="55"/>
      <c r="B16" s="57"/>
      <c r="C16" s="83"/>
      <c r="D16" s="55"/>
      <c r="E16" s="57"/>
      <c r="F16" s="86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1000</v>
      </c>
      <c r="P16" s="21"/>
      <c r="Q16" s="20">
        <f>M16*O16</f>
        <v>1000</v>
      </c>
      <c r="R16" s="21"/>
      <c r="S16" s="2"/>
      <c r="T16" s="2"/>
      <c r="U16" s="2"/>
      <c r="V16" s="2"/>
      <c r="W16" s="2"/>
      <c r="X16" s="2"/>
      <c r="Y16" s="2"/>
      <c r="Z16" s="55"/>
      <c r="AA16" s="57"/>
      <c r="AB16" s="83"/>
      <c r="AC16" s="55"/>
      <c r="AD16" s="57"/>
      <c r="AE16" s="86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1000</v>
      </c>
      <c r="AO16" s="21"/>
      <c r="AP16" s="20">
        <f>AL16*AN16</f>
        <v>1000</v>
      </c>
      <c r="AQ16" s="21"/>
      <c r="AR16" s="2"/>
      <c r="AS16" s="2"/>
      <c r="AT16" s="2"/>
      <c r="AU16" s="2"/>
      <c r="AV16" s="2"/>
      <c r="AW16" s="2"/>
      <c r="AX16" s="2"/>
      <c r="AY16" s="55"/>
      <c r="AZ16" s="57"/>
      <c r="BA16" s="83"/>
      <c r="BB16" s="55"/>
      <c r="BC16" s="57"/>
      <c r="BD16" s="86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1000</v>
      </c>
      <c r="BN16" s="21"/>
      <c r="BO16" s="20">
        <f>BK16*BM16</f>
        <v>1000</v>
      </c>
      <c r="BP16" s="21"/>
      <c r="BQ16" s="2"/>
      <c r="BR16" s="2"/>
      <c r="BS16" s="2"/>
      <c r="BT16" s="2"/>
      <c r="BU16" s="2"/>
      <c r="BV16" s="2"/>
      <c r="BW16" s="2"/>
      <c r="BX16" s="55"/>
      <c r="BY16" s="57"/>
      <c r="BZ16" s="83"/>
      <c r="CA16" s="55"/>
      <c r="CB16" s="57"/>
      <c r="CC16" s="86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1000</v>
      </c>
      <c r="CM16" s="21"/>
      <c r="CN16" s="20">
        <f>CJ16*CL16</f>
        <v>1000</v>
      </c>
      <c r="CO16" s="21"/>
      <c r="CP16" s="2"/>
      <c r="CQ16" s="2"/>
      <c r="CR16" s="2"/>
      <c r="CS16" s="2"/>
      <c r="CT16" s="2"/>
      <c r="CU16" s="2"/>
      <c r="CV16" s="2"/>
      <c r="CW16" s="55"/>
      <c r="CX16" s="57"/>
      <c r="CY16" s="83"/>
      <c r="CZ16" s="55"/>
      <c r="DA16" s="57"/>
      <c r="DB16" s="86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1000</v>
      </c>
      <c r="DL16" s="21"/>
      <c r="DM16" s="20">
        <f>DI16*DK16</f>
        <v>1000</v>
      </c>
      <c r="DN16" s="21"/>
      <c r="DO16" s="2"/>
      <c r="DP16" s="2"/>
      <c r="DQ16" s="2"/>
      <c r="DR16" s="2"/>
      <c r="DS16" s="2"/>
      <c r="DT16" s="2"/>
      <c r="DU16" s="2"/>
      <c r="DV16" s="55"/>
      <c r="DW16" s="57"/>
      <c r="DX16" s="83"/>
      <c r="DY16" s="55"/>
      <c r="DZ16" s="57"/>
      <c r="EA16" s="86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1000</v>
      </c>
      <c r="EK16" s="21"/>
      <c r="EL16" s="20">
        <f>EH16*EJ16</f>
        <v>1000</v>
      </c>
      <c r="EM16" s="21"/>
      <c r="EN16" s="2"/>
      <c r="EO16" s="2"/>
      <c r="EP16" s="2"/>
      <c r="EQ16" s="2"/>
      <c r="ER16" s="2"/>
      <c r="ES16" s="2"/>
      <c r="ET16" s="2"/>
      <c r="EU16" s="55"/>
      <c r="EV16" s="57"/>
      <c r="EW16" s="83"/>
      <c r="EX16" s="55"/>
      <c r="EY16" s="57"/>
      <c r="EZ16" s="86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1000</v>
      </c>
      <c r="FJ16" s="21"/>
      <c r="FK16" s="20">
        <f>FG16*FI16</f>
        <v>1000</v>
      </c>
      <c r="FL16" s="21"/>
      <c r="FM16" s="2"/>
      <c r="FN16" s="2"/>
      <c r="FO16" s="2"/>
      <c r="FP16" s="2"/>
      <c r="FQ16" s="2"/>
      <c r="FR16" s="2"/>
      <c r="FS16" s="2"/>
    </row>
    <row r="17" spans="1:175" ht="15.95">
      <c r="A17" s="55"/>
      <c r="B17" s="57"/>
      <c r="C17" s="83"/>
      <c r="D17" s="55"/>
      <c r="E17" s="57"/>
      <c r="F17" s="86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55"/>
      <c r="AA17" s="57"/>
      <c r="AB17" s="83"/>
      <c r="AC17" s="55"/>
      <c r="AD17" s="57"/>
      <c r="AE17" s="86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55"/>
      <c r="AZ17" s="57"/>
      <c r="BA17" s="83"/>
      <c r="BB17" s="55"/>
      <c r="BC17" s="57"/>
      <c r="BD17" s="86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55"/>
      <c r="BY17" s="57"/>
      <c r="BZ17" s="83"/>
      <c r="CA17" s="55"/>
      <c r="CB17" s="57"/>
      <c r="CC17" s="86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55"/>
      <c r="CX17" s="57"/>
      <c r="CY17" s="83"/>
      <c r="CZ17" s="55"/>
      <c r="DA17" s="57"/>
      <c r="DB17" s="86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55"/>
      <c r="DW17" s="57"/>
      <c r="DX17" s="83"/>
      <c r="DY17" s="55"/>
      <c r="DZ17" s="57"/>
      <c r="EA17" s="86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55"/>
      <c r="EV17" s="57"/>
      <c r="EW17" s="83"/>
      <c r="EX17" s="55"/>
      <c r="EY17" s="57"/>
      <c r="EZ17" s="86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6.5" thickBot="1">
      <c r="A18" s="80"/>
      <c r="B18" s="81"/>
      <c r="C18" s="84"/>
      <c r="D18" s="80"/>
      <c r="E18" s="81"/>
      <c r="F18" s="87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80"/>
      <c r="AA18" s="81"/>
      <c r="AB18" s="84"/>
      <c r="AC18" s="80"/>
      <c r="AD18" s="81"/>
      <c r="AE18" s="87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80"/>
      <c r="AZ18" s="81"/>
      <c r="BA18" s="84"/>
      <c r="BB18" s="80"/>
      <c r="BC18" s="81"/>
      <c r="BD18" s="87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80"/>
      <c r="BY18" s="81"/>
      <c r="BZ18" s="84"/>
      <c r="CA18" s="80"/>
      <c r="CB18" s="81"/>
      <c r="CC18" s="87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80"/>
      <c r="CX18" s="81"/>
      <c r="CY18" s="84"/>
      <c r="CZ18" s="80"/>
      <c r="DA18" s="81"/>
      <c r="DB18" s="87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80"/>
      <c r="DW18" s="81"/>
      <c r="DX18" s="84"/>
      <c r="DY18" s="80"/>
      <c r="DZ18" s="81"/>
      <c r="EA18" s="87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80"/>
      <c r="EV18" s="81"/>
      <c r="EW18" s="84"/>
      <c r="EX18" s="80"/>
      <c r="EY18" s="81"/>
      <c r="EZ18" s="87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15.95">
      <c r="A19" s="52" t="s">
        <v>27</v>
      </c>
      <c r="B19" s="54"/>
      <c r="C19" s="82" t="s">
        <v>28</v>
      </c>
      <c r="D19" s="52" t="s">
        <v>55</v>
      </c>
      <c r="E19" s="54"/>
      <c r="F19" s="85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500</v>
      </c>
      <c r="P19" s="21"/>
      <c r="Q19" s="20">
        <f>M19*O19</f>
        <v>500</v>
      </c>
      <c r="R19" s="21"/>
      <c r="S19" s="2"/>
      <c r="T19" s="2"/>
      <c r="U19" s="2"/>
      <c r="V19" s="2"/>
      <c r="W19" s="2"/>
      <c r="X19" s="2"/>
      <c r="Y19" s="2"/>
      <c r="Z19" s="52" t="s">
        <v>27</v>
      </c>
      <c r="AA19" s="54"/>
      <c r="AB19" s="82" t="s">
        <v>29</v>
      </c>
      <c r="AC19" s="52" t="s">
        <v>55</v>
      </c>
      <c r="AD19" s="54"/>
      <c r="AE19" s="85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500</v>
      </c>
      <c r="AO19" s="21"/>
      <c r="AP19" s="20">
        <f>AL19*AN19</f>
        <v>500</v>
      </c>
      <c r="AQ19" s="21"/>
      <c r="AR19" s="2"/>
      <c r="AS19" s="2"/>
      <c r="AT19" s="2"/>
      <c r="AU19" s="2"/>
      <c r="AV19" s="2"/>
      <c r="AW19" s="2"/>
      <c r="AX19" s="2"/>
      <c r="AY19" s="52" t="s">
        <v>27</v>
      </c>
      <c r="AZ19" s="54"/>
      <c r="BA19" s="82" t="s">
        <v>30</v>
      </c>
      <c r="BB19" s="52" t="s">
        <v>55</v>
      </c>
      <c r="BC19" s="54"/>
      <c r="BD19" s="85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500</v>
      </c>
      <c r="BN19" s="21"/>
      <c r="BO19" s="20">
        <f>BK19*BM19</f>
        <v>500</v>
      </c>
      <c r="BP19" s="21"/>
      <c r="BQ19" s="2"/>
      <c r="BR19" s="2"/>
      <c r="BS19" s="2"/>
      <c r="BT19" s="2"/>
      <c r="BU19" s="2"/>
      <c r="BV19" s="2"/>
      <c r="BW19" s="2"/>
      <c r="BX19" s="52" t="s">
        <v>27</v>
      </c>
      <c r="BY19" s="54"/>
      <c r="BZ19" s="82" t="s">
        <v>31</v>
      </c>
      <c r="CA19" s="52" t="s">
        <v>55</v>
      </c>
      <c r="CB19" s="54"/>
      <c r="CC19" s="85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500</v>
      </c>
      <c r="CM19" s="21"/>
      <c r="CN19" s="20">
        <f>CJ19*CL19</f>
        <v>500</v>
      </c>
      <c r="CO19" s="21"/>
      <c r="CP19" s="2"/>
      <c r="CQ19" s="2"/>
      <c r="CR19" s="2"/>
      <c r="CS19" s="2"/>
      <c r="CT19" s="2"/>
      <c r="CU19" s="2"/>
      <c r="CV19" s="2"/>
      <c r="CW19" s="52" t="s">
        <v>27</v>
      </c>
      <c r="CX19" s="54"/>
      <c r="CY19" s="82" t="s">
        <v>32</v>
      </c>
      <c r="CZ19" s="52" t="s">
        <v>55</v>
      </c>
      <c r="DA19" s="54"/>
      <c r="DB19" s="85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500</v>
      </c>
      <c r="DL19" s="21"/>
      <c r="DM19" s="20">
        <f>DI19*DK19</f>
        <v>500</v>
      </c>
      <c r="DN19" s="21"/>
      <c r="DO19" s="2"/>
      <c r="DP19" s="2"/>
      <c r="DQ19" s="2"/>
      <c r="DR19" s="2"/>
      <c r="DS19" s="2"/>
      <c r="DT19" s="2"/>
      <c r="DU19" s="2"/>
      <c r="DV19" s="52" t="s">
        <v>27</v>
      </c>
      <c r="DW19" s="54"/>
      <c r="DX19" s="82" t="s">
        <v>28</v>
      </c>
      <c r="DY19" s="52" t="s">
        <v>55</v>
      </c>
      <c r="DZ19" s="54"/>
      <c r="EA19" s="85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500</v>
      </c>
      <c r="EK19" s="21"/>
      <c r="EL19" s="20">
        <f>EH19*EJ19</f>
        <v>500</v>
      </c>
      <c r="EM19" s="21"/>
      <c r="EN19" s="2"/>
      <c r="EO19" s="2"/>
      <c r="EP19" s="2"/>
      <c r="EQ19" s="2"/>
      <c r="ER19" s="2"/>
      <c r="ES19" s="2"/>
      <c r="ET19" s="2"/>
      <c r="EU19" s="52" t="s">
        <v>27</v>
      </c>
      <c r="EV19" s="54"/>
      <c r="EW19" s="82" t="s">
        <v>28</v>
      </c>
      <c r="EX19" s="52" t="s">
        <v>55</v>
      </c>
      <c r="EY19" s="54"/>
      <c r="EZ19" s="85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500</v>
      </c>
      <c r="FJ19" s="21"/>
      <c r="FK19" s="20">
        <f>FG19*FI19</f>
        <v>500</v>
      </c>
      <c r="FL19" s="21"/>
      <c r="FM19" s="2"/>
      <c r="FN19" s="2"/>
      <c r="FO19" s="2"/>
      <c r="FP19" s="2"/>
      <c r="FQ19" s="2"/>
      <c r="FR19" s="2"/>
      <c r="FS19" s="2"/>
    </row>
    <row r="20" spans="1:175" ht="15.95">
      <c r="A20" s="55"/>
      <c r="B20" s="57"/>
      <c r="C20" s="83"/>
      <c r="D20" s="55"/>
      <c r="E20" s="57"/>
      <c r="F20" s="86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55"/>
      <c r="AA20" s="57"/>
      <c r="AB20" s="83"/>
      <c r="AC20" s="55"/>
      <c r="AD20" s="57"/>
      <c r="AE20" s="86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55"/>
      <c r="AZ20" s="57"/>
      <c r="BA20" s="83"/>
      <c r="BB20" s="55"/>
      <c r="BC20" s="57"/>
      <c r="BD20" s="86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55"/>
      <c r="BY20" s="57"/>
      <c r="BZ20" s="83"/>
      <c r="CA20" s="55"/>
      <c r="CB20" s="57"/>
      <c r="CC20" s="86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55"/>
      <c r="CX20" s="57"/>
      <c r="CY20" s="83"/>
      <c r="CZ20" s="55"/>
      <c r="DA20" s="57"/>
      <c r="DB20" s="86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55"/>
      <c r="DW20" s="57"/>
      <c r="DX20" s="83"/>
      <c r="DY20" s="55"/>
      <c r="DZ20" s="57"/>
      <c r="EA20" s="86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55"/>
      <c r="EV20" s="57"/>
      <c r="EW20" s="83"/>
      <c r="EX20" s="55"/>
      <c r="EY20" s="57"/>
      <c r="EZ20" s="86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6.5" thickBot="1">
      <c r="A21" s="55"/>
      <c r="B21" s="57"/>
      <c r="C21" s="83"/>
      <c r="D21" s="55"/>
      <c r="E21" s="57"/>
      <c r="F21" s="86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55"/>
      <c r="AA21" s="57"/>
      <c r="AB21" s="83"/>
      <c r="AC21" s="55"/>
      <c r="AD21" s="57"/>
      <c r="AE21" s="86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55"/>
      <c r="AZ21" s="57"/>
      <c r="BA21" s="83"/>
      <c r="BB21" s="55"/>
      <c r="BC21" s="57"/>
      <c r="BD21" s="86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55"/>
      <c r="BY21" s="57"/>
      <c r="BZ21" s="83"/>
      <c r="CA21" s="55"/>
      <c r="CB21" s="57"/>
      <c r="CC21" s="86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55"/>
      <c r="CX21" s="57"/>
      <c r="CY21" s="83"/>
      <c r="CZ21" s="55"/>
      <c r="DA21" s="57"/>
      <c r="DB21" s="86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55"/>
      <c r="DW21" s="57"/>
      <c r="DX21" s="83"/>
      <c r="DY21" s="55"/>
      <c r="DZ21" s="57"/>
      <c r="EA21" s="86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55"/>
      <c r="EV21" s="57"/>
      <c r="EW21" s="83"/>
      <c r="EX21" s="55"/>
      <c r="EY21" s="57"/>
      <c r="EZ21" s="86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6.5" thickBot="1">
      <c r="A22" s="80"/>
      <c r="B22" s="81"/>
      <c r="C22" s="84"/>
      <c r="D22" s="80"/>
      <c r="E22" s="81"/>
      <c r="F22" s="87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1225</v>
      </c>
      <c r="P22" s="21"/>
      <c r="Q22" s="20">
        <f>M22*O22</f>
        <v>1225</v>
      </c>
      <c r="R22" s="21"/>
      <c r="S22" s="2"/>
      <c r="T22" s="2"/>
      <c r="U22" s="2"/>
      <c r="V22" s="2"/>
      <c r="W22" s="2"/>
      <c r="X22" s="2"/>
      <c r="Y22" s="2"/>
      <c r="Z22" s="80"/>
      <c r="AA22" s="81"/>
      <c r="AB22" s="84"/>
      <c r="AC22" s="80"/>
      <c r="AD22" s="81"/>
      <c r="AE22" s="87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1225</v>
      </c>
      <c r="AO22" s="21"/>
      <c r="AP22" s="20">
        <f>AL22*AN22</f>
        <v>1225</v>
      </c>
      <c r="AQ22" s="21"/>
      <c r="AR22" s="2"/>
      <c r="AS22" s="2"/>
      <c r="AT22" s="2"/>
      <c r="AU22" s="2"/>
      <c r="AV22" s="2"/>
      <c r="AW22" s="2"/>
      <c r="AX22" s="2"/>
      <c r="AY22" s="80"/>
      <c r="AZ22" s="81"/>
      <c r="BA22" s="84"/>
      <c r="BB22" s="80"/>
      <c r="BC22" s="81"/>
      <c r="BD22" s="87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1225</v>
      </c>
      <c r="BN22" s="21"/>
      <c r="BO22" s="20">
        <f>BK22*BM22</f>
        <v>1225</v>
      </c>
      <c r="BP22" s="21"/>
      <c r="BQ22" s="2"/>
      <c r="BR22" s="2"/>
      <c r="BS22" s="2"/>
      <c r="BT22" s="2"/>
      <c r="BU22" s="2"/>
      <c r="BV22" s="2"/>
      <c r="BW22" s="2"/>
      <c r="BX22" s="80"/>
      <c r="BY22" s="81"/>
      <c r="BZ22" s="84"/>
      <c r="CA22" s="80"/>
      <c r="CB22" s="81"/>
      <c r="CC22" s="87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1225</v>
      </c>
      <c r="CM22" s="21"/>
      <c r="CN22" s="20">
        <f>CJ22*CL22</f>
        <v>1225</v>
      </c>
      <c r="CO22" s="21"/>
      <c r="CP22" s="2"/>
      <c r="CQ22" s="2"/>
      <c r="CR22" s="2"/>
      <c r="CS22" s="2"/>
      <c r="CT22" s="2"/>
      <c r="CU22" s="2"/>
      <c r="CV22" s="2"/>
      <c r="CW22" s="80"/>
      <c r="CX22" s="81"/>
      <c r="CY22" s="84"/>
      <c r="CZ22" s="80"/>
      <c r="DA22" s="81"/>
      <c r="DB22" s="87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1225</v>
      </c>
      <c r="DL22" s="21"/>
      <c r="DM22" s="20">
        <f>DI22*DK22</f>
        <v>1225</v>
      </c>
      <c r="DN22" s="21"/>
      <c r="DO22" s="2"/>
      <c r="DP22" s="2"/>
      <c r="DQ22" s="2"/>
      <c r="DR22" s="2"/>
      <c r="DS22" s="2"/>
      <c r="DT22" s="2"/>
      <c r="DU22" s="2"/>
      <c r="DV22" s="80"/>
      <c r="DW22" s="81"/>
      <c r="DX22" s="84"/>
      <c r="DY22" s="80"/>
      <c r="DZ22" s="81"/>
      <c r="EA22" s="87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1225</v>
      </c>
      <c r="EK22" s="21"/>
      <c r="EL22" s="20">
        <f>EH22*EJ22</f>
        <v>1225</v>
      </c>
      <c r="EM22" s="21"/>
      <c r="EN22" s="2"/>
      <c r="EO22" s="2"/>
      <c r="EP22" s="2"/>
      <c r="EQ22" s="2"/>
      <c r="ER22" s="2"/>
      <c r="ES22" s="2"/>
      <c r="ET22" s="2"/>
      <c r="EU22" s="80"/>
      <c r="EV22" s="81"/>
      <c r="EW22" s="84"/>
      <c r="EX22" s="80"/>
      <c r="EY22" s="81"/>
      <c r="EZ22" s="87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1225</v>
      </c>
      <c r="FJ22" s="21"/>
      <c r="FK22" s="20">
        <f>FG22*FI22</f>
        <v>1225</v>
      </c>
      <c r="FL22" s="21"/>
      <c r="FM22" s="2"/>
      <c r="FN22" s="2"/>
      <c r="FO22" s="2"/>
      <c r="FP22" s="2"/>
      <c r="FQ22" s="2"/>
      <c r="FR22" s="2"/>
      <c r="FS22" s="2"/>
    </row>
    <row r="23" spans="1:175" ht="15.95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6.5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.95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1250</v>
      </c>
      <c r="P25" s="21"/>
      <c r="Q25" s="20">
        <f>M25*O25</f>
        <v>2500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1250</v>
      </c>
      <c r="AO25" s="21"/>
      <c r="AP25" s="20">
        <f>AL25*AN25</f>
        <v>2500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1250</v>
      </c>
      <c r="BN25" s="21"/>
      <c r="BO25" s="20">
        <f>BK25*BM25</f>
        <v>2500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1250</v>
      </c>
      <c r="CM25" s="21"/>
      <c r="CN25" s="20">
        <f>CJ25*CL25</f>
        <v>2500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1250</v>
      </c>
      <c r="DL25" s="21"/>
      <c r="DM25" s="20">
        <f>DI25*DK25</f>
        <v>2500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1250</v>
      </c>
      <c r="EK25" s="21"/>
      <c r="EL25" s="20">
        <f>EH25*EJ25</f>
        <v>2500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1250</v>
      </c>
      <c r="FJ25" s="21"/>
      <c r="FK25" s="20">
        <f>FG25*FI25</f>
        <v>2500</v>
      </c>
      <c r="FL25" s="21"/>
      <c r="FM25" s="2"/>
      <c r="FN25" s="2"/>
      <c r="FO25" s="2"/>
      <c r="FP25" s="2"/>
      <c r="FQ25" s="2"/>
      <c r="FR25" s="2"/>
      <c r="FS25" s="2"/>
    </row>
    <row r="26" spans="1:175" ht="15.95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6.5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.95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1250</v>
      </c>
      <c r="P28" s="21"/>
      <c r="Q28" s="20">
        <f>M28*O28</f>
        <v>1250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1250</v>
      </c>
      <c r="AO28" s="21"/>
      <c r="AP28" s="20">
        <f>AL28*AN28</f>
        <v>1250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1250</v>
      </c>
      <c r="BN28" s="21"/>
      <c r="BO28" s="20">
        <f>BK28*BM28</f>
        <v>1250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1250</v>
      </c>
      <c r="CM28" s="21"/>
      <c r="CN28" s="20">
        <f>CJ28*CL28</f>
        <v>1250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1250</v>
      </c>
      <c r="DL28" s="21"/>
      <c r="DM28" s="20">
        <f>DI28*DK28</f>
        <v>1250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1250</v>
      </c>
      <c r="EK28" s="21"/>
      <c r="EL28" s="20">
        <f>EH28*EJ28</f>
        <v>1250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1250</v>
      </c>
      <c r="FJ28" s="21"/>
      <c r="FK28" s="20">
        <f>FG28*FI28</f>
        <v>1250</v>
      </c>
      <c r="FL28" s="21"/>
      <c r="FM28" s="2"/>
      <c r="FN28" s="2"/>
      <c r="FO28" s="2"/>
      <c r="FP28" s="2"/>
      <c r="FQ28" s="2"/>
      <c r="FR28" s="2"/>
      <c r="FS28" s="2"/>
    </row>
    <row r="29" spans="1:175" ht="15.95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6.5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8.600000000000001">
      <c r="A33" s="2"/>
      <c r="B33" s="2"/>
      <c r="C33" s="61" t="s">
        <v>61</v>
      </c>
      <c r="D33" s="62"/>
      <c r="E33" s="62"/>
      <c r="F33" s="63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61" t="s">
        <v>62</v>
      </c>
      <c r="AC33" s="62"/>
      <c r="AD33" s="62"/>
      <c r="AE33" s="63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61" t="s">
        <v>63</v>
      </c>
      <c r="BB33" s="62"/>
      <c r="BC33" s="62"/>
      <c r="BD33" s="63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61" t="s">
        <v>64</v>
      </c>
      <c r="CA33" s="62"/>
      <c r="CB33" s="62"/>
      <c r="CC33" s="63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61" t="s">
        <v>65</v>
      </c>
      <c r="CZ33" s="62"/>
      <c r="DA33" s="62"/>
      <c r="DB33" s="63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61" t="s">
        <v>66</v>
      </c>
      <c r="DY33" s="62"/>
      <c r="DZ33" s="62"/>
      <c r="EA33" s="63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61" t="s">
        <v>67</v>
      </c>
      <c r="EX33" s="62"/>
      <c r="EY33" s="62"/>
      <c r="EZ33" s="63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8.95" thickBot="1">
      <c r="A34" s="2"/>
      <c r="B34" s="2"/>
      <c r="C34" s="64"/>
      <c r="D34" s="65"/>
      <c r="E34" s="65"/>
      <c r="F34" s="66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64"/>
      <c r="AC34" s="65"/>
      <c r="AD34" s="65"/>
      <c r="AE34" s="66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64"/>
      <c r="BB34" s="65"/>
      <c r="BC34" s="65"/>
      <c r="BD34" s="66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64"/>
      <c r="CA34" s="65"/>
      <c r="CB34" s="65"/>
      <c r="CC34" s="66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64"/>
      <c r="CZ34" s="65"/>
      <c r="DA34" s="65"/>
      <c r="DB34" s="66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64"/>
      <c r="DY34" s="65"/>
      <c r="DZ34" s="65"/>
      <c r="EA34" s="66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64"/>
      <c r="EX34" s="65"/>
      <c r="EY34" s="65"/>
      <c r="EZ34" s="66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>
      <c r="A35" s="2"/>
      <c r="B35" s="2"/>
      <c r="C35" s="67" t="s">
        <v>68</v>
      </c>
      <c r="D35" s="67">
        <f>F11+F15+F19</f>
        <v>1110</v>
      </c>
      <c r="E35" s="67" t="s">
        <v>69</v>
      </c>
      <c r="F35" s="67">
        <f>D35-D39</f>
        <v>-6740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67" t="s">
        <v>68</v>
      </c>
      <c r="AC35" s="67">
        <f>AE11+AE15+AE19</f>
        <v>1165</v>
      </c>
      <c r="AD35" s="67" t="s">
        <v>69</v>
      </c>
      <c r="AE35" s="67">
        <f>AC35-AC39</f>
        <v>-6685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67" t="s">
        <v>68</v>
      </c>
      <c r="BB35" s="67">
        <f>BD11+BD15+BD19</f>
        <v>1270</v>
      </c>
      <c r="BC35" s="67" t="s">
        <v>69</v>
      </c>
      <c r="BD35" s="67">
        <f>BB35-BB39</f>
        <v>-6580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67" t="s">
        <v>68</v>
      </c>
      <c r="CA35" s="67">
        <f>CC11+CC15+CC19</f>
        <v>1170</v>
      </c>
      <c r="CB35" s="67" t="s">
        <v>69</v>
      </c>
      <c r="CC35" s="67">
        <f>CA35-CA39</f>
        <v>-6680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67" t="s">
        <v>68</v>
      </c>
      <c r="CZ35" s="67">
        <f>DB11+DB15+DB19</f>
        <v>1120</v>
      </c>
      <c r="DA35" s="67" t="s">
        <v>69</v>
      </c>
      <c r="DB35" s="67">
        <f>CZ35-CZ39</f>
        <v>-6730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67" t="s">
        <v>68</v>
      </c>
      <c r="DY35" s="67">
        <f>EA11+EA15+EA19</f>
        <v>1110</v>
      </c>
      <c r="DZ35" s="67" t="s">
        <v>69</v>
      </c>
      <c r="EA35" s="67">
        <f>DY35-DY39</f>
        <v>-6740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67" t="s">
        <v>68</v>
      </c>
      <c r="EX35" s="67">
        <f>EZ11+EZ15+EZ19</f>
        <v>1110</v>
      </c>
      <c r="EY35" s="67" t="s">
        <v>69</v>
      </c>
      <c r="EZ35" s="67">
        <f>EX35-EX39</f>
        <v>-6740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>
      <c r="A36" s="2"/>
      <c r="B36" s="2"/>
      <c r="C36" s="67"/>
      <c r="D36" s="67"/>
      <c r="E36" s="67"/>
      <c r="F36" s="67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67"/>
      <c r="AC36" s="67"/>
      <c r="AD36" s="67"/>
      <c r="AE36" s="67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67"/>
      <c r="BB36" s="67"/>
      <c r="BC36" s="67"/>
      <c r="BD36" s="67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67"/>
      <c r="CA36" s="67"/>
      <c r="CB36" s="67"/>
      <c r="CC36" s="67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67"/>
      <c r="CZ36" s="67"/>
      <c r="DA36" s="67"/>
      <c r="DB36" s="67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67"/>
      <c r="DY36" s="67"/>
      <c r="DZ36" s="67"/>
      <c r="EA36" s="67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67"/>
      <c r="EX36" s="67"/>
      <c r="EY36" s="67"/>
      <c r="EZ36" s="67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>
      <c r="A37" s="2"/>
      <c r="B37" s="2"/>
      <c r="C37" s="67"/>
      <c r="D37" s="67"/>
      <c r="E37" s="67"/>
      <c r="F37" s="67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67"/>
      <c r="AC37" s="67"/>
      <c r="AD37" s="67"/>
      <c r="AE37" s="67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67"/>
      <c r="BB37" s="67"/>
      <c r="BC37" s="67"/>
      <c r="BD37" s="67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67"/>
      <c r="CA37" s="67"/>
      <c r="CB37" s="67"/>
      <c r="CC37" s="67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67"/>
      <c r="CZ37" s="67"/>
      <c r="DA37" s="67"/>
      <c r="DB37" s="67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67"/>
      <c r="DY37" s="67"/>
      <c r="DZ37" s="67"/>
      <c r="EA37" s="67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67"/>
      <c r="EX37" s="67"/>
      <c r="EY37" s="67"/>
      <c r="EZ37" s="67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" thickBot="1">
      <c r="A38" s="2"/>
      <c r="B38" s="2"/>
      <c r="C38" s="68"/>
      <c r="D38" s="68"/>
      <c r="E38" s="68"/>
      <c r="F38" s="68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68"/>
      <c r="AC38" s="68"/>
      <c r="AD38" s="68"/>
      <c r="AE38" s="68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68"/>
      <c r="BB38" s="68"/>
      <c r="BC38" s="68"/>
      <c r="BD38" s="68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68"/>
      <c r="CA38" s="68"/>
      <c r="CB38" s="68"/>
      <c r="CC38" s="68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68"/>
      <c r="CZ38" s="68"/>
      <c r="DA38" s="68"/>
      <c r="DB38" s="68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68"/>
      <c r="DY38" s="68"/>
      <c r="DZ38" s="68"/>
      <c r="EA38" s="68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68"/>
      <c r="EX38" s="68"/>
      <c r="EY38" s="68"/>
      <c r="EZ38" s="68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>
      <c r="A39" s="2"/>
      <c r="B39" s="2"/>
      <c r="C39" s="67" t="s">
        <v>70</v>
      </c>
      <c r="D39" s="67">
        <f>SUM(Q13:Q28)</f>
        <v>7850</v>
      </c>
      <c r="E39" s="67" t="s">
        <v>71</v>
      </c>
      <c r="F39" s="67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67" t="s">
        <v>70</v>
      </c>
      <c r="AC39" s="67">
        <f>SUM(AP13:AP28)</f>
        <v>7850</v>
      </c>
      <c r="AD39" s="67" t="s">
        <v>71</v>
      </c>
      <c r="AE39" s="67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67" t="s">
        <v>70</v>
      </c>
      <c r="BB39" s="67">
        <f>SUM(BO13:BO28)</f>
        <v>7850</v>
      </c>
      <c r="BC39" s="67" t="s">
        <v>71</v>
      </c>
      <c r="BD39" s="67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67" t="s">
        <v>70</v>
      </c>
      <c r="CA39" s="67">
        <f>SUM(CN13:CN28)</f>
        <v>7850</v>
      </c>
      <c r="CB39" s="67" t="s">
        <v>71</v>
      </c>
      <c r="CC39" s="67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67" t="s">
        <v>70</v>
      </c>
      <c r="CZ39" s="67">
        <f>SUM(DM13:DM28)</f>
        <v>7850</v>
      </c>
      <c r="DA39" s="67" t="s">
        <v>71</v>
      </c>
      <c r="DB39" s="67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67" t="s">
        <v>70</v>
      </c>
      <c r="DY39" s="67">
        <f>SUM(EL13:EL28)</f>
        <v>7850</v>
      </c>
      <c r="DZ39" s="67" t="s">
        <v>71</v>
      </c>
      <c r="EA39" s="67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67" t="s">
        <v>70</v>
      </c>
      <c r="EX39" s="67">
        <f>SUM(FK13:FK28)</f>
        <v>7850</v>
      </c>
      <c r="EY39" s="67" t="s">
        <v>71</v>
      </c>
      <c r="EZ39" s="67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>
      <c r="A40" s="2"/>
      <c r="B40" s="2"/>
      <c r="C40" s="67"/>
      <c r="D40" s="67"/>
      <c r="E40" s="67"/>
      <c r="F40" s="67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67"/>
      <c r="AC40" s="67"/>
      <c r="AD40" s="67"/>
      <c r="AE40" s="67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67"/>
      <c r="BB40" s="67"/>
      <c r="BC40" s="67"/>
      <c r="BD40" s="67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67"/>
      <c r="CA40" s="67"/>
      <c r="CB40" s="67"/>
      <c r="CC40" s="67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67"/>
      <c r="CZ40" s="67"/>
      <c r="DA40" s="67"/>
      <c r="DB40" s="67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67"/>
      <c r="DY40" s="67"/>
      <c r="DZ40" s="67"/>
      <c r="EA40" s="67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67"/>
      <c r="EX40" s="67"/>
      <c r="EY40" s="67"/>
      <c r="EZ40" s="67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>
      <c r="A41" s="2"/>
      <c r="B41" s="2"/>
      <c r="C41" s="67"/>
      <c r="D41" s="67"/>
      <c r="E41" s="67"/>
      <c r="F41" s="67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67"/>
      <c r="AC41" s="67"/>
      <c r="AD41" s="67"/>
      <c r="AE41" s="67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67"/>
      <c r="BB41" s="67"/>
      <c r="BC41" s="67"/>
      <c r="BD41" s="67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67"/>
      <c r="CA41" s="67"/>
      <c r="CB41" s="67"/>
      <c r="CC41" s="67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67"/>
      <c r="CZ41" s="67"/>
      <c r="DA41" s="67"/>
      <c r="DB41" s="67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67"/>
      <c r="DY41" s="67"/>
      <c r="DZ41" s="67"/>
      <c r="EA41" s="67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67"/>
      <c r="EX41" s="67"/>
      <c r="EY41" s="67"/>
      <c r="EZ41" s="67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thickBot="1">
      <c r="A42" s="2"/>
      <c r="B42" s="2"/>
      <c r="C42" s="68"/>
      <c r="D42" s="68"/>
      <c r="E42" s="68"/>
      <c r="F42" s="68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68"/>
      <c r="AC42" s="68"/>
      <c r="AD42" s="68"/>
      <c r="AE42" s="68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68"/>
      <c r="BB42" s="68"/>
      <c r="BC42" s="68"/>
      <c r="BD42" s="68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68"/>
      <c r="CA42" s="68"/>
      <c r="CB42" s="68"/>
      <c r="CC42" s="68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68"/>
      <c r="CZ42" s="68"/>
      <c r="DA42" s="68"/>
      <c r="DB42" s="68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68"/>
      <c r="DY42" s="68"/>
      <c r="DZ42" s="68"/>
      <c r="EA42" s="68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68"/>
      <c r="EX42" s="68"/>
      <c r="EY42" s="68"/>
      <c r="EZ42" s="68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8.600000000000001">
      <c r="A50" s="2"/>
      <c r="B50" s="2"/>
      <c r="C50" s="2"/>
      <c r="D50" s="2"/>
      <c r="E50" s="61" t="s">
        <v>72</v>
      </c>
      <c r="F50" s="62"/>
      <c r="G50" s="62"/>
      <c r="H50" s="63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88"/>
      <c r="BD50" s="88"/>
      <c r="BE50" s="88"/>
      <c r="BF50" s="88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95" t="s">
        <v>72</v>
      </c>
      <c r="CC50" s="96"/>
      <c r="CD50" s="96"/>
      <c r="CE50" s="97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95" t="s">
        <v>72</v>
      </c>
      <c r="DB50" s="96"/>
      <c r="DC50" s="96"/>
      <c r="DD50" s="97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95" t="s">
        <v>72</v>
      </c>
      <c r="EA50" s="96"/>
      <c r="EB50" s="96"/>
      <c r="EC50" s="97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95" t="s">
        <v>72</v>
      </c>
      <c r="EZ50" s="96"/>
      <c r="FA50" s="96"/>
      <c r="FB50" s="97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8.95" thickBot="1">
      <c r="A51" s="2"/>
      <c r="B51" s="2"/>
      <c r="C51" s="2"/>
      <c r="D51" s="2"/>
      <c r="E51" s="64"/>
      <c r="F51" s="65"/>
      <c r="G51" s="65"/>
      <c r="H51" s="66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88"/>
      <c r="BD51" s="88"/>
      <c r="BE51" s="88"/>
      <c r="BF51" s="88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98"/>
      <c r="CC51" s="99"/>
      <c r="CD51" s="99"/>
      <c r="CE51" s="100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98"/>
      <c r="DB51" s="99"/>
      <c r="DC51" s="99"/>
      <c r="DD51" s="100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98"/>
      <c r="EA51" s="99"/>
      <c r="EB51" s="99"/>
      <c r="EC51" s="100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98"/>
      <c r="EZ51" s="99"/>
      <c r="FA51" s="99"/>
      <c r="FB51" s="100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5.95">
      <c r="A52" s="2"/>
      <c r="B52" s="2"/>
      <c r="C52" s="2"/>
      <c r="D52" s="2"/>
      <c r="E52" s="67" t="s">
        <v>68</v>
      </c>
      <c r="F52" s="52">
        <f>F35+AE35+BD35+CC35+DB35+EA35+EZ35</f>
        <v>-46895</v>
      </c>
      <c r="G52" s="53"/>
      <c r="H52" s="5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89"/>
      <c r="BD52" s="89"/>
      <c r="BE52" s="89"/>
      <c r="BF52" s="89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90" t="s">
        <v>68</v>
      </c>
      <c r="CC52" s="92"/>
      <c r="CD52" s="93"/>
      <c r="CE52" s="93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90" t="s">
        <v>68</v>
      </c>
      <c r="DB52" s="92"/>
      <c r="DC52" s="93"/>
      <c r="DD52" s="93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90" t="s">
        <v>68</v>
      </c>
      <c r="EA52" s="92"/>
      <c r="EB52" s="93"/>
      <c r="EC52" s="93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90" t="s">
        <v>68</v>
      </c>
      <c r="EZ52" s="92"/>
      <c r="FA52" s="93"/>
      <c r="FB52" s="93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5.95">
      <c r="A53" s="2"/>
      <c r="B53" s="2"/>
      <c r="C53" s="2"/>
      <c r="D53" s="2"/>
      <c r="E53" s="67"/>
      <c r="F53" s="55"/>
      <c r="G53" s="56"/>
      <c r="H53" s="5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89"/>
      <c r="BD53" s="89"/>
      <c r="BE53" s="89"/>
      <c r="BF53" s="89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90"/>
      <c r="CC53" s="94"/>
      <c r="CD53" s="89"/>
      <c r="CE53" s="89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90"/>
      <c r="DB53" s="94"/>
      <c r="DC53" s="89"/>
      <c r="DD53" s="89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90"/>
      <c r="EA53" s="94"/>
      <c r="EB53" s="89"/>
      <c r="EC53" s="89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90"/>
      <c r="EZ53" s="94"/>
      <c r="FA53" s="89"/>
      <c r="FB53" s="89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5.95">
      <c r="A54" s="2"/>
      <c r="B54" s="2"/>
      <c r="C54" s="2"/>
      <c r="D54" s="2"/>
      <c r="E54" s="67"/>
      <c r="F54" s="55"/>
      <c r="G54" s="56"/>
      <c r="H54" s="5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89"/>
      <c r="BD54" s="89"/>
      <c r="BE54" s="89"/>
      <c r="BF54" s="89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90"/>
      <c r="CC54" s="94"/>
      <c r="CD54" s="89"/>
      <c r="CE54" s="89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90"/>
      <c r="DB54" s="94"/>
      <c r="DC54" s="89"/>
      <c r="DD54" s="89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90"/>
      <c r="EA54" s="94"/>
      <c r="EB54" s="89"/>
      <c r="EC54" s="89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90"/>
      <c r="EZ54" s="94"/>
      <c r="FA54" s="89"/>
      <c r="FB54" s="89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6.5" thickBot="1">
      <c r="A55" s="2"/>
      <c r="B55" s="2"/>
      <c r="C55" s="2"/>
      <c r="D55" s="2"/>
      <c r="E55" s="68"/>
      <c r="F55" s="55"/>
      <c r="G55" s="56"/>
      <c r="H55" s="5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89"/>
      <c r="BD55" s="89"/>
      <c r="BE55" s="89"/>
      <c r="BF55" s="89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91"/>
      <c r="CC55" s="94"/>
      <c r="CD55" s="89"/>
      <c r="CE55" s="89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91"/>
      <c r="DB55" s="94"/>
      <c r="DC55" s="89"/>
      <c r="DD55" s="89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91"/>
      <c r="EA55" s="94"/>
      <c r="EB55" s="89"/>
      <c r="EC55" s="89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91"/>
      <c r="EZ55" s="94"/>
      <c r="FA55" s="89"/>
      <c r="FB55" s="89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5.95">
      <c r="A56" s="2"/>
      <c r="B56" s="2"/>
      <c r="C56" s="2"/>
      <c r="D56" s="2"/>
      <c r="E56" s="67" t="s">
        <v>70</v>
      </c>
      <c r="F56" s="52">
        <f>D39+AC39+BB39+CA39+CZ39+DY39+EX39</f>
        <v>54950</v>
      </c>
      <c r="G56" s="53"/>
      <c r="H56" s="5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89"/>
      <c r="BD56" s="89"/>
      <c r="BE56" s="89"/>
      <c r="BF56" s="89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90" t="s">
        <v>70</v>
      </c>
      <c r="CC56" s="92"/>
      <c r="CD56" s="93"/>
      <c r="CE56" s="93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90" t="s">
        <v>70</v>
      </c>
      <c r="DB56" s="92"/>
      <c r="DC56" s="93"/>
      <c r="DD56" s="93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90" t="s">
        <v>70</v>
      </c>
      <c r="EA56" s="92"/>
      <c r="EB56" s="93"/>
      <c r="EC56" s="93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90" t="s">
        <v>70</v>
      </c>
      <c r="EZ56" s="92"/>
      <c r="FA56" s="93"/>
      <c r="FB56" s="93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5.95">
      <c r="A57" s="2"/>
      <c r="B57" s="2"/>
      <c r="C57" s="2"/>
      <c r="D57" s="2"/>
      <c r="E57" s="67"/>
      <c r="F57" s="55"/>
      <c r="G57" s="56"/>
      <c r="H57" s="5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89"/>
      <c r="BD57" s="89"/>
      <c r="BE57" s="89"/>
      <c r="BF57" s="89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90"/>
      <c r="CC57" s="94"/>
      <c r="CD57" s="89"/>
      <c r="CE57" s="89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90"/>
      <c r="DB57" s="94"/>
      <c r="DC57" s="89"/>
      <c r="DD57" s="89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90"/>
      <c r="EA57" s="94"/>
      <c r="EB57" s="89"/>
      <c r="EC57" s="89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90"/>
      <c r="EZ57" s="94"/>
      <c r="FA57" s="89"/>
      <c r="FB57" s="89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5.95">
      <c r="A58" s="2"/>
      <c r="B58" s="2"/>
      <c r="C58" s="2"/>
      <c r="D58" s="2"/>
      <c r="E58" s="67"/>
      <c r="F58" s="55"/>
      <c r="G58" s="56"/>
      <c r="H58" s="5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89"/>
      <c r="BD58" s="89"/>
      <c r="BE58" s="89"/>
      <c r="BF58" s="89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90"/>
      <c r="CC58" s="94"/>
      <c r="CD58" s="89"/>
      <c r="CE58" s="89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90"/>
      <c r="DB58" s="94"/>
      <c r="DC58" s="89"/>
      <c r="DD58" s="89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90"/>
      <c r="EA58" s="94"/>
      <c r="EB58" s="89"/>
      <c r="EC58" s="89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90"/>
      <c r="EZ58" s="94"/>
      <c r="FA58" s="89"/>
      <c r="FB58" s="89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6.5" thickBot="1">
      <c r="A59" s="2"/>
      <c r="B59" s="2"/>
      <c r="C59" s="2"/>
      <c r="D59" s="2"/>
      <c r="E59" s="68"/>
      <c r="F59" s="55"/>
      <c r="G59" s="56"/>
      <c r="H59" s="5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89"/>
      <c r="BD59" s="89"/>
      <c r="BE59" s="89"/>
      <c r="BF59" s="89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91"/>
      <c r="CC59" s="94"/>
      <c r="CD59" s="89"/>
      <c r="CE59" s="89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91"/>
      <c r="DB59" s="94"/>
      <c r="DC59" s="89"/>
      <c r="DD59" s="89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91"/>
      <c r="EA59" s="94"/>
      <c r="EB59" s="89"/>
      <c r="EC59" s="89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91"/>
      <c r="EZ59" s="94"/>
      <c r="FA59" s="89"/>
      <c r="FB59" s="89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5.95">
      <c r="A60" s="2"/>
      <c r="B60" s="2"/>
      <c r="C60" s="2"/>
      <c r="D60" s="2"/>
      <c r="E60" s="67" t="s">
        <v>73</v>
      </c>
      <c r="F60" s="52">
        <f>F56-F52</f>
        <v>101845</v>
      </c>
      <c r="G60" s="53"/>
      <c r="H60" s="5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5"/>
      <c r="AE60" s="35"/>
      <c r="AF60" s="35"/>
      <c r="AG60" s="35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89"/>
      <c r="BD60" s="89"/>
      <c r="BE60" s="89"/>
      <c r="BF60" s="89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90" t="s">
        <v>73</v>
      </c>
      <c r="CC60" s="92"/>
      <c r="CD60" s="93"/>
      <c r="CE60" s="93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90" t="s">
        <v>73</v>
      </c>
      <c r="DB60" s="92"/>
      <c r="DC60" s="93"/>
      <c r="DD60" s="93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90" t="s">
        <v>73</v>
      </c>
      <c r="EA60" s="92"/>
      <c r="EB60" s="93"/>
      <c r="EC60" s="93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90" t="s">
        <v>73</v>
      </c>
      <c r="EZ60" s="92"/>
      <c r="FA60" s="93"/>
      <c r="FB60" s="93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5.95">
      <c r="A61" s="2"/>
      <c r="B61" s="2"/>
      <c r="C61" s="2"/>
      <c r="D61" s="2"/>
      <c r="E61" s="67"/>
      <c r="F61" s="55"/>
      <c r="G61" s="56"/>
      <c r="H61" s="5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5"/>
      <c r="AE61" s="35"/>
      <c r="AF61" s="35"/>
      <c r="AG61" s="3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89"/>
      <c r="BD61" s="89"/>
      <c r="BE61" s="89"/>
      <c r="BF61" s="89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90"/>
      <c r="CC61" s="94"/>
      <c r="CD61" s="89"/>
      <c r="CE61" s="89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90"/>
      <c r="DB61" s="94"/>
      <c r="DC61" s="89"/>
      <c r="DD61" s="89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90"/>
      <c r="EA61" s="94"/>
      <c r="EB61" s="89"/>
      <c r="EC61" s="89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90"/>
      <c r="EZ61" s="94"/>
      <c r="FA61" s="89"/>
      <c r="FB61" s="89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5.95">
      <c r="A62" s="2"/>
      <c r="B62" s="2"/>
      <c r="C62" s="2"/>
      <c r="D62" s="2"/>
      <c r="E62" s="67"/>
      <c r="F62" s="55"/>
      <c r="G62" s="56"/>
      <c r="H62" s="5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5"/>
      <c r="AE62" s="35"/>
      <c r="AF62" s="35"/>
      <c r="AG62" s="35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89"/>
      <c r="BD62" s="89"/>
      <c r="BE62" s="89"/>
      <c r="BF62" s="89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90"/>
      <c r="CC62" s="94"/>
      <c r="CD62" s="89"/>
      <c r="CE62" s="89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90"/>
      <c r="DB62" s="94"/>
      <c r="DC62" s="89"/>
      <c r="DD62" s="89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90"/>
      <c r="EA62" s="94"/>
      <c r="EB62" s="89"/>
      <c r="EC62" s="89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90"/>
      <c r="EZ62" s="94"/>
      <c r="FA62" s="89"/>
      <c r="FB62" s="89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6.5" thickBot="1">
      <c r="A63" s="2"/>
      <c r="B63" s="2"/>
      <c r="C63" s="2"/>
      <c r="D63" s="2"/>
      <c r="E63" s="68"/>
      <c r="F63" s="55"/>
      <c r="G63" s="56"/>
      <c r="H63" s="5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5"/>
      <c r="AE63" s="35"/>
      <c r="AF63" s="35"/>
      <c r="AG63" s="35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89"/>
      <c r="BD63" s="89"/>
      <c r="BE63" s="89"/>
      <c r="BF63" s="89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91"/>
      <c r="CC63" s="94"/>
      <c r="CD63" s="89"/>
      <c r="CE63" s="89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91"/>
      <c r="DB63" s="94"/>
      <c r="DC63" s="89"/>
      <c r="DD63" s="89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91"/>
      <c r="EA63" s="94"/>
      <c r="EB63" s="89"/>
      <c r="EC63" s="89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91"/>
      <c r="EZ63" s="94"/>
      <c r="FA63" s="89"/>
      <c r="FB63" s="89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5.95">
      <c r="A64" s="2"/>
      <c r="B64" s="2"/>
      <c r="C64" s="2"/>
      <c r="D64" s="2"/>
      <c r="E64" s="67" t="s">
        <v>74</v>
      </c>
      <c r="F64" s="52">
        <f>(F60)/7700</f>
        <v>13.226623376623376</v>
      </c>
      <c r="G64" s="53"/>
      <c r="H64" s="5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5"/>
      <c r="AF64" s="35"/>
      <c r="AG64" s="35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89"/>
      <c r="BD64" s="89"/>
      <c r="BE64" s="89"/>
      <c r="BF64" s="89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90" t="s">
        <v>74</v>
      </c>
      <c r="CC64" s="92"/>
      <c r="CD64" s="93"/>
      <c r="CE64" s="93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90" t="s">
        <v>74</v>
      </c>
      <c r="DB64" s="92"/>
      <c r="DC64" s="93"/>
      <c r="DD64" s="93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90" t="s">
        <v>74</v>
      </c>
      <c r="EA64" s="92"/>
      <c r="EB64" s="93"/>
      <c r="EC64" s="93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90" t="s">
        <v>74</v>
      </c>
      <c r="EZ64" s="92"/>
      <c r="FA64" s="93"/>
      <c r="FB64" s="93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5.95">
      <c r="A65" s="2"/>
      <c r="B65" s="2"/>
      <c r="C65" s="2"/>
      <c r="D65" s="2"/>
      <c r="E65" s="67"/>
      <c r="F65" s="55"/>
      <c r="G65" s="56"/>
      <c r="H65" s="5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5"/>
      <c r="AE65" s="35"/>
      <c r="AF65" s="35"/>
      <c r="AG65" s="35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89"/>
      <c r="BD65" s="89"/>
      <c r="BE65" s="89"/>
      <c r="BF65" s="89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90"/>
      <c r="CC65" s="94"/>
      <c r="CD65" s="89"/>
      <c r="CE65" s="89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90"/>
      <c r="DB65" s="94"/>
      <c r="DC65" s="89"/>
      <c r="DD65" s="89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90"/>
      <c r="EA65" s="94"/>
      <c r="EB65" s="89"/>
      <c r="EC65" s="89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90"/>
      <c r="EZ65" s="94"/>
      <c r="FA65" s="89"/>
      <c r="FB65" s="89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5.95">
      <c r="A66" s="2"/>
      <c r="B66" s="2"/>
      <c r="C66" s="2"/>
      <c r="D66" s="2"/>
      <c r="E66" s="67"/>
      <c r="F66" s="55"/>
      <c r="G66" s="56"/>
      <c r="H66" s="5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5"/>
      <c r="AE66" s="35"/>
      <c r="AF66" s="35"/>
      <c r="AG66" s="35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89"/>
      <c r="BD66" s="89"/>
      <c r="BE66" s="89"/>
      <c r="BF66" s="89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90"/>
      <c r="CC66" s="94"/>
      <c r="CD66" s="89"/>
      <c r="CE66" s="89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90"/>
      <c r="DB66" s="94"/>
      <c r="DC66" s="89"/>
      <c r="DD66" s="89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90"/>
      <c r="EA66" s="94"/>
      <c r="EB66" s="89"/>
      <c r="EC66" s="89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90"/>
      <c r="EZ66" s="94"/>
      <c r="FA66" s="89"/>
      <c r="FB66" s="89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6.5" thickBot="1">
      <c r="A67" s="2"/>
      <c r="B67" s="2"/>
      <c r="C67" s="2"/>
      <c r="D67" s="2"/>
      <c r="E67" s="68"/>
      <c r="F67" s="55"/>
      <c r="G67" s="56"/>
      <c r="H67" s="5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5"/>
      <c r="AE67" s="35"/>
      <c r="AF67" s="35"/>
      <c r="AG67" s="35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89"/>
      <c r="BD67" s="89"/>
      <c r="BE67" s="89"/>
      <c r="BF67" s="89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91"/>
      <c r="CC67" s="94"/>
      <c r="CD67" s="89"/>
      <c r="CE67" s="89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91"/>
      <c r="DB67" s="94"/>
      <c r="DC67" s="89"/>
      <c r="DD67" s="89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91"/>
      <c r="EA67" s="94"/>
      <c r="EB67" s="89"/>
      <c r="EC67" s="89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91"/>
      <c r="EZ67" s="94"/>
      <c r="FA67" s="89"/>
      <c r="FB67" s="89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5.95">
      <c r="A68" s="2"/>
      <c r="B68" s="2"/>
      <c r="C68" s="2"/>
      <c r="D68" s="2"/>
      <c r="E68" s="67" t="s">
        <v>84</v>
      </c>
      <c r="F68" s="52">
        <f>D3-F64</f>
        <v>111.77337662337662</v>
      </c>
      <c r="G68" s="53"/>
      <c r="H68" s="5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5"/>
      <c r="AE68" s="35"/>
      <c r="AF68" s="35"/>
      <c r="AG68" s="35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89"/>
      <c r="BD68" s="89"/>
      <c r="BE68" s="89"/>
      <c r="BF68" s="89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90" t="s">
        <v>75</v>
      </c>
      <c r="CC68" s="92"/>
      <c r="CD68" s="93"/>
      <c r="CE68" s="93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90" t="s">
        <v>75</v>
      </c>
      <c r="DB68" s="92"/>
      <c r="DC68" s="93"/>
      <c r="DD68" s="93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90" t="s">
        <v>75</v>
      </c>
      <c r="EA68" s="92"/>
      <c r="EB68" s="93"/>
      <c r="EC68" s="93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90" t="s">
        <v>75</v>
      </c>
      <c r="EZ68" s="92"/>
      <c r="FA68" s="93"/>
      <c r="FB68" s="93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5.95">
      <c r="A69" s="2"/>
      <c r="B69" s="2"/>
      <c r="C69" s="2"/>
      <c r="D69" s="2"/>
      <c r="E69" s="67"/>
      <c r="F69" s="55"/>
      <c r="G69" s="56"/>
      <c r="H69" s="5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5"/>
      <c r="AE69" s="35"/>
      <c r="AF69" s="35"/>
      <c r="AG69" s="35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89"/>
      <c r="BD69" s="89"/>
      <c r="BE69" s="89"/>
      <c r="BF69" s="89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90"/>
      <c r="CC69" s="94"/>
      <c r="CD69" s="89"/>
      <c r="CE69" s="89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90"/>
      <c r="DB69" s="94"/>
      <c r="DC69" s="89"/>
      <c r="DD69" s="89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90"/>
      <c r="EA69" s="94"/>
      <c r="EB69" s="89"/>
      <c r="EC69" s="89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90"/>
      <c r="EZ69" s="94"/>
      <c r="FA69" s="89"/>
      <c r="FB69" s="89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5.95">
      <c r="A70" s="2"/>
      <c r="B70" s="2"/>
      <c r="C70" s="2"/>
      <c r="D70" s="2"/>
      <c r="E70" s="67"/>
      <c r="F70" s="55"/>
      <c r="G70" s="56"/>
      <c r="H70" s="5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5"/>
      <c r="AE70" s="35"/>
      <c r="AF70" s="35"/>
      <c r="AG70" s="35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89"/>
      <c r="BD70" s="89"/>
      <c r="BE70" s="89"/>
      <c r="BF70" s="89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90"/>
      <c r="CC70" s="94"/>
      <c r="CD70" s="89"/>
      <c r="CE70" s="89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90"/>
      <c r="DB70" s="94"/>
      <c r="DC70" s="89"/>
      <c r="DD70" s="89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90"/>
      <c r="EA70" s="94"/>
      <c r="EB70" s="89"/>
      <c r="EC70" s="89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90"/>
      <c r="EZ70" s="94"/>
      <c r="FA70" s="89"/>
      <c r="FB70" s="89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6.5" thickBot="1">
      <c r="A71" s="2"/>
      <c r="B71" s="2"/>
      <c r="C71" s="2"/>
      <c r="D71" s="2"/>
      <c r="E71" s="68"/>
      <c r="F71" s="55"/>
      <c r="G71" s="56"/>
      <c r="H71" s="5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89"/>
      <c r="BD71" s="89"/>
      <c r="BE71" s="89"/>
      <c r="BF71" s="89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91"/>
      <c r="CC71" s="94"/>
      <c r="CD71" s="89"/>
      <c r="CE71" s="89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91"/>
      <c r="DB71" s="94"/>
      <c r="DC71" s="89"/>
      <c r="DD71" s="89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91"/>
      <c r="EA71" s="94"/>
      <c r="EB71" s="89"/>
      <c r="EC71" s="89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91"/>
      <c r="EZ71" s="94"/>
      <c r="FA71" s="89"/>
      <c r="FB71" s="89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5.95">
      <c r="A72" s="2"/>
      <c r="B72" s="2"/>
      <c r="C72" s="2"/>
      <c r="D72" s="2"/>
      <c r="E72" s="67" t="s">
        <v>85</v>
      </c>
      <c r="F72" s="52">
        <f>148.95/(1.6^2)</f>
        <v>58.183593749999986</v>
      </c>
      <c r="G72" s="53"/>
      <c r="H72" s="5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89"/>
      <c r="BD72" s="89"/>
      <c r="BE72" s="89"/>
      <c r="BF72" s="89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90" t="s">
        <v>76</v>
      </c>
      <c r="CC72" s="92"/>
      <c r="CD72" s="93"/>
      <c r="CE72" s="93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90" t="s">
        <v>76</v>
      </c>
      <c r="DB72" s="92"/>
      <c r="DC72" s="93"/>
      <c r="DD72" s="93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90" t="s">
        <v>76</v>
      </c>
      <c r="EA72" s="92"/>
      <c r="EB72" s="93"/>
      <c r="EC72" s="93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90" t="s">
        <v>76</v>
      </c>
      <c r="EZ72" s="92"/>
      <c r="FA72" s="93"/>
      <c r="FB72" s="93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5.95">
      <c r="A73" s="2"/>
      <c r="B73" s="2"/>
      <c r="C73" s="2"/>
      <c r="D73" s="2"/>
      <c r="E73" s="67"/>
      <c r="F73" s="55"/>
      <c r="G73" s="56"/>
      <c r="H73" s="5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89"/>
      <c r="BD73" s="89"/>
      <c r="BE73" s="89"/>
      <c r="BF73" s="89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90"/>
      <c r="CC73" s="94"/>
      <c r="CD73" s="89"/>
      <c r="CE73" s="89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90"/>
      <c r="DB73" s="94"/>
      <c r="DC73" s="89"/>
      <c r="DD73" s="89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90"/>
      <c r="EA73" s="94"/>
      <c r="EB73" s="89"/>
      <c r="EC73" s="89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90"/>
      <c r="EZ73" s="94"/>
      <c r="FA73" s="89"/>
      <c r="FB73" s="89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5.95">
      <c r="A74" s="2"/>
      <c r="B74" s="2"/>
      <c r="C74" s="2"/>
      <c r="D74" s="2"/>
      <c r="E74" s="67"/>
      <c r="F74" s="55"/>
      <c r="G74" s="56"/>
      <c r="H74" s="5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89"/>
      <c r="BD74" s="89"/>
      <c r="BE74" s="89"/>
      <c r="BF74" s="89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90"/>
      <c r="CC74" s="94"/>
      <c r="CD74" s="89"/>
      <c r="CE74" s="89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90"/>
      <c r="DB74" s="94"/>
      <c r="DC74" s="89"/>
      <c r="DD74" s="89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90"/>
      <c r="EA74" s="94"/>
      <c r="EB74" s="89"/>
      <c r="EC74" s="89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90"/>
      <c r="EZ74" s="94"/>
      <c r="FA74" s="89"/>
      <c r="FB74" s="89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6.5" thickBot="1">
      <c r="A75" s="2"/>
      <c r="B75" s="2"/>
      <c r="C75" s="2"/>
      <c r="D75" s="2"/>
      <c r="E75" s="68"/>
      <c r="F75" s="55"/>
      <c r="G75" s="56"/>
      <c r="H75" s="5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89"/>
      <c r="BD75" s="89"/>
      <c r="BE75" s="89"/>
      <c r="BF75" s="89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91"/>
      <c r="CC75" s="94"/>
      <c r="CD75" s="89"/>
      <c r="CE75" s="89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91"/>
      <c r="DB75" s="94"/>
      <c r="DC75" s="89"/>
      <c r="DD75" s="89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91"/>
      <c r="EA75" s="94"/>
      <c r="EB75" s="89"/>
      <c r="EC75" s="89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91"/>
      <c r="EZ75" s="94"/>
      <c r="FA75" s="89"/>
      <c r="FB75" s="89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3">
    <mergeCell ref="ED9:EM10"/>
    <mergeCell ref="EU9:EZ10"/>
    <mergeCell ref="FC9:FL10"/>
    <mergeCell ref="EV3:EW4"/>
    <mergeCell ref="EX3:EX4"/>
    <mergeCell ref="A9:F10"/>
    <mergeCell ref="I9:R10"/>
    <mergeCell ref="Z9:AE10"/>
    <mergeCell ref="AH9:AQ10"/>
    <mergeCell ref="AY9:BD10"/>
    <mergeCell ref="BG9:BP10"/>
    <mergeCell ref="BX9:CC10"/>
    <mergeCell ref="CF9:CO10"/>
    <mergeCell ref="BY3:BZ4"/>
    <mergeCell ref="CA3:CA4"/>
    <mergeCell ref="CX3:CY4"/>
    <mergeCell ref="CZ3:CZ4"/>
    <mergeCell ref="DW3:DX4"/>
    <mergeCell ref="DY3:DY4"/>
    <mergeCell ref="B3:C4"/>
    <mergeCell ref="D3:D4"/>
    <mergeCell ref="AA3:AB4"/>
    <mergeCell ref="AC3:AC4"/>
    <mergeCell ref="AZ3:BA4"/>
    <mergeCell ref="A11:B14"/>
    <mergeCell ref="C11:C14"/>
    <mergeCell ref="D11:E14"/>
    <mergeCell ref="F11:F14"/>
    <mergeCell ref="Z11:AA14"/>
    <mergeCell ref="AB11:AB14"/>
    <mergeCell ref="CW9:DB10"/>
    <mergeCell ref="DE9:DN10"/>
    <mergeCell ref="AY11:AZ14"/>
    <mergeCell ref="AE11:AE14"/>
    <mergeCell ref="BB3:BB4"/>
    <mergeCell ref="DV9:EA10"/>
    <mergeCell ref="EW11:EW14"/>
    <mergeCell ref="EX11:EY14"/>
    <mergeCell ref="EZ11:EZ14"/>
    <mergeCell ref="A15:B18"/>
    <mergeCell ref="C15:C18"/>
    <mergeCell ref="D15:E18"/>
    <mergeCell ref="F15:F18"/>
    <mergeCell ref="Z15:AA18"/>
    <mergeCell ref="AB15:AB18"/>
    <mergeCell ref="CZ11:DA14"/>
    <mergeCell ref="DB11:DB14"/>
    <mergeCell ref="DV11:DW14"/>
    <mergeCell ref="DX11:DX14"/>
    <mergeCell ref="DY11:DZ14"/>
    <mergeCell ref="EA11:EA14"/>
    <mergeCell ref="BX11:BY14"/>
    <mergeCell ref="BZ11:BZ14"/>
    <mergeCell ref="CA11:CB14"/>
    <mergeCell ref="CC11:CC14"/>
    <mergeCell ref="CW11:CX14"/>
    <mergeCell ref="CY11:CY14"/>
    <mergeCell ref="AC11:AD14"/>
    <mergeCell ref="CW15:CX18"/>
    <mergeCell ref="CY15:CY18"/>
    <mergeCell ref="AC15:AD18"/>
    <mergeCell ref="AE15:AE18"/>
    <mergeCell ref="AY15:AZ18"/>
    <mergeCell ref="BA15:BA18"/>
    <mergeCell ref="BB15:BC18"/>
    <mergeCell ref="BD15:BD18"/>
    <mergeCell ref="EU11:EV14"/>
    <mergeCell ref="BA11:BA14"/>
    <mergeCell ref="BB11:BC14"/>
    <mergeCell ref="BD11:BD14"/>
    <mergeCell ref="AY19:AZ22"/>
    <mergeCell ref="BA19:BA22"/>
    <mergeCell ref="BB19:BC22"/>
    <mergeCell ref="BD19:BD22"/>
    <mergeCell ref="EU15:EV18"/>
    <mergeCell ref="EW15:EW18"/>
    <mergeCell ref="EX15:EY18"/>
    <mergeCell ref="EZ15:EZ18"/>
    <mergeCell ref="A19:B22"/>
    <mergeCell ref="C19:C22"/>
    <mergeCell ref="D19:E22"/>
    <mergeCell ref="F19:F22"/>
    <mergeCell ref="Z19:AA22"/>
    <mergeCell ref="AB19:AB22"/>
    <mergeCell ref="CZ15:DA18"/>
    <mergeCell ref="DB15:DB18"/>
    <mergeCell ref="DV15:DW18"/>
    <mergeCell ref="DX15:DX18"/>
    <mergeCell ref="DY15:DZ18"/>
    <mergeCell ref="EA15:EA18"/>
    <mergeCell ref="BX15:BY18"/>
    <mergeCell ref="BZ15:BZ18"/>
    <mergeCell ref="CA15:CB18"/>
    <mergeCell ref="CC15:CC18"/>
    <mergeCell ref="EU19:EV22"/>
    <mergeCell ref="EW19:EW22"/>
    <mergeCell ref="EX19:EY22"/>
    <mergeCell ref="EZ19:EZ22"/>
    <mergeCell ref="C33:F34"/>
    <mergeCell ref="AB33:AE34"/>
    <mergeCell ref="BA33:BD34"/>
    <mergeCell ref="BZ33:CC34"/>
    <mergeCell ref="CY33:DB34"/>
    <mergeCell ref="DX33:EA34"/>
    <mergeCell ref="CZ19:DA22"/>
    <mergeCell ref="DB19:DB22"/>
    <mergeCell ref="DV19:DW22"/>
    <mergeCell ref="DX19:DX22"/>
    <mergeCell ref="DY19:DZ22"/>
    <mergeCell ref="EA19:EA22"/>
    <mergeCell ref="BX19:BY22"/>
    <mergeCell ref="BZ19:BZ22"/>
    <mergeCell ref="CA19:CB22"/>
    <mergeCell ref="CC19:CC22"/>
    <mergeCell ref="CW19:CX22"/>
    <mergeCell ref="CY19:CY22"/>
    <mergeCell ref="AC19:AD22"/>
    <mergeCell ref="AE19:AE22"/>
    <mergeCell ref="BC35:BC38"/>
    <mergeCell ref="BD35:BD38"/>
    <mergeCell ref="BZ35:BZ38"/>
    <mergeCell ref="CA35:CA38"/>
    <mergeCell ref="CB35:CB38"/>
    <mergeCell ref="EW33:EZ34"/>
    <mergeCell ref="C35:C38"/>
    <mergeCell ref="D35:D38"/>
    <mergeCell ref="E35:E38"/>
    <mergeCell ref="F35:F38"/>
    <mergeCell ref="AB35:AB38"/>
    <mergeCell ref="AC35:AC38"/>
    <mergeCell ref="AD35:AD38"/>
    <mergeCell ref="AE35:AE38"/>
    <mergeCell ref="BA35:BA38"/>
    <mergeCell ref="CB39:CB42"/>
    <mergeCell ref="EZ35:EZ38"/>
    <mergeCell ref="C39:C42"/>
    <mergeCell ref="D39:D42"/>
    <mergeCell ref="E39:E42"/>
    <mergeCell ref="F39:F42"/>
    <mergeCell ref="AB39:AB42"/>
    <mergeCell ref="AC39:AC42"/>
    <mergeCell ref="AD39:AD42"/>
    <mergeCell ref="AE39:AE42"/>
    <mergeCell ref="BA39:BA42"/>
    <mergeCell ref="DY35:DY38"/>
    <mergeCell ref="DZ35:DZ38"/>
    <mergeCell ref="EA35:EA38"/>
    <mergeCell ref="EW35:EW38"/>
    <mergeCell ref="EX35:EX38"/>
    <mergeCell ref="EY35:EY38"/>
    <mergeCell ref="CC35:CC38"/>
    <mergeCell ref="CY35:CY38"/>
    <mergeCell ref="CZ35:CZ38"/>
    <mergeCell ref="DA35:DA38"/>
    <mergeCell ref="DB35:DB38"/>
    <mergeCell ref="DX35:DX38"/>
    <mergeCell ref="BB35:BB38"/>
    <mergeCell ref="EZ39:EZ42"/>
    <mergeCell ref="E50:H51"/>
    <mergeCell ref="BC50:BF51"/>
    <mergeCell ref="CB50:CE51"/>
    <mergeCell ref="DA50:DD51"/>
    <mergeCell ref="DZ50:EC51"/>
    <mergeCell ref="EY50:FB51"/>
    <mergeCell ref="DY39:DY42"/>
    <mergeCell ref="DZ39:DZ42"/>
    <mergeCell ref="EA39:EA42"/>
    <mergeCell ref="EW39:EW42"/>
    <mergeCell ref="EX39:EX42"/>
    <mergeCell ref="EY39:EY42"/>
    <mergeCell ref="CC39:CC42"/>
    <mergeCell ref="CY39:CY42"/>
    <mergeCell ref="CZ39:CZ42"/>
    <mergeCell ref="DA39:DA42"/>
    <mergeCell ref="DB39:DB42"/>
    <mergeCell ref="DX39:DX42"/>
    <mergeCell ref="BB39:BB42"/>
    <mergeCell ref="BC39:BC42"/>
    <mergeCell ref="BD39:BD42"/>
    <mergeCell ref="BZ39:BZ42"/>
    <mergeCell ref="CA39:CA42"/>
    <mergeCell ref="DA52:DA55"/>
    <mergeCell ref="DB52:DD55"/>
    <mergeCell ref="DZ52:DZ55"/>
    <mergeCell ref="EA52:EC55"/>
    <mergeCell ref="EY52:EY55"/>
    <mergeCell ref="EZ52:FB55"/>
    <mergeCell ref="E52:E55"/>
    <mergeCell ref="F52:H55"/>
    <mergeCell ref="BC52:BC55"/>
    <mergeCell ref="BD52:BF55"/>
    <mergeCell ref="CB52:CB55"/>
    <mergeCell ref="CC52:CE55"/>
    <mergeCell ref="DA56:DA59"/>
    <mergeCell ref="DB56:DD59"/>
    <mergeCell ref="DZ56:DZ59"/>
    <mergeCell ref="EA56:EC59"/>
    <mergeCell ref="EY56:EY59"/>
    <mergeCell ref="EZ56:FB59"/>
    <mergeCell ref="E56:E59"/>
    <mergeCell ref="F56:H59"/>
    <mergeCell ref="BC56:BC59"/>
    <mergeCell ref="BD56:BF59"/>
    <mergeCell ref="CB56:CB59"/>
    <mergeCell ref="CC56:CE59"/>
    <mergeCell ref="DA60:DA63"/>
    <mergeCell ref="DB60:DD63"/>
    <mergeCell ref="DZ60:DZ63"/>
    <mergeCell ref="EA60:EC63"/>
    <mergeCell ref="EY60:EY63"/>
    <mergeCell ref="EZ60:FB63"/>
    <mergeCell ref="E60:E63"/>
    <mergeCell ref="F60:H63"/>
    <mergeCell ref="BC60:BC63"/>
    <mergeCell ref="BD60:BF63"/>
    <mergeCell ref="CB60:CB63"/>
    <mergeCell ref="CC60:CE63"/>
    <mergeCell ref="DA64:DA67"/>
    <mergeCell ref="DB64:DD67"/>
    <mergeCell ref="DZ64:DZ67"/>
    <mergeCell ref="EA64:EC67"/>
    <mergeCell ref="EY64:EY67"/>
    <mergeCell ref="EZ64:FB67"/>
    <mergeCell ref="E64:E67"/>
    <mergeCell ref="F64:H67"/>
    <mergeCell ref="BC64:BC67"/>
    <mergeCell ref="BD64:BF67"/>
    <mergeCell ref="CB64:CB67"/>
    <mergeCell ref="CC64:CE67"/>
    <mergeCell ref="DA68:DA71"/>
    <mergeCell ref="DB68:DD71"/>
    <mergeCell ref="DZ68:DZ71"/>
    <mergeCell ref="EA68:EC71"/>
    <mergeCell ref="EY68:EY71"/>
    <mergeCell ref="EZ68:FB71"/>
    <mergeCell ref="E68:E71"/>
    <mergeCell ref="F68:H71"/>
    <mergeCell ref="BC68:BC71"/>
    <mergeCell ref="BD68:BF71"/>
    <mergeCell ref="CB68:CB71"/>
    <mergeCell ref="CC68:CE71"/>
    <mergeCell ref="DA72:DA75"/>
    <mergeCell ref="DB72:DD75"/>
    <mergeCell ref="DZ72:DZ75"/>
    <mergeCell ref="EA72:EC75"/>
    <mergeCell ref="EY72:EY75"/>
    <mergeCell ref="EZ72:FB75"/>
    <mergeCell ref="E72:E75"/>
    <mergeCell ref="F72:H75"/>
    <mergeCell ref="BC72:BC75"/>
    <mergeCell ref="BD72:BF75"/>
    <mergeCell ref="CB72:CB75"/>
    <mergeCell ref="CC72:CE75"/>
  </mergeCells>
  <conditionalFormatting sqref="F39:F42">
    <cfRule type="containsText" dxfId="13" priority="13" operator="containsText" text="Bad shape">
      <formula>NOT(ISERROR(SEARCH("Bad shape",F39)))</formula>
    </cfRule>
    <cfRule type="containsText" dxfId="12" priority="14" operator="containsText" text="Fit shape">
      <formula>NOT(ISERROR(SEARCH("Fit shape",F39)))</formula>
    </cfRule>
  </conditionalFormatting>
  <conditionalFormatting sqref="AE39:AE42">
    <cfRule type="containsText" dxfId="11" priority="11" operator="containsText" text="Bad shape">
      <formula>NOT(ISERROR(SEARCH("Bad shape",AE39)))</formula>
    </cfRule>
    <cfRule type="containsText" dxfId="10" priority="12" operator="containsText" text="Fit shape">
      <formula>NOT(ISERROR(SEARCH("Fit shape",AE39)))</formula>
    </cfRule>
  </conditionalFormatting>
  <conditionalFormatting sqref="BD39:BD42">
    <cfRule type="containsText" dxfId="9" priority="9" operator="containsText" text="Bad shape">
      <formula>NOT(ISERROR(SEARCH("Bad shape",BD39)))</formula>
    </cfRule>
    <cfRule type="containsText" dxfId="8" priority="10" operator="containsText" text="Fit shape">
      <formula>NOT(ISERROR(SEARCH("Fit shape",BD39)))</formula>
    </cfRule>
  </conditionalFormatting>
  <conditionalFormatting sqref="CC39:CC42">
    <cfRule type="containsText" dxfId="7" priority="7" operator="containsText" text="Bad shape">
      <formula>NOT(ISERROR(SEARCH("Bad shape",CC39)))</formula>
    </cfRule>
    <cfRule type="containsText" dxfId="6" priority="8" operator="containsText" text="Fit shape">
      <formula>NOT(ISERROR(SEARCH("Fit shape",CC39)))</formula>
    </cfRule>
  </conditionalFormatting>
  <conditionalFormatting sqref="DB39:DB42">
    <cfRule type="containsText" dxfId="5" priority="5" operator="containsText" text="Bad shape">
      <formula>NOT(ISERROR(SEARCH("Bad shape",DB39)))</formula>
    </cfRule>
    <cfRule type="containsText" dxfId="4" priority="6" operator="containsText" text="Fit shape">
      <formula>NOT(ISERROR(SEARCH("Fit shape",DB39)))</formula>
    </cfRule>
  </conditionalFormatting>
  <conditionalFormatting sqref="EA39:EA42">
    <cfRule type="containsText" dxfId="3" priority="3" operator="containsText" text="Bad shape">
      <formula>NOT(ISERROR(SEARCH("Bad shape",EA39)))</formula>
    </cfRule>
    <cfRule type="containsText" dxfId="2" priority="4" operator="containsText" text="Fit shape">
      <formula>NOT(ISERROR(SEARCH("Fit shape",EA39)))</formula>
    </cfRule>
  </conditionalFormatting>
  <conditionalFormatting sqref="EZ39:EZ42">
    <cfRule type="containsText" dxfId="1" priority="1" operator="containsText" text="Bad shape">
      <formula>NOT(ISERROR(SEARCH("Bad shape",EZ39)))</formula>
    </cfRule>
    <cfRule type="containsText" dxfId="0" priority="2" operator="containsText" text="Fit shape">
      <formula>NOT(ISERROR(SEARCH("Fit shape",EZ39)))</formula>
    </cfRule>
  </conditionalFormatting>
  <dataValidations count="4"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6D2529F8-FD49-427B-9DDC-98449688C76B}">
      <formula1>BREAKFAST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E8A828D9-BEF5-4737-B3E0-5D9F138F1C47}">
      <formula1>LUNCH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5D81B546-7BD2-42B6-8C98-0E4C1B77AB84}">
      <formula1>DINNER</formula1>
    </dataValidation>
    <dataValidation type="list" allowBlank="1" showInputMessage="1" showErrorMessage="1" sqref="I13:J30 AH13:AI30 BG13:BH30 CF13:CG30 DE13:DF30 ED13:EE30 FC13:FD30" xr:uid="{FB4CCB75-2002-43B6-8A37-0D7170C9C242}">
      <formula1>EXERCISES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1E15-4194-4DC2-9479-684D442CF993}">
  <dimension ref="A1:AF37"/>
  <sheetViews>
    <sheetView tabSelected="1" zoomScale="60" zoomScaleNormal="60" workbookViewId="0">
      <selection activeCell="M32" sqref="M32"/>
    </sheetView>
  </sheetViews>
  <sheetFormatPr defaultRowHeight="14.45"/>
  <sheetData>
    <row r="1" spans="1:32">
      <c r="A1" s="45" t="s">
        <v>86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32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>
      <c r="A5" s="2"/>
      <c r="B5" s="19" t="s">
        <v>87</v>
      </c>
      <c r="C5" s="2"/>
      <c r="D5" s="2"/>
      <c r="E5" s="2"/>
      <c r="F5" s="2"/>
      <c r="G5" s="2"/>
      <c r="H5" s="2"/>
      <c r="I5" s="2"/>
      <c r="J5" s="2"/>
      <c r="K5" s="19" t="s">
        <v>88</v>
      </c>
      <c r="L5" s="2"/>
      <c r="M5" s="2"/>
      <c r="N5" s="2"/>
      <c r="O5" s="2"/>
      <c r="P5" s="2"/>
      <c r="Q5" s="2"/>
      <c r="R5" s="2"/>
      <c r="S5" s="2"/>
      <c r="T5" s="19" t="s">
        <v>89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2" cm="1">
        <f t="array" aca="1" ref="A6" ca="1">A6:Z32</f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90</v>
      </c>
      <c r="B8" s="2">
        <f>weightKG0</f>
        <v>200</v>
      </c>
      <c r="C8" s="2"/>
      <c r="D8" s="2"/>
      <c r="E8" s="2"/>
      <c r="F8" s="2"/>
      <c r="G8" s="2"/>
      <c r="H8" s="2"/>
      <c r="I8" s="2"/>
      <c r="J8" s="2"/>
      <c r="K8" s="2" t="s">
        <v>90</v>
      </c>
      <c r="L8" s="2">
        <v>50</v>
      </c>
      <c r="M8" s="2"/>
      <c r="N8" s="2"/>
      <c r="O8" s="2"/>
      <c r="P8" s="2"/>
      <c r="Q8" s="2"/>
      <c r="R8" s="2"/>
      <c r="S8" s="2" t="s">
        <v>91</v>
      </c>
      <c r="T8" s="2">
        <f>Weight1KG</f>
        <v>21.790259740259739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92</v>
      </c>
      <c r="B9" s="2">
        <f>Week1endweight</f>
        <v>-178.20974025974027</v>
      </c>
      <c r="C9" s="2"/>
      <c r="D9" s="2"/>
      <c r="E9" s="2"/>
      <c r="F9" s="2"/>
      <c r="G9" s="2"/>
      <c r="H9" s="2"/>
      <c r="I9" s="2"/>
      <c r="J9" s="2"/>
      <c r="K9" s="2" t="s">
        <v>92</v>
      </c>
      <c r="L9" s="2">
        <f>BMIWeek1</f>
        <v>58.183593749999986</v>
      </c>
      <c r="M9" s="2"/>
      <c r="N9" s="2"/>
      <c r="O9" s="2"/>
      <c r="P9" s="2"/>
      <c r="Q9" s="2"/>
      <c r="R9" s="2"/>
      <c r="S9" s="2" t="s">
        <v>93</v>
      </c>
      <c r="T9" s="2">
        <f>Weight2Kg</f>
        <v>18.821532467532467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94</v>
      </c>
      <c r="B10" s="2">
        <f>Week2endweight</f>
        <v>159.17846753246752</v>
      </c>
      <c r="C10" s="2"/>
      <c r="D10" s="2"/>
      <c r="E10" s="2"/>
      <c r="F10" s="2"/>
      <c r="G10" s="2"/>
      <c r="H10" s="2"/>
      <c r="I10" s="2"/>
      <c r="J10" s="2"/>
      <c r="K10" s="2" t="s">
        <v>94</v>
      </c>
      <c r="L10" s="2">
        <f>BMIWeek2</f>
        <v>58.183593749999986</v>
      </c>
      <c r="M10" s="2"/>
      <c r="N10" s="2"/>
      <c r="O10" s="2"/>
      <c r="P10" s="2"/>
      <c r="Q10" s="2"/>
      <c r="R10" s="2"/>
      <c r="S10" s="2" t="s">
        <v>95</v>
      </c>
      <c r="T10" s="2">
        <f>Weight3kg</f>
        <v>17.108805194805193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96</v>
      </c>
      <c r="B11" s="2">
        <f>Week3endweight</f>
        <v>141.8911948051948</v>
      </c>
      <c r="C11" s="2"/>
      <c r="D11" s="2"/>
      <c r="E11" s="2"/>
      <c r="F11" s="2"/>
      <c r="G11" s="2"/>
      <c r="H11" s="2"/>
      <c r="I11" s="2"/>
      <c r="J11" s="2"/>
      <c r="K11" s="2" t="s">
        <v>96</v>
      </c>
      <c r="L11" s="2">
        <f>BMIweek3</f>
        <v>58.183593749999986</v>
      </c>
      <c r="M11" s="2"/>
      <c r="N11" s="2"/>
      <c r="O11" s="2"/>
      <c r="P11" s="2"/>
      <c r="Q11" s="2"/>
      <c r="R11" s="2"/>
      <c r="S11" s="2" t="s">
        <v>97</v>
      </c>
      <c r="T11" s="2">
        <f>Weight4kg</f>
        <v>15.053532467532468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98</v>
      </c>
      <c r="B12" s="2">
        <f>Week4endweight</f>
        <v>125.94646753246754</v>
      </c>
      <c r="C12" s="2"/>
      <c r="D12" s="2"/>
      <c r="E12" s="2"/>
      <c r="F12" s="2"/>
      <c r="G12" s="2"/>
      <c r="H12" s="2"/>
      <c r="I12" s="2"/>
      <c r="J12" s="2"/>
      <c r="K12" s="2" t="s">
        <v>98</v>
      </c>
      <c r="L12" s="2">
        <f>BMIweek4</f>
        <v>58.183593749999986</v>
      </c>
      <c r="M12" s="2"/>
      <c r="N12" s="2"/>
      <c r="O12" s="2"/>
      <c r="P12" s="2"/>
      <c r="Q12" s="2"/>
      <c r="R12" s="2"/>
      <c r="S12" s="2" t="s">
        <v>99</v>
      </c>
      <c r="T12" s="2">
        <f>Weight5kg</f>
        <v>13.226623376623376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2" t="s">
        <v>100</v>
      </c>
      <c r="B13" s="2">
        <f>Week5endweight</f>
        <v>111.77337662337662</v>
      </c>
      <c r="C13" s="2"/>
      <c r="D13" s="2"/>
      <c r="E13" s="2"/>
      <c r="F13" s="2"/>
      <c r="G13" s="2"/>
      <c r="H13" s="2"/>
      <c r="I13" s="2"/>
      <c r="J13" s="2"/>
      <c r="K13" s="2" t="s">
        <v>100</v>
      </c>
      <c r="L13" s="2">
        <f>BMIweek5</f>
        <v>58.183593749999986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</sheetData>
  <mergeCells count="1">
    <mergeCell ref="A1:AF4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Haque D16741</dc:creator>
  <cp:keywords/>
  <dc:description/>
  <cp:lastModifiedBy>Mohammed Kamran</cp:lastModifiedBy>
  <cp:revision/>
  <dcterms:created xsi:type="dcterms:W3CDTF">2026-01-29T15:56:44Z</dcterms:created>
  <dcterms:modified xsi:type="dcterms:W3CDTF">2026-03-03T11:07:20Z</dcterms:modified>
  <cp:category/>
  <cp:contentStatus/>
</cp:coreProperties>
</file>