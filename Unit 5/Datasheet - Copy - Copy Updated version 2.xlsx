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jcsfc-my.sharepoint.com/personal/d16741_jcc_ac_uk/Documents/Unit 5/"/>
    </mc:Choice>
  </mc:AlternateContent>
  <xr:revisionPtr revIDLastSave="153" documentId="8_{112C6CD9-1C1E-4DF5-A9BC-5B537DF295EB}" xr6:coauthVersionLast="47" xr6:coauthVersionMax="47" xr10:uidLastSave="{064D9EC9-A050-48CD-A8C4-481D36503410}"/>
  <bookViews>
    <workbookView xWindow="-110" yWindow="-110" windowWidth="19420" windowHeight="10300" firstSheet="1" activeTab="2" xr2:uid="{ED72D031-D89C-4801-8B1D-AA306862C0E8}"/>
  </bookViews>
  <sheets>
    <sheet name="Datasheet" sheetId="1" r:id="rId1"/>
    <sheet name="Start menu " sheetId="2" r:id="rId2"/>
    <sheet name="Week1" sheetId="3" r:id="rId3"/>
    <sheet name="Week2" sheetId="4" r:id="rId4"/>
    <sheet name="Week3" sheetId="5" r:id="rId5"/>
    <sheet name="Week4" sheetId="6" r:id="rId6"/>
    <sheet name="Week 5" sheetId="8" r:id="rId7"/>
    <sheet name="Progress Week" sheetId="10" r:id="rId8"/>
  </sheets>
  <definedNames>
    <definedName name="BMIWeek1">Week1!$F$72</definedName>
    <definedName name="BMIWeek2">Week2!$F$72</definedName>
    <definedName name="BMIweek3">Week3!$F$72</definedName>
    <definedName name="BMIweek4">Week4!$F$72</definedName>
    <definedName name="BMIweek5">'Week 5'!$F$72</definedName>
    <definedName name="BREAKFAST">Datasheet!$A$12:$A$16</definedName>
    <definedName name="BREAKFASTTABLE">Datasheet!$A$12:$B$16</definedName>
    <definedName name="DINNER">Datasheet!$A$24:$A$28</definedName>
    <definedName name="DINNERTABLE">Datasheet!$A$24:$B$28</definedName>
    <definedName name="EXERCISES">Datasheet!$E$13:$E$21</definedName>
    <definedName name="ExercisesTime">Datasheet!$I$13:$I$20</definedName>
    <definedName name="HeightMeters">'Start menu '!$E$14</definedName>
    <definedName name="LUNCH">Datasheet!$A$18:$A$22</definedName>
    <definedName name="LUNCHTABLE">Datasheet!$A$18:$B$22</definedName>
    <definedName name="METVALUE">Datasheet!$E$13:$F$21</definedName>
    <definedName name="Week1endweight">Week1!$F$68</definedName>
    <definedName name="Week2endweight">Week2!$F$68</definedName>
    <definedName name="Week3endweight">Week3!$F$68</definedName>
    <definedName name="Week4endweight">Week4!$F$68</definedName>
    <definedName name="Week5endweight">'Week 5'!$F$68</definedName>
    <definedName name="weight">'Start menu '!$G$14</definedName>
    <definedName name="Weight1KG">Week1!$F$64</definedName>
    <definedName name="Weight2Kg">Week2!$F$64</definedName>
    <definedName name="Weight3kg">Week3!$F$64</definedName>
    <definedName name="Weight4kg">Week4!$F$64</definedName>
    <definedName name="Weight5kg">'Week 5'!$F$64</definedName>
    <definedName name="weightKG0">'Start menu '!$E$15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 i="6" l="1"/>
  <c r="AC3" i="4"/>
  <c r="BB3" i="4"/>
  <c r="CZ3" i="4"/>
  <c r="EX3" i="4"/>
  <c r="D3" i="4"/>
  <c r="EX3" i="3"/>
  <c r="DY3" i="3"/>
  <c r="CZ3" i="3"/>
  <c r="CA3" i="3"/>
  <c r="CL22" i="3" s="1"/>
  <c r="CN22" i="3" s="1"/>
  <c r="BB3" i="3"/>
  <c r="AC3" i="3"/>
  <c r="D3" i="3"/>
  <c r="EA39" i="8"/>
  <c r="DB39" i="8"/>
  <c r="CC39" i="8"/>
  <c r="BD39" i="8"/>
  <c r="AE39" i="8"/>
  <c r="F39" i="8"/>
  <c r="EZ39" i="8"/>
  <c r="AE39" i="6"/>
  <c r="D35" i="3"/>
  <c r="F52" i="5"/>
  <c r="O22" i="3"/>
  <c r="Q22" i="3" s="1"/>
  <c r="AJ22" i="3"/>
  <c r="AN28" i="3"/>
  <c r="AP28" i="3" s="1"/>
  <c r="AJ28" i="3"/>
  <c r="AN25" i="3"/>
  <c r="AN22" i="3"/>
  <c r="AP25" i="3"/>
  <c r="AP22" i="3"/>
  <c r="AN19" i="3"/>
  <c r="AP19" i="3" s="1"/>
  <c r="AN16" i="3"/>
  <c r="AP16" i="3" s="1"/>
  <c r="AN13" i="3"/>
  <c r="AP13" i="3" s="1"/>
  <c r="B8" i="10"/>
  <c r="FE28" i="8"/>
  <c r="EF28" i="8"/>
  <c r="DG28" i="8"/>
  <c r="CH28" i="8"/>
  <c r="BI28" i="8"/>
  <c r="AJ28" i="8"/>
  <c r="K28" i="8"/>
  <c r="FE25" i="8"/>
  <c r="EF25" i="8"/>
  <c r="DG25" i="8"/>
  <c r="CH25" i="8"/>
  <c r="BI25" i="8"/>
  <c r="AJ25" i="8"/>
  <c r="K25" i="8"/>
  <c r="FE22" i="8"/>
  <c r="EF22" i="8"/>
  <c r="DG22" i="8"/>
  <c r="CH22" i="8"/>
  <c r="BI22" i="8"/>
  <c r="AJ22" i="8"/>
  <c r="K22" i="8"/>
  <c r="FE19" i="8"/>
  <c r="EZ19" i="8"/>
  <c r="EF19" i="8"/>
  <c r="EA19" i="8"/>
  <c r="DG19" i="8"/>
  <c r="DB19" i="8"/>
  <c r="CH19" i="8"/>
  <c r="CC19" i="8"/>
  <c r="BI19" i="8"/>
  <c r="BD19" i="8"/>
  <c r="AJ19" i="8"/>
  <c r="AE19" i="8"/>
  <c r="K19" i="8"/>
  <c r="F19" i="8"/>
  <c r="FE16" i="8"/>
  <c r="EF16" i="8"/>
  <c r="DG16" i="8"/>
  <c r="CH16" i="8"/>
  <c r="BI16" i="8"/>
  <c r="AJ16" i="8"/>
  <c r="K16" i="8"/>
  <c r="EZ15" i="8"/>
  <c r="EA15" i="8"/>
  <c r="DB15" i="8"/>
  <c r="CC15" i="8"/>
  <c r="BD15" i="8"/>
  <c r="AE15" i="8"/>
  <c r="F15" i="8"/>
  <c r="FE13" i="8"/>
  <c r="EF13" i="8"/>
  <c r="DG13" i="8"/>
  <c r="CH13" i="8"/>
  <c r="BI13" i="8"/>
  <c r="AJ13" i="8"/>
  <c r="K13" i="8"/>
  <c r="EZ11" i="8"/>
  <c r="EA11" i="8"/>
  <c r="DB11" i="8"/>
  <c r="CC11" i="8"/>
  <c r="CA35" i="8" s="1"/>
  <c r="BD11" i="8"/>
  <c r="BB35" i="8" s="1"/>
  <c r="AE11" i="8"/>
  <c r="AC35" i="8" s="1"/>
  <c r="F11" i="8"/>
  <c r="D35" i="8" s="1"/>
  <c r="FE28" i="6"/>
  <c r="EF28" i="6"/>
  <c r="DG28" i="6"/>
  <c r="CH28" i="6"/>
  <c r="BI28" i="6"/>
  <c r="AJ28" i="6"/>
  <c r="K28" i="6"/>
  <c r="FE25" i="6"/>
  <c r="EF25" i="6"/>
  <c r="DG25" i="6"/>
  <c r="CH25" i="6"/>
  <c r="BI25" i="6"/>
  <c r="AJ25" i="6"/>
  <c r="K25" i="6"/>
  <c r="FE22" i="6"/>
  <c r="EF22" i="6"/>
  <c r="DG22" i="6"/>
  <c r="CH22" i="6"/>
  <c r="BI22" i="6"/>
  <c r="AJ22" i="6"/>
  <c r="K22" i="6"/>
  <c r="FE19" i="6"/>
  <c r="EZ19" i="6"/>
  <c r="EF19" i="6"/>
  <c r="EA19" i="6"/>
  <c r="DG19" i="6"/>
  <c r="DB19" i="6"/>
  <c r="CH19" i="6"/>
  <c r="CC19" i="6"/>
  <c r="BI19" i="6"/>
  <c r="BD19" i="6"/>
  <c r="AJ19" i="6"/>
  <c r="AE19" i="6"/>
  <c r="K19" i="6"/>
  <c r="F19" i="6"/>
  <c r="FE16" i="6"/>
  <c r="EF16" i="6"/>
  <c r="DG16" i="6"/>
  <c r="CH16" i="6"/>
  <c r="BI16" i="6"/>
  <c r="AJ16" i="6"/>
  <c r="K16" i="6"/>
  <c r="EZ15" i="6"/>
  <c r="EA15" i="6"/>
  <c r="DB15" i="6"/>
  <c r="CC15" i="6"/>
  <c r="BD15" i="6"/>
  <c r="AE15" i="6"/>
  <c r="F15" i="6"/>
  <c r="FE13" i="6"/>
  <c r="EF13" i="6"/>
  <c r="DG13" i="6"/>
  <c r="CH13" i="6"/>
  <c r="BI13" i="6"/>
  <c r="AJ13" i="6"/>
  <c r="K13" i="6"/>
  <c r="EZ11" i="6"/>
  <c r="EX35" i="6" s="1"/>
  <c r="EA11" i="6"/>
  <c r="DY35" i="6" s="1"/>
  <c r="DB11" i="6"/>
  <c r="CZ35" i="6" s="1"/>
  <c r="CC11" i="6"/>
  <c r="CA35" i="6" s="1"/>
  <c r="BD11" i="6"/>
  <c r="AE11" i="6"/>
  <c r="F11" i="6"/>
  <c r="EX35" i="5"/>
  <c r="DY35" i="5"/>
  <c r="FE28" i="5"/>
  <c r="EF28" i="5"/>
  <c r="DG28" i="5"/>
  <c r="CH28" i="5"/>
  <c r="BI28" i="5"/>
  <c r="AJ28" i="5"/>
  <c r="K28" i="5"/>
  <c r="FE25" i="5"/>
  <c r="EF25" i="5"/>
  <c r="DG25" i="5"/>
  <c r="CH25" i="5"/>
  <c r="BI25" i="5"/>
  <c r="AJ25" i="5"/>
  <c r="K25" i="5"/>
  <c r="FE22" i="5"/>
  <c r="EF22" i="5"/>
  <c r="DG22" i="5"/>
  <c r="CH22" i="5"/>
  <c r="BI22" i="5"/>
  <c r="AJ22" i="5"/>
  <c r="K22" i="5"/>
  <c r="FE19" i="5"/>
  <c r="EZ19" i="5"/>
  <c r="EF19" i="5"/>
  <c r="EA19" i="5"/>
  <c r="DG19" i="5"/>
  <c r="DB19" i="5"/>
  <c r="CH19" i="5"/>
  <c r="CC19" i="5"/>
  <c r="BI19" i="5"/>
  <c r="BD19" i="5"/>
  <c r="AJ19" i="5"/>
  <c r="AE19" i="5"/>
  <c r="K19" i="5"/>
  <c r="F19" i="5"/>
  <c r="FE16" i="5"/>
  <c r="EF16" i="5"/>
  <c r="DG16" i="5"/>
  <c r="CH16" i="5"/>
  <c r="BI16" i="5"/>
  <c r="AJ16" i="5"/>
  <c r="K16" i="5"/>
  <c r="EZ15" i="5"/>
  <c r="EA15" i="5"/>
  <c r="DB15" i="5"/>
  <c r="CC15" i="5"/>
  <c r="BD15" i="5"/>
  <c r="AE15" i="5"/>
  <c r="F15" i="5"/>
  <c r="FE13" i="5"/>
  <c r="EF13" i="5"/>
  <c r="DG13" i="5"/>
  <c r="CH13" i="5"/>
  <c r="BI13" i="5"/>
  <c r="AJ13" i="5"/>
  <c r="K13" i="5"/>
  <c r="EZ11" i="5"/>
  <c r="EA11" i="5"/>
  <c r="DB11" i="5"/>
  <c r="CZ35" i="5" s="1"/>
  <c r="CC11" i="5"/>
  <c r="CA35" i="5" s="1"/>
  <c r="BD11" i="5"/>
  <c r="BB35" i="5" s="1"/>
  <c r="AE11" i="5"/>
  <c r="AC35" i="5" s="1"/>
  <c r="F11" i="5"/>
  <c r="D35" i="5" s="1"/>
  <c r="FE28" i="4"/>
  <c r="EF28" i="4"/>
  <c r="DG28" i="4"/>
  <c r="CH28" i="4"/>
  <c r="BI28" i="4"/>
  <c r="AJ28" i="4"/>
  <c r="K28" i="4"/>
  <c r="FE25" i="4"/>
  <c r="EF25" i="4"/>
  <c r="DG25" i="4"/>
  <c r="CH25" i="4"/>
  <c r="BI25" i="4"/>
  <c r="AJ25" i="4"/>
  <c r="K25" i="4"/>
  <c r="FE22" i="4"/>
  <c r="EF22" i="4"/>
  <c r="DG22" i="4"/>
  <c r="CH22" i="4"/>
  <c r="BI22" i="4"/>
  <c r="AJ22" i="4"/>
  <c r="K22" i="4"/>
  <c r="FE19" i="4"/>
  <c r="EZ19" i="4"/>
  <c r="EF19" i="4"/>
  <c r="EA19" i="4"/>
  <c r="DG19" i="4"/>
  <c r="DB19" i="4"/>
  <c r="CH19" i="4"/>
  <c r="CC19" i="4"/>
  <c r="BI19" i="4"/>
  <c r="BD19" i="4"/>
  <c r="AJ19" i="4"/>
  <c r="AE19" i="4"/>
  <c r="K19" i="4"/>
  <c r="F19" i="4"/>
  <c r="FE16" i="4"/>
  <c r="EF16" i="4"/>
  <c r="DG16" i="4"/>
  <c r="CH16" i="4"/>
  <c r="BI16" i="4"/>
  <c r="AJ16" i="4"/>
  <c r="K16" i="4"/>
  <c r="EZ15" i="4"/>
  <c r="EA15" i="4"/>
  <c r="DB15" i="4"/>
  <c r="CC15" i="4"/>
  <c r="BD15" i="4"/>
  <c r="AE15" i="4"/>
  <c r="F15" i="4"/>
  <c r="FE13" i="4"/>
  <c r="EF13" i="4"/>
  <c r="DG13" i="4"/>
  <c r="CH13" i="4"/>
  <c r="BI13" i="4"/>
  <c r="AJ13" i="4"/>
  <c r="K13" i="4"/>
  <c r="EZ11" i="4"/>
  <c r="EX35" i="4" s="1"/>
  <c r="EA11" i="4"/>
  <c r="DY35" i="4" s="1"/>
  <c r="DB11" i="4"/>
  <c r="CC11" i="4"/>
  <c r="CA35" i="4" s="1"/>
  <c r="BD11" i="4"/>
  <c r="BB35" i="4" s="1"/>
  <c r="AE11" i="4"/>
  <c r="AC35" i="4" s="1"/>
  <c r="F11" i="4"/>
  <c r="D35" i="4" s="1"/>
  <c r="FE28" i="3"/>
  <c r="FE25" i="3"/>
  <c r="FE22" i="3"/>
  <c r="FE19" i="3"/>
  <c r="FI19" i="3" s="1"/>
  <c r="FK19" i="3" s="1"/>
  <c r="EZ19" i="3"/>
  <c r="FE16" i="3"/>
  <c r="FI16" i="3" s="1"/>
  <c r="FK16" i="3" s="1"/>
  <c r="EZ15" i="3"/>
  <c r="FE13" i="3"/>
  <c r="FI13" i="3" s="1"/>
  <c r="FK13" i="3" s="1"/>
  <c r="EZ11" i="3"/>
  <c r="EX35" i="3" s="1"/>
  <c r="EF28" i="3"/>
  <c r="EJ28" i="3" s="1"/>
  <c r="EL28" i="3" s="1"/>
  <c r="EF25" i="3"/>
  <c r="EJ25" i="3" s="1"/>
  <c r="EL25" i="3" s="1"/>
  <c r="EJ22" i="3"/>
  <c r="EL22" i="3" s="1"/>
  <c r="EF22" i="3"/>
  <c r="EF19" i="3"/>
  <c r="EJ19" i="3" s="1"/>
  <c r="EL19" i="3" s="1"/>
  <c r="EA19" i="3"/>
  <c r="EF16" i="3"/>
  <c r="EJ16" i="3" s="1"/>
  <c r="EL16" i="3" s="1"/>
  <c r="EA15" i="3"/>
  <c r="DY35" i="3" s="1"/>
  <c r="EF13" i="3"/>
  <c r="EJ13" i="3" s="1"/>
  <c r="EL13" i="3" s="1"/>
  <c r="EA11" i="3"/>
  <c r="DG28" i="3"/>
  <c r="DK28" i="3" s="1"/>
  <c r="DM28" i="3" s="1"/>
  <c r="DG25" i="3"/>
  <c r="DK25" i="3" s="1"/>
  <c r="DM25" i="3" s="1"/>
  <c r="DG22" i="3"/>
  <c r="DK22" i="3" s="1"/>
  <c r="DM22" i="3" s="1"/>
  <c r="DG19" i="3"/>
  <c r="DK19" i="3" s="1"/>
  <c r="DM19" i="3" s="1"/>
  <c r="DB19" i="3"/>
  <c r="DG16" i="3"/>
  <c r="DK16" i="3" s="1"/>
  <c r="DM16" i="3" s="1"/>
  <c r="DB15" i="3"/>
  <c r="DG13" i="3"/>
  <c r="DK13" i="3" s="1"/>
  <c r="DM13" i="3" s="1"/>
  <c r="DB11" i="3"/>
  <c r="CH28" i="3"/>
  <c r="CH25" i="3"/>
  <c r="CH22" i="3"/>
  <c r="CH19" i="3"/>
  <c r="CC19" i="3"/>
  <c r="CH16" i="3"/>
  <c r="CC15" i="3"/>
  <c r="CH13" i="3"/>
  <c r="CC11" i="3"/>
  <c r="BI28" i="3"/>
  <c r="BM28" i="3" s="1"/>
  <c r="BO28" i="3" s="1"/>
  <c r="BI25" i="3"/>
  <c r="BM25" i="3" s="1"/>
  <c r="BO25" i="3" s="1"/>
  <c r="BI22" i="3"/>
  <c r="BM22" i="3" s="1"/>
  <c r="BO22" i="3" s="1"/>
  <c r="BI19" i="3"/>
  <c r="BM19" i="3" s="1"/>
  <c r="BO19" i="3" s="1"/>
  <c r="BD19" i="3"/>
  <c r="BI16" i="3"/>
  <c r="BM16" i="3" s="1"/>
  <c r="BO16" i="3" s="1"/>
  <c r="BD15" i="3"/>
  <c r="BI13" i="3"/>
  <c r="BM13" i="3" s="1"/>
  <c r="BO13" i="3" s="1"/>
  <c r="BD11" i="3"/>
  <c r="AJ25" i="3"/>
  <c r="AJ19" i="3"/>
  <c r="AE19" i="3"/>
  <c r="AJ16" i="3"/>
  <c r="AE15" i="3"/>
  <c r="AJ13" i="3"/>
  <c r="AE11" i="3"/>
  <c r="K28" i="3"/>
  <c r="K25" i="3"/>
  <c r="K22" i="3"/>
  <c r="K19" i="3"/>
  <c r="K16" i="3"/>
  <c r="K13" i="3"/>
  <c r="F19" i="3"/>
  <c r="F15" i="3"/>
  <c r="F11" i="3"/>
  <c r="E16" i="2"/>
  <c r="I10" i="2"/>
  <c r="DY35" i="8" l="1"/>
  <c r="EX35" i="8"/>
  <c r="F52" i="8" s="1"/>
  <c r="D35" i="6"/>
  <c r="CZ35" i="4"/>
  <c r="F52" i="4" s="1"/>
  <c r="FI25" i="3"/>
  <c r="FK25" i="3" s="1"/>
  <c r="FI22" i="3"/>
  <c r="FK22" i="3" s="1"/>
  <c r="FI28" i="3"/>
  <c r="FK28" i="3" s="1"/>
  <c r="CL16" i="3"/>
  <c r="CN16" i="3" s="1"/>
  <c r="CL19" i="3"/>
  <c r="CN19" i="3" s="1"/>
  <c r="CL25" i="3"/>
  <c r="CN25" i="3" s="1"/>
  <c r="CA39" i="3" s="1"/>
  <c r="CL28" i="3"/>
  <c r="CN28" i="3" s="1"/>
  <c r="CL13" i="3"/>
  <c r="CN13" i="3" s="1"/>
  <c r="AC35" i="3"/>
  <c r="O25" i="3"/>
  <c r="Q25" i="3" s="1"/>
  <c r="O28" i="3"/>
  <c r="Q28" i="3" s="1"/>
  <c r="O19" i="3"/>
  <c r="Q19" i="3" s="1"/>
  <c r="O13" i="3"/>
  <c r="Q13" i="3" s="1"/>
  <c r="O16" i="3"/>
  <c r="Q16" i="3" s="1"/>
  <c r="D39" i="3"/>
  <c r="AC35" i="6"/>
  <c r="BB35" i="6"/>
  <c r="DY39" i="3"/>
  <c r="EA35" i="3" s="1"/>
  <c r="EA39" i="3" s="1"/>
  <c r="CZ39" i="3"/>
  <c r="AC39" i="3"/>
  <c r="CZ35" i="8"/>
  <c r="CZ35" i="3"/>
  <c r="CA35" i="3"/>
  <c r="BB35" i="3"/>
  <c r="EX39" i="3"/>
  <c r="EZ35" i="3" s="1"/>
  <c r="EZ39" i="3" s="1"/>
  <c r="BB39" i="3"/>
  <c r="F52" i="6" l="1"/>
  <c r="DB35" i="3"/>
  <c r="DB39" i="3" s="1"/>
  <c r="CC35" i="3"/>
  <c r="CC39" i="3" s="1"/>
  <c r="BD35" i="3"/>
  <c r="BD39" i="3" s="1"/>
  <c r="F52" i="3"/>
  <c r="AE35" i="3"/>
  <c r="AE39" i="3" s="1"/>
  <c r="F35" i="3"/>
  <c r="F39" i="3" s="1"/>
  <c r="F56" i="3"/>
  <c r="F60" i="3" l="1"/>
  <c r="F64" i="3" s="1"/>
  <c r="F68" i="3" s="1"/>
  <c r="CA3" i="4" s="1"/>
  <c r="CL16" i="4" s="1"/>
  <c r="CN16" i="4" s="1"/>
  <c r="CL25" i="4" l="1"/>
  <c r="CN25" i="4" s="1"/>
  <c r="O16" i="4"/>
  <c r="Q16" i="4" s="1"/>
  <c r="DK28" i="4"/>
  <c r="DM28" i="4" s="1"/>
  <c r="CL19" i="4"/>
  <c r="CN19" i="4" s="1"/>
  <c r="CL28" i="4"/>
  <c r="CN28" i="4" s="1"/>
  <c r="CL22" i="4"/>
  <c r="CN22" i="4" s="1"/>
  <c r="CL13" i="4"/>
  <c r="CN13" i="4" s="1"/>
  <c r="FI19" i="4"/>
  <c r="FK19" i="4" s="1"/>
  <c r="F72" i="3"/>
  <c r="L9" i="10" s="1"/>
  <c r="AN16" i="4"/>
  <c r="AP16" i="4" s="1"/>
  <c r="BM13" i="4"/>
  <c r="BO13" i="4" s="1"/>
  <c r="DY3" i="4"/>
  <c r="EJ16" i="4" s="1"/>
  <c r="EL16" i="4" s="1"/>
  <c r="B9" i="10"/>
  <c r="T8" i="10"/>
  <c r="O22" i="4" l="1"/>
  <c r="Q22" i="4" s="1"/>
  <c r="O13" i="4"/>
  <c r="Q13" i="4" s="1"/>
  <c r="O19" i="4"/>
  <c r="Q19" i="4" s="1"/>
  <c r="O25" i="4"/>
  <c r="Q25" i="4" s="1"/>
  <c r="O28" i="4"/>
  <c r="Q28" i="4" s="1"/>
  <c r="DK22" i="4"/>
  <c r="DM22" i="4" s="1"/>
  <c r="DK25" i="4"/>
  <c r="DM25" i="4" s="1"/>
  <c r="BM28" i="4"/>
  <c r="BO28" i="4" s="1"/>
  <c r="AN22" i="4"/>
  <c r="AP22" i="4" s="1"/>
  <c r="CA39" i="4"/>
  <c r="CC35" i="4" s="1"/>
  <c r="CC39" i="4" s="1"/>
  <c r="EJ28" i="4"/>
  <c r="EL28" i="4" s="1"/>
  <c r="EJ25" i="4"/>
  <c r="EL25" i="4" s="1"/>
  <c r="AN19" i="4"/>
  <c r="AP19" i="4" s="1"/>
  <c r="BM19" i="4"/>
  <c r="BO19" i="4" s="1"/>
  <c r="AN13" i="4"/>
  <c r="AP13" i="4" s="1"/>
  <c r="AN25" i="4"/>
  <c r="AP25" i="4" s="1"/>
  <c r="EJ22" i="4"/>
  <c r="EL22" i="4" s="1"/>
  <c r="BM25" i="4"/>
  <c r="BO25" i="4" s="1"/>
  <c r="BM22" i="4"/>
  <c r="BO22" i="4" s="1"/>
  <c r="AN28" i="4"/>
  <c r="AP28" i="4" s="1"/>
  <c r="DK13" i="4"/>
  <c r="DM13" i="4" s="1"/>
  <c r="EJ13" i="4"/>
  <c r="EL13" i="4" s="1"/>
  <c r="FI22" i="4"/>
  <c r="FK22" i="4" s="1"/>
  <c r="FI16" i="4"/>
  <c r="FK16" i="4" s="1"/>
  <c r="FI13" i="4"/>
  <c r="FK13" i="4" s="1"/>
  <c r="FI28" i="4"/>
  <c r="FK28" i="4" s="1"/>
  <c r="BM16" i="4"/>
  <c r="BO16" i="4" s="1"/>
  <c r="DK19" i="4"/>
  <c r="DM19" i="4" s="1"/>
  <c r="DK16" i="4"/>
  <c r="DM16" i="4" s="1"/>
  <c r="EJ19" i="4"/>
  <c r="EL19" i="4" s="1"/>
  <c r="FI25" i="4"/>
  <c r="FK25" i="4" s="1"/>
  <c r="D39" i="4" l="1"/>
  <c r="F35" i="4" s="1"/>
  <c r="F39" i="4" s="1"/>
  <c r="BB39" i="4"/>
  <c r="BD35" i="4" s="1"/>
  <c r="BD39" i="4" s="1"/>
  <c r="CZ39" i="4"/>
  <c r="DB35" i="4" s="1"/>
  <c r="DB39" i="4" s="1"/>
  <c r="AC39" i="4"/>
  <c r="AE35" i="4" s="1"/>
  <c r="AE39" i="4" s="1"/>
  <c r="DY39" i="4"/>
  <c r="EA35" i="4" s="1"/>
  <c r="EA39" i="4" s="1"/>
  <c r="EX39" i="4"/>
  <c r="EZ35" i="4" s="1"/>
  <c r="EZ39" i="4" s="1"/>
  <c r="F56" i="4" l="1"/>
  <c r="F60" i="4" s="1"/>
  <c r="F64" i="4" s="1"/>
  <c r="F68" i="4" s="1"/>
  <c r="B10" i="10" l="1"/>
  <c r="EX3" i="5"/>
  <c r="DY3" i="5"/>
  <c r="CZ3" i="5"/>
  <c r="CA3" i="5"/>
  <c r="BB3" i="5"/>
  <c r="AC3" i="5"/>
  <c r="D3" i="5"/>
  <c r="F72" i="4"/>
  <c r="L10" i="10" s="1"/>
  <c r="O13" i="5"/>
  <c r="Q13" i="5" s="1"/>
  <c r="T9" i="10"/>
  <c r="AN25" i="5" l="1"/>
  <c r="AP25" i="5" s="1"/>
  <c r="AN16" i="5"/>
  <c r="AP16" i="5" s="1"/>
  <c r="AN13" i="5"/>
  <c r="AP13" i="5" s="1"/>
  <c r="AN19" i="5"/>
  <c r="AP19" i="5" s="1"/>
  <c r="AN22" i="5"/>
  <c r="AP22" i="5" s="1"/>
  <c r="AN28" i="5"/>
  <c r="AP28" i="5" s="1"/>
  <c r="BM28" i="5"/>
  <c r="BO28" i="5" s="1"/>
  <c r="BM25" i="5"/>
  <c r="BO25" i="5" s="1"/>
  <c r="BM13" i="5"/>
  <c r="BO13" i="5" s="1"/>
  <c r="BM22" i="5"/>
  <c r="BO22" i="5" s="1"/>
  <c r="BM19" i="5"/>
  <c r="BO19" i="5" s="1"/>
  <c r="BM16" i="5"/>
  <c r="BO16" i="5" s="1"/>
  <c r="BB39" i="5" s="1"/>
  <c r="BD35" i="5" s="1"/>
  <c r="BD39" i="5" s="1"/>
  <c r="CL16" i="5"/>
  <c r="CN16" i="5" s="1"/>
  <c r="CL22" i="5"/>
  <c r="CN22" i="5" s="1"/>
  <c r="CL28" i="5"/>
  <c r="CN28" i="5" s="1"/>
  <c r="CL13" i="5"/>
  <c r="CN13" i="5" s="1"/>
  <c r="CL25" i="5"/>
  <c r="CN25" i="5" s="1"/>
  <c r="CL19" i="5"/>
  <c r="CN19" i="5" s="1"/>
  <c r="DK16" i="5"/>
  <c r="DM16" i="5" s="1"/>
  <c r="DK28" i="5"/>
  <c r="DM28" i="5" s="1"/>
  <c r="DK25" i="5"/>
  <c r="DM25" i="5" s="1"/>
  <c r="DK13" i="5"/>
  <c r="DM13" i="5" s="1"/>
  <c r="DK22" i="5"/>
  <c r="DM22" i="5" s="1"/>
  <c r="DK19" i="5"/>
  <c r="DM19" i="5" s="1"/>
  <c r="EJ25" i="5"/>
  <c r="EL25" i="5" s="1"/>
  <c r="EJ22" i="5"/>
  <c r="EL22" i="5" s="1"/>
  <c r="EJ13" i="5"/>
  <c r="EL13" i="5" s="1"/>
  <c r="EJ16" i="5"/>
  <c r="EL16" i="5" s="1"/>
  <c r="EJ28" i="5"/>
  <c r="EL28" i="5" s="1"/>
  <c r="EJ19" i="5"/>
  <c r="EL19" i="5" s="1"/>
  <c r="FI28" i="5"/>
  <c r="FK28" i="5" s="1"/>
  <c r="FI25" i="5"/>
  <c r="FK25" i="5" s="1"/>
  <c r="FI22" i="5"/>
  <c r="FK22" i="5" s="1"/>
  <c r="FI13" i="5"/>
  <c r="FK13" i="5" s="1"/>
  <c r="FI16" i="5"/>
  <c r="FK16" i="5" s="1"/>
  <c r="FI19" i="5"/>
  <c r="FK19" i="5" s="1"/>
  <c r="O25" i="5"/>
  <c r="Q25" i="5" s="1"/>
  <c r="O28" i="5"/>
  <c r="Q28" i="5" s="1"/>
  <c r="O22" i="5"/>
  <c r="Q22" i="5" s="1"/>
  <c r="O19" i="5"/>
  <c r="Q19" i="5" s="1"/>
  <c r="O16" i="5"/>
  <c r="Q16" i="5" s="1"/>
  <c r="EX39" i="5" l="1"/>
  <c r="EZ35" i="5" s="1"/>
  <c r="EZ39" i="5" s="1"/>
  <c r="CZ39" i="5"/>
  <c r="DB35" i="5" s="1"/>
  <c r="DB39" i="5" s="1"/>
  <c r="CA39" i="5"/>
  <c r="CC35" i="5" s="1"/>
  <c r="CC39" i="5" s="1"/>
  <c r="DY39" i="5"/>
  <c r="EA35" i="5" s="1"/>
  <c r="EA39" i="5" s="1"/>
  <c r="AC39" i="5"/>
  <c r="AE35" i="5" s="1"/>
  <c r="AE39" i="5" s="1"/>
  <c r="D39" i="5"/>
  <c r="F35" i="5" s="1"/>
  <c r="F39" i="5" s="1"/>
  <c r="F56" i="5" l="1"/>
  <c r="F60" i="5" s="1"/>
  <c r="F64" i="5" s="1"/>
  <c r="F68" i="5" s="1"/>
  <c r="AN13" i="6" l="1"/>
  <c r="AP13" i="6" s="1"/>
  <c r="D3" i="6"/>
  <c r="O28" i="6" s="1"/>
  <c r="Q28" i="6" s="1"/>
  <c r="EX3" i="6"/>
  <c r="FI16" i="6" s="1"/>
  <c r="FK16" i="6" s="1"/>
  <c r="DY3" i="6"/>
  <c r="EJ25" i="6" s="1"/>
  <c r="EL25" i="6" s="1"/>
  <c r="CZ3" i="6"/>
  <c r="DK16" i="6" s="1"/>
  <c r="DM16" i="6" s="1"/>
  <c r="CA3" i="6"/>
  <c r="CL28" i="6" s="1"/>
  <c r="CN28" i="6" s="1"/>
  <c r="BB3" i="6"/>
  <c r="F72" i="5"/>
  <c r="L11" i="10" s="1"/>
  <c r="BM28" i="6"/>
  <c r="BO28" i="6" s="1"/>
  <c r="T10" i="10"/>
  <c r="AN16" i="6"/>
  <c r="AP16" i="6" s="1"/>
  <c r="B11" i="10"/>
  <c r="AN22" i="6" l="1"/>
  <c r="AP22" i="6" s="1"/>
  <c r="AN25" i="6"/>
  <c r="AP25" i="6" s="1"/>
  <c r="AN19" i="6"/>
  <c r="AP19" i="6" s="1"/>
  <c r="AN28" i="6"/>
  <c r="AP28" i="6" s="1"/>
  <c r="BM13" i="6"/>
  <c r="BO13" i="6" s="1"/>
  <c r="AC39" i="6"/>
  <c r="AE35" i="6" s="1"/>
  <c r="FI13" i="6"/>
  <c r="FK13" i="6" s="1"/>
  <c r="BM16" i="6"/>
  <c r="BO16" i="6" s="1"/>
  <c r="BM19" i="6"/>
  <c r="BO19" i="6" s="1"/>
  <c r="BM22" i="6"/>
  <c r="BO22" i="6" s="1"/>
  <c r="DK22" i="6"/>
  <c r="DM22" i="6" s="1"/>
  <c r="DK25" i="6"/>
  <c r="DM25" i="6" s="1"/>
  <c r="O13" i="6"/>
  <c r="Q13" i="6" s="1"/>
  <c r="BM25" i="6"/>
  <c r="BO25" i="6" s="1"/>
  <c r="FI19" i="6"/>
  <c r="FK19" i="6" s="1"/>
  <c r="EJ28" i="6"/>
  <c r="EL28" i="6" s="1"/>
  <c r="CL22" i="6"/>
  <c r="CN22" i="6" s="1"/>
  <c r="CL19" i="6"/>
  <c r="CN19" i="6" s="1"/>
  <c r="CL25" i="6"/>
  <c r="CN25" i="6" s="1"/>
  <c r="O25" i="6"/>
  <c r="Q25" i="6" s="1"/>
  <c r="DK13" i="6"/>
  <c r="DM13" i="6" s="1"/>
  <c r="O19" i="6"/>
  <c r="Q19" i="6" s="1"/>
  <c r="CL16" i="6"/>
  <c r="CN16" i="6" s="1"/>
  <c r="O22" i="6"/>
  <c r="Q22" i="6" s="1"/>
  <c r="FI28" i="6"/>
  <c r="FK28" i="6" s="1"/>
  <c r="DK28" i="6"/>
  <c r="DM28" i="6" s="1"/>
  <c r="EJ16" i="6"/>
  <c r="EL16" i="6" s="1"/>
  <c r="FI22" i="6"/>
  <c r="FK22" i="6" s="1"/>
  <c r="EJ19" i="6"/>
  <c r="EL19" i="6" s="1"/>
  <c r="CL13" i="6"/>
  <c r="CN13" i="6" s="1"/>
  <c r="EJ22" i="6"/>
  <c r="EL22" i="6" s="1"/>
  <c r="DK19" i="6"/>
  <c r="DM19" i="6" s="1"/>
  <c r="FI25" i="6"/>
  <c r="FK25" i="6" s="1"/>
  <c r="EJ13" i="6"/>
  <c r="EL13" i="6" s="1"/>
  <c r="O16" i="6"/>
  <c r="Q16" i="6" s="1"/>
  <c r="BB39" i="6" l="1"/>
  <c r="BD35" i="6" s="1"/>
  <c r="BD39" i="6" s="1"/>
  <c r="CA39" i="6"/>
  <c r="CC35" i="6" s="1"/>
  <c r="CC39" i="6" s="1"/>
  <c r="EX39" i="6"/>
  <c r="EZ35" i="6" s="1"/>
  <c r="EZ39" i="6" s="1"/>
  <c r="DY39" i="6"/>
  <c r="EA35" i="6" s="1"/>
  <c r="EA39" i="6" s="1"/>
  <c r="CZ39" i="6"/>
  <c r="DB35" i="6" s="1"/>
  <c r="DB39" i="6" s="1"/>
  <c r="D39" i="6"/>
  <c r="F35" i="6" s="1"/>
  <c r="F39" i="6" s="1"/>
  <c r="F56" i="6" l="1"/>
  <c r="F60" i="6" s="1"/>
  <c r="F64" i="6" s="1"/>
  <c r="T11" i="10" s="1"/>
  <c r="F68" i="6" l="1"/>
  <c r="B12" i="10" l="1"/>
  <c r="EX3" i="8"/>
  <c r="DY3" i="8"/>
  <c r="CZ3" i="8"/>
  <c r="CA3" i="8"/>
  <c r="BB3" i="8"/>
  <c r="AC3" i="8"/>
  <c r="D3" i="8"/>
  <c r="F72" i="6"/>
  <c r="L12" i="10" s="1"/>
  <c r="O16" i="8" l="1"/>
  <c r="Q16" i="8" s="1"/>
  <c r="O25" i="8"/>
  <c r="Q25" i="8" s="1"/>
  <c r="O13" i="8"/>
  <c r="Q13" i="8" s="1"/>
  <c r="O19" i="8"/>
  <c r="Q19" i="8" s="1"/>
  <c r="O22" i="8"/>
  <c r="Q22" i="8" s="1"/>
  <c r="O28" i="8"/>
  <c r="Q28" i="8" s="1"/>
  <c r="AN28" i="8"/>
  <c r="AP28" i="8" s="1"/>
  <c r="AN25" i="8"/>
  <c r="AP25" i="8" s="1"/>
  <c r="AN16" i="8"/>
  <c r="AP16" i="8" s="1"/>
  <c r="AN13" i="8"/>
  <c r="AP13" i="8" s="1"/>
  <c r="AN19" i="8"/>
  <c r="AP19" i="8" s="1"/>
  <c r="AN22" i="8"/>
  <c r="AP22" i="8" s="1"/>
  <c r="BM13" i="8"/>
  <c r="BO13" i="8" s="1"/>
  <c r="BM19" i="8"/>
  <c r="BO19" i="8" s="1"/>
  <c r="BM25" i="8"/>
  <c r="BO25" i="8" s="1"/>
  <c r="BM28" i="8"/>
  <c r="BO28" i="8" s="1"/>
  <c r="BM16" i="8"/>
  <c r="BO16" i="8" s="1"/>
  <c r="BM22" i="8"/>
  <c r="BO22" i="8" s="1"/>
  <c r="CL16" i="8"/>
  <c r="CN16" i="8" s="1"/>
  <c r="CL22" i="8"/>
  <c r="CN22" i="8" s="1"/>
  <c r="CL19" i="8"/>
  <c r="CN19" i="8" s="1"/>
  <c r="CL28" i="8"/>
  <c r="CN28" i="8" s="1"/>
  <c r="CL25" i="8"/>
  <c r="CN25" i="8" s="1"/>
  <c r="CL13" i="8"/>
  <c r="CN13" i="8" s="1"/>
  <c r="CA39" i="8" s="1"/>
  <c r="CC35" i="8" s="1"/>
  <c r="DK16" i="8"/>
  <c r="DM16" i="8" s="1"/>
  <c r="DK28" i="8"/>
  <c r="DM28" i="8" s="1"/>
  <c r="DK19" i="8"/>
  <c r="DM19" i="8" s="1"/>
  <c r="DK25" i="8"/>
  <c r="DM25" i="8" s="1"/>
  <c r="DK13" i="8"/>
  <c r="DM13" i="8" s="1"/>
  <c r="DK22" i="8"/>
  <c r="DM22" i="8" s="1"/>
  <c r="EJ28" i="8"/>
  <c r="EL28" i="8" s="1"/>
  <c r="EJ16" i="8"/>
  <c r="EL16" i="8" s="1"/>
  <c r="EJ25" i="8"/>
  <c r="EL25" i="8" s="1"/>
  <c r="EJ19" i="8"/>
  <c r="EL19" i="8" s="1"/>
  <c r="EJ22" i="8"/>
  <c r="EL22" i="8" s="1"/>
  <c r="EJ13" i="8"/>
  <c r="EL13" i="8" s="1"/>
  <c r="DY39" i="8" s="1"/>
  <c r="EA35" i="8" s="1"/>
  <c r="FI13" i="8"/>
  <c r="FK13" i="8" s="1"/>
  <c r="FI28" i="8"/>
  <c r="FK28" i="8" s="1"/>
  <c r="FI16" i="8"/>
  <c r="FK16" i="8" s="1"/>
  <c r="FI25" i="8"/>
  <c r="FK25" i="8" s="1"/>
  <c r="FI19" i="8"/>
  <c r="FK19" i="8" s="1"/>
  <c r="FI22" i="8"/>
  <c r="FK22" i="8" s="1"/>
  <c r="CZ39" i="8" l="1"/>
  <c r="DB35" i="8" s="1"/>
  <c r="AC39" i="8"/>
  <c r="AE35" i="8" s="1"/>
  <c r="D39" i="8"/>
  <c r="EX39" i="8"/>
  <c r="EZ35" i="8" s="1"/>
  <c r="BB39" i="8"/>
  <c r="BD35" i="8" s="1"/>
  <c r="F35" i="8" l="1"/>
  <c r="F56" i="8"/>
  <c r="F60" i="8" s="1"/>
  <c r="F64" i="8" s="1"/>
  <c r="F68" i="8" l="1"/>
  <c r="T12" i="10"/>
  <c r="F72" i="8" l="1"/>
  <c r="L13" i="10" s="1"/>
  <c r="B13" i="10"/>
  <c r="A6" i="10"/>
  <c r="A6" i="10"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<sst xmlns="http://schemas.openxmlformats.org/spreadsheetml/2006/main" count="1219" uniqueCount="101">
  <si>
    <r>
      <rPr>
        <b/>
        <u/>
        <sz val="36"/>
        <color theme="1"/>
        <rFont val="Aptos Narrow"/>
        <family val="2"/>
        <scheme val="minor"/>
      </rPr>
      <t xml:space="preserve"> Adams BMI Checker</t>
    </r>
    <r>
      <rPr>
        <b/>
        <sz val="36"/>
        <color theme="1"/>
        <rFont val="Aptos Narrow"/>
        <family val="2"/>
        <scheme val="minor"/>
      </rPr>
      <t xml:space="preserve"> </t>
    </r>
  </si>
  <si>
    <t>Breakfast</t>
  </si>
  <si>
    <t>Calories counted</t>
  </si>
  <si>
    <t>Exercises</t>
  </si>
  <si>
    <t>Met value</t>
  </si>
  <si>
    <t>Exercises Times</t>
  </si>
  <si>
    <t>Oatmeal with Berries &amp; Nuts</t>
  </si>
  <si>
    <t>Greek Yogurt with Honey &amp; Fruit</t>
  </si>
  <si>
    <t>Boxing</t>
  </si>
  <si>
    <t>Avocado Toast with Egg</t>
  </si>
  <si>
    <t>Jogging (5 mph)</t>
  </si>
  <si>
    <t>Protein Fruit Smoothie</t>
  </si>
  <si>
    <t>Cycling (leisurely, 10 mph)</t>
  </si>
  <si>
    <t>Egg &amp; Veggie Scramble</t>
  </si>
  <si>
    <t>Running (6 mph)</t>
  </si>
  <si>
    <t>Lunch</t>
  </si>
  <si>
    <r>
      <t xml:space="preserve">        </t>
    </r>
    <r>
      <rPr>
        <b/>
        <sz val="22"/>
        <color theme="1"/>
        <rFont val="Aptos Narrow"/>
        <family val="2"/>
        <scheme val="minor"/>
      </rPr>
      <t>Calories counted</t>
    </r>
  </si>
  <si>
    <t>Swimming (moderate)</t>
  </si>
  <si>
    <t>Grilled Chicken Breast with Greens</t>
  </si>
  <si>
    <t>Yoga (hatha)</t>
  </si>
  <si>
    <t>Quinoa &amp; Roasted Vegetables Bowl</t>
  </si>
  <si>
    <t>Jump Rope</t>
  </si>
  <si>
    <t>Whole Wheat Turkey &amp; Avocado Wrap</t>
  </si>
  <si>
    <t>Dancing (ballroom)</t>
  </si>
  <si>
    <t>Lentil Soup with Whole Grain Bread</t>
  </si>
  <si>
    <t>Strength Training (general)</t>
  </si>
  <si>
    <t>Sushi Rolls (Salmon &amp; Veggie)</t>
  </si>
  <si>
    <t>Dinner</t>
  </si>
  <si>
    <t>Grilled Salmon with Steamed Vegetables</t>
  </si>
  <si>
    <t>Stir-fried Tofu with Brown Rice</t>
  </si>
  <si>
    <t>Baked Chicken Breast with Quinoa &amp; Asparagus</t>
  </si>
  <si>
    <t>Stuffed Bell Peppers with Lean Turkey</t>
  </si>
  <si>
    <t>Vegetable &amp; Chickpea Curry with Whole Grain Rice</t>
  </si>
  <si>
    <t>Adams BMI Checker</t>
  </si>
  <si>
    <t>if you do not know your weight in KG, use the converter to find how much you weigh</t>
  </si>
  <si>
    <t xml:space="preserve">Enter weight in lbl </t>
  </si>
  <si>
    <t>your weight in kg is:</t>
  </si>
  <si>
    <t>Starting heights (meters)</t>
  </si>
  <si>
    <t>Starting weights (KG)</t>
  </si>
  <si>
    <t xml:space="preserve">Your BMI is: </t>
  </si>
  <si>
    <t>Starting Weight</t>
  </si>
  <si>
    <t xml:space="preserve">Day 1 - Select your meal for the first day </t>
  </si>
  <si>
    <t>Day 1 - Select an activity</t>
  </si>
  <si>
    <t xml:space="preserve">Day 2 - Select your meal for the first day </t>
  </si>
  <si>
    <t>Day 2 - Select an activity</t>
  </si>
  <si>
    <t xml:space="preserve">Day 3 - Select your meal for the first day </t>
  </si>
  <si>
    <t>Day 3- Select an activity</t>
  </si>
  <si>
    <t xml:space="preserve">Day 4 - Select your meal for the first day </t>
  </si>
  <si>
    <t>Day 4- Select an activity</t>
  </si>
  <si>
    <t xml:space="preserve">Day 5- Select your meal for the first day </t>
  </si>
  <si>
    <t>Day 5 - Select an activity</t>
  </si>
  <si>
    <t xml:space="preserve">Day 6 - Select your meal for the first day </t>
  </si>
  <si>
    <t>Day 6- Select an activity</t>
  </si>
  <si>
    <t xml:space="preserve">Day 7 - Select your meal for the first day </t>
  </si>
  <si>
    <t>Day 7- Select an activity</t>
  </si>
  <si>
    <t xml:space="preserve">Calorie intake/Breakfast </t>
  </si>
  <si>
    <t>Activity</t>
  </si>
  <si>
    <t>Time spent on activity</t>
  </si>
  <si>
    <t>Calories per hour</t>
  </si>
  <si>
    <t>Calories per session</t>
  </si>
  <si>
    <t xml:space="preserve">Dancing </t>
  </si>
  <si>
    <t>Day 1- Results</t>
  </si>
  <si>
    <t>Day 2- Results</t>
  </si>
  <si>
    <t>Day 3- Results</t>
  </si>
  <si>
    <t>Day 4- Results</t>
  </si>
  <si>
    <t>Day 5- Results</t>
  </si>
  <si>
    <t>Day 6- Results</t>
  </si>
  <si>
    <t>Day 7- Results</t>
  </si>
  <si>
    <t>Total calories intake</t>
  </si>
  <si>
    <t>Calories diffrence-</t>
  </si>
  <si>
    <t>Total calories burned</t>
  </si>
  <si>
    <t>Result</t>
  </si>
  <si>
    <t>Weekly progess</t>
  </si>
  <si>
    <t>Total calories diffrence</t>
  </si>
  <si>
    <t>Weight lost (KG)</t>
  </si>
  <si>
    <t>Weight week 1</t>
  </si>
  <si>
    <t>BMI Week 1</t>
  </si>
  <si>
    <t>#</t>
  </si>
  <si>
    <t>Weight week 2</t>
  </si>
  <si>
    <t>BMI Week 2</t>
  </si>
  <si>
    <t>Weight week 3</t>
  </si>
  <si>
    <t>BMI Week 3</t>
  </si>
  <si>
    <t>Weight week 4</t>
  </si>
  <si>
    <t>BMI Week 4</t>
  </si>
  <si>
    <t>Weight week 5</t>
  </si>
  <si>
    <t>BMI Week 5</t>
  </si>
  <si>
    <t>Progress chart</t>
  </si>
  <si>
    <t>Change in weight across 5 weeks</t>
  </si>
  <si>
    <t>BMI across 5 weeks</t>
  </si>
  <si>
    <t>KG lost across 5 weeks</t>
  </si>
  <si>
    <t>Week 0</t>
  </si>
  <si>
    <t>Week1</t>
  </si>
  <si>
    <t>Week 1</t>
  </si>
  <si>
    <t>Week2</t>
  </si>
  <si>
    <t>Week 2</t>
  </si>
  <si>
    <t>Week3</t>
  </si>
  <si>
    <t>Week 3</t>
  </si>
  <si>
    <t>Week4</t>
  </si>
  <si>
    <t>Week 4</t>
  </si>
  <si>
    <t>Week5</t>
  </si>
  <si>
    <t>Week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</si>
</sst>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22"/>
      <color theme="1"/>
      <name val="Aptos Narrow"/>
      <family val="2"/>
      <scheme val="minor"/>
    </font>
    <font>
      <sz val="14"/>
      <color theme="1"/>
      <name val="Arial"/>
      <family val="2"/>
    </font>
    <font>
      <b/>
      <sz val="36"/>
      <color theme="1"/>
      <name val="Aptos Narrow"/>
      <family val="2"/>
      <scheme val="minor"/>
    </font>
    <font>
      <b/>
      <sz val="11"/>
      <color theme="1"/>
      <name val="Aptos Narrow"/>
      <family val="2"/>
      <scheme val="minor"/>
    </font>
    <font>
      <b/>
      <u/>
      <sz val="28"/>
      <color theme="1"/>
      <name val="Aptos Narrow"/>
      <family val="2"/>
      <scheme val="minor"/>
    </font>
    <font>
      <b/>
      <sz val="12"/>
      <color theme="1"/>
      <name val="Aptos Narrow"/>
      <family val="2"/>
      <scheme val="minor"/>
    </font>
    <font>
      <sz val="9"/>
      <color theme="1"/>
      <name val="Aptos Narrow"/>
      <family val="2"/>
      <scheme val="minor"/>
    </font>
    <font>
      <b/>
      <sz val="10"/>
      <color theme="1"/>
      <name val="Aptos Narrow"/>
      <family val="2"/>
      <scheme val="minor"/>
    </font>
    <font>
      <b/>
      <sz val="14"/>
      <color theme="1"/>
      <name val="Aptos Narrow"/>
      <family val="2"/>
      <scheme val="minor"/>
    </font>
    <font>
      <b/>
      <sz val="16"/>
      <color theme="1"/>
      <name val="Aptos Narrow"/>
      <family val="2"/>
      <scheme val="minor"/>
    </font>
    <font>
      <b/>
      <sz val="12"/>
      <name val="Aptos Narrow"/>
      <family val="2"/>
      <scheme val="minor"/>
    </font>
    <font>
      <b/>
      <u/>
      <sz val="36"/>
      <color theme="1"/>
      <name val="Aptos Narrow"/>
      <family val="2"/>
      <scheme val="minor"/>
    </font>
    <font>
      <sz val="11"/>
      <color rgb="FFFF0000"/>
      <name val="Aptos Narrow"/>
      <family val="2"/>
      <scheme val="minor"/>
    </font>
    <font>
      <sz val="8"/>
      <name val="Aptos Narrow"/>
      <family val="2"/>
      <scheme val="minor"/>
    </font>
  </fonts>
  <fills count="5">
    <fill>
      <patternFill patternType="none"/>
    </fill>
    <fill>
      <patternFill patternType="gray125"/>
    </fill>
    <fill>
      <patternFill patternType="solid">
        <fgColor rgb="FFC00000"/>
        <bgColor indexed="64"/>
      </patternFill>
    </fill>
    <fill>
      <patternFill patternType="solid">
        <fgColor theme="1" tint="4.9989318521683403E-2"/>
        <bgColor indexed="64"/>
      </patternFill>
    </fill>
    <fill>
      <patternFill patternType="solid">
        <fgColor theme="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22">
    <xf numFmtId="0" fontId="0" fillId="0" borderId="0" xfId="0"/>
    <xf numFmtId="0" fontId="0" fillId="3" borderId="0" xfId="0" applyFill="1"/>
    <xf numFmtId="0" fontId="0" fillId="4" borderId="0" xfId="0" applyFill="1"/>
    <xf numFmtId="0" fontId="2" fillId="2" borderId="1" xfId="0" applyFont="1" applyFill="1" applyBorder="1" applyAlignment="1">
      <alignment horizontal="left" vertical="center" wrapText="1" indent="1"/>
    </xf>
    <xf numFmtId="0" fontId="2" fillId="2" borderId="1" xfId="0" applyFont="1" applyFill="1" applyBorder="1" applyAlignment="1">
      <alignment horizontal="center" vertical="center"/>
    </xf>
    <xf numFmtId="0" fontId="2" fillId="2" borderId="9" xfId="0" applyFont="1" applyFill="1" applyBorder="1" applyAlignment="1">
      <alignment horizontal="center" vertical="center" wrapText="1"/>
    </xf>
    <xf numFmtId="0" fontId="1" fillId="2" borderId="10" xfId="0" applyFont="1" applyFill="1" applyBorder="1" applyAlignment="1">
      <alignment horizontal="center"/>
    </xf>
    <xf numFmtId="0" fontId="0" fillId="2" borderId="10" xfId="0" applyFill="1" applyBorder="1" applyAlignment="1">
      <alignment vertical="center"/>
    </xf>
    <xf numFmtId="0" fontId="2" fillId="2" borderId="1" xfId="0" applyFont="1" applyFill="1" applyBorder="1" applyAlignment="1">
      <alignment horizontal="center" vertical="center" wrapText="1"/>
    </xf>
    <xf numFmtId="0" fontId="0" fillId="4" borderId="0" xfId="0" applyFill="1" applyAlignment="1">
      <alignment vertical="center"/>
    </xf>
    <xf numFmtId="0" fontId="1" fillId="4" borderId="0" xfId="0" applyFont="1" applyFill="1" applyAlignment="1">
      <alignment vertical="center"/>
    </xf>
    <xf numFmtId="0" fontId="0" fillId="2" borderId="17" xfId="0" applyFill="1" applyBorder="1"/>
    <xf numFmtId="2" fontId="0" fillId="2" borderId="17" xfId="0" applyNumberFormat="1" applyFill="1" applyBorder="1"/>
    <xf numFmtId="0" fontId="0" fillId="2" borderId="22" xfId="0" applyFill="1" applyBorder="1" applyAlignment="1">
      <alignment horizontal="center"/>
    </xf>
    <xf numFmtId="0" fontId="0" fillId="2" borderId="22" xfId="0" applyFill="1" applyBorder="1" applyAlignment="1">
      <alignment horizontal="center" vertical="center"/>
    </xf>
    <xf numFmtId="2" fontId="2" fillId="2" borderId="1" xfId="0" applyNumberFormat="1" applyFont="1" applyFill="1" applyBorder="1" applyAlignment="1">
      <alignment horizontal="center" vertical="center" wrapText="1"/>
    </xf>
    <xf numFmtId="0" fontId="13" fillId="4" borderId="0" xfId="0" applyFont="1" applyFill="1"/>
    <xf numFmtId="2" fontId="6" fillId="2" borderId="11" xfId="0" applyNumberFormat="1" applyFont="1" applyFill="1" applyBorder="1" applyAlignment="1">
      <alignment vertical="center"/>
    </xf>
    <xf numFmtId="2" fontId="6" fillId="2" borderId="13" xfId="0" applyNumberFormat="1" applyFont="1" applyFill="1" applyBorder="1" applyAlignment="1">
      <alignment vertical="center"/>
    </xf>
    <xf numFmtId="2" fontId="6" fillId="2" borderId="14" xfId="0" applyNumberFormat="1" applyFont="1" applyFill="1" applyBorder="1" applyAlignment="1">
      <alignment vertical="center"/>
    </xf>
    <xf numFmtId="2" fontId="6" fillId="2" borderId="15" xfId="0" applyNumberFormat="1" applyFont="1" applyFill="1" applyBorder="1" applyAlignment="1">
      <alignment vertical="center"/>
    </xf>
    <xf numFmtId="2" fontId="6" fillId="2" borderId="16" xfId="0" applyNumberFormat="1" applyFont="1" applyFill="1" applyBorder="1" applyAlignment="1">
      <alignment vertical="center"/>
    </xf>
    <xf numFmtId="2" fontId="6" fillId="2" borderId="18" xfId="0" applyNumberFormat="1" applyFont="1" applyFill="1" applyBorder="1" applyAlignment="1">
      <alignment vertical="center"/>
    </xf>
    <xf numFmtId="2" fontId="0" fillId="4" borderId="0" xfId="0" applyNumberFormat="1" applyFill="1"/>
    <xf numFmtId="2" fontId="0" fillId="0" borderId="0" xfId="0" applyNumberFormat="1"/>
    <xf numFmtId="2" fontId="4" fillId="4" borderId="0" xfId="0" applyNumberFormat="1" applyFont="1" applyFill="1" applyAlignment="1">
      <alignment vertical="center"/>
    </xf>
    <xf numFmtId="2" fontId="0" fillId="4" borderId="0" xfId="0" applyNumberFormat="1" applyFill="1" applyAlignment="1">
      <alignment vertical="center"/>
    </xf>
    <xf numFmtId="2" fontId="7" fillId="4" borderId="0" xfId="0" applyNumberFormat="1" applyFont="1" applyFill="1" applyAlignment="1">
      <alignment vertical="center"/>
    </xf>
    <xf numFmtId="2" fontId="6" fillId="2" borderId="12" xfId="0" applyNumberFormat="1" applyFont="1" applyFill="1" applyBorder="1" applyAlignment="1">
      <alignment vertical="center"/>
    </xf>
    <xf numFmtId="2" fontId="6" fillId="2" borderId="0" xfId="0" applyNumberFormat="1" applyFont="1" applyFill="1" applyAlignment="1">
      <alignment vertical="center"/>
    </xf>
    <xf numFmtId="2" fontId="11" fillId="2" borderId="11" xfId="0" applyNumberFormat="1" applyFont="1" applyFill="1" applyBorder="1" applyAlignment="1">
      <alignment vertical="center"/>
    </xf>
    <xf numFmtId="2" fontId="11" fillId="2" borderId="13" xfId="0" applyNumberFormat="1" applyFont="1" applyFill="1" applyBorder="1" applyAlignment="1">
      <alignment vertical="center"/>
    </xf>
    <xf numFmtId="2" fontId="11" fillId="2" borderId="14" xfId="0" applyNumberFormat="1" applyFont="1" applyFill="1" applyBorder="1" applyAlignment="1">
      <alignment vertical="center"/>
    </xf>
    <xf numFmtId="2" fontId="11" fillId="2" borderId="15" xfId="0" applyNumberFormat="1" applyFont="1" applyFill="1" applyBorder="1" applyAlignment="1">
      <alignment vertical="center"/>
    </xf>
    <xf numFmtId="2" fontId="11" fillId="2" borderId="16" xfId="0" applyNumberFormat="1" applyFont="1" applyFill="1" applyBorder="1" applyAlignment="1">
      <alignment vertical="center"/>
    </xf>
    <xf numFmtId="2" fontId="11" fillId="2" borderId="18" xfId="0" applyNumberFormat="1" applyFont="1" applyFill="1" applyBorder="1" applyAlignment="1">
      <alignment vertical="center"/>
    </xf>
    <xf numFmtId="2" fontId="9" fillId="4" borderId="0" xfId="0" applyNumberFormat="1" applyFont="1" applyFill="1" applyAlignment="1">
      <alignment vertical="center"/>
    </xf>
    <xf numFmtId="2" fontId="13" fillId="4" borderId="0" xfId="0" applyNumberFormat="1" applyFont="1" applyFill="1"/>
    <xf numFmtId="2" fontId="9" fillId="4" borderId="0" xfId="0" applyNumberFormat="1" applyFont="1" applyFill="1" applyAlignment="1">
      <alignment horizontal="center" vertical="center"/>
    </xf>
    <xf numFmtId="2" fontId="6" fillId="4" borderId="0" xfId="0" applyNumberFormat="1" applyFont="1" applyFill="1" applyAlignment="1">
      <alignment horizontal="center" vertical="center"/>
    </xf>
    <xf numFmtId="2" fontId="6" fillId="2" borderId="10" xfId="0" applyNumberFormat="1" applyFont="1" applyFill="1" applyBorder="1" applyAlignment="1">
      <alignment vertical="center"/>
    </xf>
    <xf numFmtId="2" fontId="6" fillId="2" borderId="23" xfId="0" applyNumberFormat="1" applyFont="1" applyFill="1" applyBorder="1" applyAlignment="1">
      <alignment vertical="center"/>
    </xf>
    <xf numFmtId="2" fontId="9" fillId="4" borderId="11" xfId="0" applyNumberFormat="1" applyFont="1" applyFill="1" applyBorder="1" applyAlignment="1">
      <alignment vertical="center"/>
    </xf>
    <xf numFmtId="2" fontId="9" fillId="4" borderId="12" xfId="0" applyNumberFormat="1" applyFont="1" applyFill="1" applyBorder="1" applyAlignment="1">
      <alignment vertical="center"/>
    </xf>
    <xf numFmtId="2" fontId="9" fillId="4" borderId="13" xfId="0" applyNumberFormat="1" applyFont="1" applyFill="1" applyBorder="1" applyAlignment="1">
      <alignment vertical="center"/>
    </xf>
    <xf numFmtId="2" fontId="6" fillId="4" borderId="10" xfId="0" applyNumberFormat="1" applyFont="1" applyFill="1" applyBorder="1" applyAlignment="1">
      <alignment vertical="center"/>
    </xf>
    <xf numFmtId="2" fontId="6" fillId="4" borderId="23" xfId="0" applyNumberFormat="1" applyFont="1" applyFill="1" applyBorder="1" applyAlignment="1">
      <alignment vertical="center"/>
    </xf>
    <xf numFmtId="2" fontId="6" fillId="4" borderId="11" xfId="0" applyNumberFormat="1" applyFont="1" applyFill="1" applyBorder="1" applyAlignment="1">
      <alignment vertical="center"/>
    </xf>
    <xf numFmtId="2" fontId="6" fillId="4" borderId="12" xfId="0" applyNumberFormat="1" applyFont="1" applyFill="1" applyBorder="1" applyAlignment="1">
      <alignment vertical="center"/>
    </xf>
    <xf numFmtId="2" fontId="6" fillId="4" borderId="14" xfId="0" applyNumberFormat="1" applyFont="1" applyFill="1" applyBorder="1" applyAlignment="1">
      <alignment vertical="center"/>
    </xf>
    <xf numFmtId="2" fontId="6" fillId="4" borderId="0" xfId="0" applyNumberFormat="1" applyFont="1" applyFill="1" applyAlignment="1">
      <alignment vertical="center"/>
    </xf>
    <xf numFmtId="0" fontId="3" fillId="2" borderId="14" xfId="0" applyFont="1" applyFill="1" applyBorder="1" applyAlignment="1">
      <alignment horizontal="center" vertical="center"/>
    </xf>
    <xf numFmtId="0" fontId="3" fillId="2" borderId="0" xfId="0" applyFont="1" applyFill="1" applyAlignment="1">
      <alignment horizontal="center" vertical="center"/>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3" xfId="0" applyFont="1" applyFill="1" applyBorder="1" applyAlignment="1">
      <alignment horizontal="center" vertical="center"/>
    </xf>
    <xf numFmtId="0" fontId="0" fillId="2" borderId="5" xfId="0" applyFill="1" applyBorder="1" applyAlignment="1">
      <alignment horizontal="center" vertical="center"/>
    </xf>
    <xf numFmtId="0" fontId="0" fillId="2" borderId="8" xfId="0" applyFill="1" applyBorder="1" applyAlignment="1">
      <alignment horizontal="center" vertical="center"/>
    </xf>
    <xf numFmtId="0" fontId="1" fillId="2" borderId="6"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0" xfId="0" applyFont="1" applyFill="1" applyAlignment="1">
      <alignment horizontal="center" vertical="center"/>
    </xf>
    <xf numFmtId="0" fontId="4" fillId="2" borderId="19" xfId="0" applyFont="1"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4" fillId="2" borderId="16" xfId="0" applyFont="1" applyFill="1" applyBorder="1" applyAlignment="1">
      <alignment horizontal="center"/>
    </xf>
    <xf numFmtId="0" fontId="0" fillId="2" borderId="17" xfId="0" applyFill="1" applyBorder="1" applyAlignment="1">
      <alignment horizont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0" xfId="0" applyFont="1" applyFill="1" applyAlignment="1">
      <alignment horizontal="center" vertical="center"/>
    </xf>
    <xf numFmtId="0" fontId="6" fillId="2" borderId="15" xfId="0" applyFont="1" applyFill="1" applyBorder="1" applyAlignment="1">
      <alignment horizontal="center" vertical="center"/>
    </xf>
    <xf numFmtId="0" fontId="4" fillId="2" borderId="17" xfId="0" applyFont="1" applyFill="1" applyBorder="1" applyAlignment="1">
      <alignment horizontal="center"/>
    </xf>
    <xf numFmtId="2" fontId="0" fillId="2" borderId="17" xfId="0" applyNumberFormat="1" applyFill="1" applyBorder="1" applyAlignment="1">
      <alignment horizontal="center"/>
    </xf>
    <xf numFmtId="2" fontId="0" fillId="2" borderId="18" xfId="0" applyNumberFormat="1" applyFill="1" applyBorder="1" applyAlignment="1">
      <alignment horizontal="center"/>
    </xf>
    <xf numFmtId="2" fontId="6" fillId="4" borderId="11" xfId="0" applyNumberFormat="1" applyFont="1" applyFill="1" applyBorder="1" applyAlignment="1">
      <alignment horizontal="center" vertical="center"/>
    </xf>
    <xf numFmtId="2" fontId="6" fillId="4" borderId="12" xfId="0" applyNumberFormat="1" applyFont="1" applyFill="1" applyBorder="1" applyAlignment="1">
      <alignment horizontal="center" vertical="center"/>
    </xf>
    <xf numFmtId="2" fontId="6" fillId="4" borderId="14" xfId="0" applyNumberFormat="1" applyFont="1" applyFill="1" applyBorder="1" applyAlignment="1">
      <alignment horizontal="center" vertical="center"/>
    </xf>
    <xf numFmtId="2" fontId="6" fillId="4" borderId="0" xfId="0" applyNumberFormat="1" applyFont="1" applyFill="1" applyAlignment="1">
      <alignment horizontal="center" vertical="center"/>
    </xf>
    <xf numFmtId="2" fontId="6" fillId="4" borderId="10" xfId="0" applyNumberFormat="1" applyFont="1" applyFill="1" applyBorder="1" applyAlignment="1">
      <alignment horizontal="center" vertical="center"/>
    </xf>
    <xf numFmtId="2" fontId="6" fillId="4" borderId="23" xfId="0" applyNumberFormat="1" applyFont="1" applyFill="1" applyBorder="1" applyAlignment="1">
      <alignment horizontal="center" vertical="center"/>
    </xf>
    <xf numFmtId="2" fontId="10" fillId="2" borderId="11" xfId="0" applyNumberFormat="1" applyFont="1" applyFill="1" applyBorder="1" applyAlignment="1">
      <alignment horizontal="center" vertical="center"/>
    </xf>
    <xf numFmtId="2" fontId="0" fillId="2" borderId="13" xfId="0" applyNumberFormat="1" applyFill="1" applyBorder="1" applyAlignment="1">
      <alignment horizontal="center" vertical="center"/>
    </xf>
    <xf numFmtId="2" fontId="0" fillId="2" borderId="16" xfId="0" applyNumberFormat="1" applyFill="1" applyBorder="1" applyAlignment="1">
      <alignment horizontal="center" vertical="center"/>
    </xf>
    <xf numFmtId="2" fontId="0" fillId="2" borderId="18" xfId="0" applyNumberFormat="1" applyFill="1" applyBorder="1" applyAlignment="1">
      <alignment horizontal="center" vertical="center"/>
    </xf>
    <xf numFmtId="2" fontId="0" fillId="2" borderId="9" xfId="0" applyNumberFormat="1" applyFill="1" applyBorder="1" applyAlignment="1">
      <alignment horizontal="center" vertical="center"/>
    </xf>
    <xf numFmtId="2" fontId="0" fillId="2" borderId="23" xfId="0" applyNumberFormat="1" applyFill="1" applyBorder="1" applyAlignment="1">
      <alignment horizontal="center" vertical="center"/>
    </xf>
    <xf numFmtId="2" fontId="9" fillId="2" borderId="11" xfId="0" applyNumberFormat="1" applyFont="1" applyFill="1" applyBorder="1" applyAlignment="1">
      <alignment horizontal="center" vertical="center"/>
    </xf>
    <xf numFmtId="2" fontId="9" fillId="2" borderId="12" xfId="0" applyNumberFormat="1" applyFont="1" applyFill="1" applyBorder="1" applyAlignment="1">
      <alignment horizontal="center" vertical="center"/>
    </xf>
    <xf numFmtId="2" fontId="9" fillId="2" borderId="13" xfId="0" applyNumberFormat="1" applyFont="1" applyFill="1" applyBorder="1" applyAlignment="1">
      <alignment horizontal="center" vertical="center"/>
    </xf>
    <xf numFmtId="2" fontId="9" fillId="2" borderId="16" xfId="0" applyNumberFormat="1" applyFont="1" applyFill="1" applyBorder="1" applyAlignment="1">
      <alignment horizontal="center" vertical="center"/>
    </xf>
    <xf numFmtId="2" fontId="9" fillId="2" borderId="17" xfId="0" applyNumberFormat="1" applyFont="1" applyFill="1" applyBorder="1" applyAlignment="1">
      <alignment horizontal="center" vertical="center"/>
    </xf>
    <xf numFmtId="2" fontId="9" fillId="2" borderId="18" xfId="0" applyNumberFormat="1" applyFont="1" applyFill="1" applyBorder="1" applyAlignment="1">
      <alignment horizontal="center" vertical="center"/>
    </xf>
    <xf numFmtId="2" fontId="6" fillId="2" borderId="10" xfId="0" applyNumberFormat="1" applyFont="1" applyFill="1" applyBorder="1" applyAlignment="1">
      <alignment horizontal="center" vertical="center"/>
    </xf>
    <xf numFmtId="2" fontId="6" fillId="2" borderId="23" xfId="0" applyNumberFormat="1" applyFont="1" applyFill="1" applyBorder="1" applyAlignment="1">
      <alignment horizontal="center" vertical="center"/>
    </xf>
    <xf numFmtId="2" fontId="9" fillId="4" borderId="11" xfId="0" applyNumberFormat="1" applyFont="1" applyFill="1" applyBorder="1" applyAlignment="1">
      <alignment horizontal="center" vertical="center"/>
    </xf>
    <xf numFmtId="2" fontId="9" fillId="4" borderId="12" xfId="0" applyNumberFormat="1" applyFont="1" applyFill="1" applyBorder="1" applyAlignment="1">
      <alignment horizontal="center" vertical="center"/>
    </xf>
    <xf numFmtId="2" fontId="9" fillId="4" borderId="13" xfId="0" applyNumberFormat="1" applyFont="1" applyFill="1" applyBorder="1" applyAlignment="1">
      <alignment horizontal="center" vertical="center"/>
    </xf>
    <xf numFmtId="2" fontId="9" fillId="4" borderId="16" xfId="0" applyNumberFormat="1" applyFont="1" applyFill="1" applyBorder="1" applyAlignment="1">
      <alignment horizontal="center" vertical="center"/>
    </xf>
    <xf numFmtId="2" fontId="9" fillId="4" borderId="17" xfId="0" applyNumberFormat="1" applyFont="1" applyFill="1" applyBorder="1" applyAlignment="1">
      <alignment horizontal="center" vertical="center"/>
    </xf>
    <xf numFmtId="2" fontId="9" fillId="4" borderId="18" xfId="0" applyNumberFormat="1" applyFont="1" applyFill="1" applyBorder="1" applyAlignment="1">
      <alignment horizontal="center" vertical="center"/>
    </xf>
    <xf numFmtId="2" fontId="10" fillId="2" borderId="12" xfId="0" applyNumberFormat="1" applyFont="1" applyFill="1" applyBorder="1" applyAlignment="1">
      <alignment horizontal="center" vertical="center"/>
    </xf>
    <xf numFmtId="2" fontId="10" fillId="2" borderId="13" xfId="0" applyNumberFormat="1" applyFont="1" applyFill="1" applyBorder="1" applyAlignment="1">
      <alignment horizontal="center" vertical="center"/>
    </xf>
    <xf numFmtId="2" fontId="10" fillId="2" borderId="16" xfId="0" applyNumberFormat="1" applyFont="1" applyFill="1" applyBorder="1" applyAlignment="1">
      <alignment horizontal="center" vertical="center"/>
    </xf>
    <xf numFmtId="2" fontId="10" fillId="2" borderId="17" xfId="0" applyNumberFormat="1" applyFont="1" applyFill="1" applyBorder="1" applyAlignment="1">
      <alignment horizontal="center" vertical="center"/>
    </xf>
    <xf numFmtId="2" fontId="10" fillId="2" borderId="18" xfId="0" applyNumberFormat="1" applyFont="1" applyFill="1" applyBorder="1" applyAlignment="1">
      <alignment horizontal="center" vertical="center"/>
    </xf>
    <xf numFmtId="2" fontId="6" fillId="2" borderId="11" xfId="0" applyNumberFormat="1" applyFont="1" applyFill="1" applyBorder="1" applyAlignment="1">
      <alignment horizontal="center" vertical="center"/>
    </xf>
    <xf numFmtId="2" fontId="6" fillId="2" borderId="13" xfId="0" applyNumberFormat="1" applyFont="1" applyFill="1" applyBorder="1" applyAlignment="1">
      <alignment horizontal="center" vertical="center"/>
    </xf>
    <xf numFmtId="2" fontId="6" fillId="2" borderId="14" xfId="0" applyNumberFormat="1" applyFont="1" applyFill="1" applyBorder="1" applyAlignment="1">
      <alignment horizontal="center" vertical="center"/>
    </xf>
    <xf numFmtId="2" fontId="6" fillId="2" borderId="15" xfId="0" applyNumberFormat="1" applyFont="1" applyFill="1" applyBorder="1" applyAlignment="1">
      <alignment horizontal="center" vertical="center"/>
    </xf>
    <xf numFmtId="2" fontId="6" fillId="2" borderId="16" xfId="0" applyNumberFormat="1" applyFont="1" applyFill="1" applyBorder="1" applyAlignment="1">
      <alignment horizontal="center" vertical="center"/>
    </xf>
    <xf numFmtId="2" fontId="6" fillId="2" borderId="18" xfId="0" applyNumberFormat="1" applyFont="1" applyFill="1" applyBorder="1" applyAlignment="1">
      <alignment horizontal="center" vertical="center"/>
    </xf>
    <xf numFmtId="2" fontId="8" fillId="2" borderId="9" xfId="0" applyNumberFormat="1" applyFont="1" applyFill="1" applyBorder="1" applyAlignment="1">
      <alignment horizontal="center" vertical="center"/>
    </xf>
    <xf numFmtId="2" fontId="8" fillId="2" borderId="10" xfId="0" applyNumberFormat="1" applyFont="1" applyFill="1" applyBorder="1" applyAlignment="1">
      <alignment horizontal="center" vertical="center"/>
    </xf>
    <xf numFmtId="2" fontId="8" fillId="2" borderId="23" xfId="0" applyNumberFormat="1" applyFont="1" applyFill="1" applyBorder="1" applyAlignment="1">
      <alignment horizontal="center" vertical="center"/>
    </xf>
    <xf numFmtId="2" fontId="4" fillId="2" borderId="9" xfId="0" applyNumberFormat="1" applyFont="1" applyFill="1" applyBorder="1" applyAlignment="1">
      <alignment horizontal="center" vertical="center"/>
    </xf>
    <xf numFmtId="2" fontId="4" fillId="2" borderId="10" xfId="0" applyNumberFormat="1" applyFont="1" applyFill="1" applyBorder="1" applyAlignment="1">
      <alignment horizontal="center" vertical="center"/>
    </xf>
    <xf numFmtId="2" fontId="4" fillId="2" borderId="23" xfId="0" applyNumberFormat="1" applyFont="1" applyFill="1" applyBorder="1" applyAlignment="1">
      <alignment horizontal="center" vertical="center"/>
    </xf>
    <xf numFmtId="2" fontId="9" fillId="4" borderId="0" xfId="0" applyNumberFormat="1" applyFont="1" applyFill="1" applyAlignment="1">
      <alignment horizontal="center" vertical="center"/>
    </xf>
    <xf numFmtId="2" fontId="6" fillId="2" borderId="12" xfId="0" applyNumberFormat="1" applyFont="1" applyFill="1" applyBorder="1" applyAlignment="1">
      <alignment horizontal="center" vertical="center"/>
    </xf>
    <xf numFmtId="2" fontId="6" fillId="2" borderId="0" xfId="0" applyNumberFormat="1" applyFont="1" applyFill="1" applyAlignment="1">
      <alignment horizontal="center" vertical="center"/>
    </xf>
  </cellXfs>
  <cellStyles count="1">
    <cellStyle name="Normal" xfId="0" builtinId="0"/>
  </cellStyles>
  <dxfs count="70">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Calories intale</a:t>
            </a:r>
            <a:r>
              <a:rPr lang="en-GB" baseline="0"/>
              <a:t> and burned</a:t>
            </a:r>
            <a:endParaRPr lang="en-GB"/>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111111111111109E-2"/>
          <c:y val="0.17171296296296298"/>
          <c:w val="0.93888888888888888"/>
          <c:h val="0.6714577865266842"/>
        </c:manualLayout>
      </c:layout>
      <c:pie3DChart>
        <c:varyColors val="1"/>
        <c:ser>
          <c:idx val="0"/>
          <c:order val="0"/>
          <c:spPr>
            <a:solidFill>
              <a:srgbClr val="C00000"/>
            </a:solidFill>
          </c:spPr>
          <c:dPt>
            <c:idx val="0"/>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3-016E-4FB0-8F42-82C2964A496A}"/>
              </c:ext>
            </c:extLst>
          </c:dPt>
          <c:dPt>
            <c:idx val="1"/>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4824-48E6-A3C5-4D5CAE0A2830}"/>
              </c:ext>
            </c:extLst>
          </c:dPt>
          <c:dPt>
            <c:idx val="2"/>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4824-48E6-A3C5-4D5CAE0A2830}"/>
              </c:ext>
            </c:extLst>
          </c:dPt>
          <c:dPt>
            <c:idx val="3"/>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7-4824-48E6-A3C5-4D5CAE0A2830}"/>
              </c:ext>
            </c:extLst>
          </c:dPt>
          <c:dPt>
            <c:idx val="4"/>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9-4824-48E6-A3C5-4D5CAE0A2830}"/>
              </c:ext>
            </c:extLst>
          </c:dPt>
          <c:dPt>
            <c:idx val="5"/>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B-4824-48E6-A3C5-4D5CAE0A2830}"/>
              </c:ext>
            </c:extLst>
          </c:dPt>
          <c:dPt>
            <c:idx val="6"/>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4824-48E6-A3C5-4D5CAE0A2830}"/>
              </c:ext>
            </c:extLst>
          </c:dPt>
          <c:dPt>
            <c:idx val="7"/>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F-4824-48E6-A3C5-4D5CAE0A2830}"/>
              </c:ext>
            </c:extLst>
          </c:dPt>
          <c:cat>
            <c:strRef>
              <c:f>Week1!$F$52:$H$59</c:f>
              <c:strCache>
                <c:ptCount val="5"/>
                <c:pt idx="0">
                  <c:v>8165.00</c:v>
                </c:pt>
                <c:pt idx="4">
                  <c:v>59875.00</c:v>
                </c:pt>
              </c:strCache>
            </c:strRef>
          </c:cat>
          <c:val>
            <c:numRef>
              <c:f>Week1!$F$52:$F$59</c:f>
              <c:numCache>
                <c:formatCode>0.00</c:formatCode>
                <c:ptCount val="8"/>
                <c:pt idx="0">
                  <c:v>8165</c:v>
                </c:pt>
                <c:pt idx="4">
                  <c:v>59875</c:v>
                </c:pt>
              </c:numCache>
            </c:numRef>
          </c:val>
          <c:extLst>
            <c:ext xmlns:c16="http://schemas.microsoft.com/office/drawing/2014/chart" uri="{C3380CC4-5D6E-409C-BE32-E72D297353CC}">
              <c16:uniqueId val="{00000000-016E-4FB0-8F42-82C2964A496A}"/>
            </c:ext>
          </c:extLst>
        </c:ser>
        <c:ser>
          <c:idx val="1"/>
          <c:order val="1"/>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4824-48E6-A3C5-4D5CAE0A283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4824-48E6-A3C5-4D5CAE0A283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4824-48E6-A3C5-4D5CAE0A283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4824-48E6-A3C5-4D5CAE0A283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9-4824-48E6-A3C5-4D5CAE0A283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B-4824-48E6-A3C5-4D5CAE0A283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4824-48E6-A3C5-4D5CAE0A283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4824-48E6-A3C5-4D5CAE0A2830}"/>
              </c:ext>
            </c:extLst>
          </c:dPt>
          <c:cat>
            <c:strRef>
              <c:f>Week1!$F$52:$H$59</c:f>
              <c:strCache>
                <c:ptCount val="5"/>
                <c:pt idx="0">
                  <c:v>8165.00</c:v>
                </c:pt>
                <c:pt idx="4">
                  <c:v>59875.00</c:v>
                </c:pt>
              </c:strCache>
            </c:strRef>
          </c:cat>
          <c:val>
            <c:numRef>
              <c:f>Week1!$G$52:$G$59</c:f>
              <c:numCache>
                <c:formatCode>0.00</c:formatCode>
                <c:ptCount val="8"/>
              </c:numCache>
            </c:numRef>
          </c:val>
          <c:extLst>
            <c:ext xmlns:c16="http://schemas.microsoft.com/office/drawing/2014/chart" uri="{C3380CC4-5D6E-409C-BE32-E72D297353CC}">
              <c16:uniqueId val="{00000001-016E-4FB0-8F42-82C2964A496A}"/>
            </c:ext>
          </c:extLst>
        </c:ser>
        <c:ser>
          <c:idx val="2"/>
          <c:order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1-4824-48E6-A3C5-4D5CAE0A283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3-4824-48E6-A3C5-4D5CAE0A283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5-4824-48E6-A3C5-4D5CAE0A283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7-4824-48E6-A3C5-4D5CAE0A283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9-4824-48E6-A3C5-4D5CAE0A283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B-4824-48E6-A3C5-4D5CAE0A283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4824-48E6-A3C5-4D5CAE0A283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4824-48E6-A3C5-4D5CAE0A2830}"/>
              </c:ext>
            </c:extLst>
          </c:dPt>
          <c:cat>
            <c:strRef>
              <c:f>Week1!$F$52:$H$59</c:f>
              <c:strCache>
                <c:ptCount val="5"/>
                <c:pt idx="0">
                  <c:v>8165.00</c:v>
                </c:pt>
                <c:pt idx="4">
                  <c:v>59875.00</c:v>
                </c:pt>
              </c:strCache>
            </c:strRef>
          </c:cat>
          <c:val>
            <c:numRef>
              <c:f>Week1!$H$52:$H$59</c:f>
              <c:numCache>
                <c:formatCode>0.00</c:formatCode>
                <c:ptCount val="8"/>
              </c:numCache>
            </c:numRef>
          </c:val>
          <c:extLst>
            <c:ext xmlns:c16="http://schemas.microsoft.com/office/drawing/2014/chart" uri="{C3380CC4-5D6E-409C-BE32-E72D297353CC}">
              <c16:uniqueId val="{00000002-016E-4FB0-8F42-82C2964A496A}"/>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Calories intale and burned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solidFill>
              <a:schemeClr val="tx1"/>
            </a:solidFill>
          </c:spPr>
          <c:dPt>
            <c:idx val="0"/>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8D-4C14-B064-8A7F76CD18ED}"/>
              </c:ext>
            </c:extLst>
          </c:dPt>
          <c:dPt>
            <c:idx val="1"/>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8D-4C14-B064-8A7F76CD18ED}"/>
              </c:ext>
            </c:extLst>
          </c:dPt>
          <c:dPt>
            <c:idx val="2"/>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5-598D-4C14-B064-8A7F76CD18ED}"/>
              </c:ext>
            </c:extLst>
          </c:dPt>
          <c:dPt>
            <c:idx val="3"/>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8D-4C14-B064-8A7F76CD18ED}"/>
              </c:ext>
            </c:extLst>
          </c:dPt>
          <c:dPt>
            <c:idx val="4"/>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5EFF-4FF7-972A-EFA54C7CAABF}"/>
              </c:ext>
            </c:extLst>
          </c:dPt>
          <c:dPt>
            <c:idx val="5"/>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B-598D-4C14-B064-8A7F76CD18ED}"/>
              </c:ext>
            </c:extLst>
          </c:dPt>
          <c:dPt>
            <c:idx val="6"/>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D-598D-4C14-B064-8A7F76CD18ED}"/>
              </c:ext>
            </c:extLst>
          </c:dPt>
          <c:dPt>
            <c:idx val="7"/>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F-598D-4C14-B064-8A7F76CD18ED}"/>
              </c:ext>
            </c:extLst>
          </c:dPt>
          <c:cat>
            <c:strRef>
              <c:f>Week2!$F$52:$H$59</c:f>
              <c:strCache>
                <c:ptCount val="5"/>
                <c:pt idx="0">
                  <c:v>8055.00</c:v>
                </c:pt>
                <c:pt idx="4">
                  <c:v>62972.06</c:v>
                </c:pt>
              </c:strCache>
            </c:strRef>
          </c:cat>
          <c:val>
            <c:numRef>
              <c:f>Week2!$F$52:$F$59</c:f>
              <c:numCache>
                <c:formatCode>0.00</c:formatCode>
                <c:ptCount val="8"/>
                <c:pt idx="0">
                  <c:v>8055</c:v>
                </c:pt>
                <c:pt idx="4">
                  <c:v>62972.06259740259</c:v>
                </c:pt>
              </c:numCache>
            </c:numRef>
          </c:val>
          <c:extLst>
            <c:ext xmlns:c16="http://schemas.microsoft.com/office/drawing/2014/chart" uri="{C3380CC4-5D6E-409C-BE32-E72D297353CC}">
              <c16:uniqueId val="{00000000-5EFF-4FF7-972A-EFA54C7CAABF}"/>
            </c:ext>
          </c:extLst>
        </c:ser>
        <c:ser>
          <c:idx val="1"/>
          <c:order val="1"/>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598D-4C14-B064-8A7F76CD18E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598D-4C14-B064-8A7F76CD18E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598D-4C14-B064-8A7F76CD18E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598D-4C14-B064-8A7F76CD18E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9-598D-4C14-B064-8A7F76CD18E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B-598D-4C14-B064-8A7F76CD18E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598D-4C14-B064-8A7F76CD18ED}"/>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598D-4C14-B064-8A7F76CD18ED}"/>
              </c:ext>
            </c:extLst>
          </c:dPt>
          <c:cat>
            <c:strRef>
              <c:f>Week2!$F$52:$H$59</c:f>
              <c:strCache>
                <c:ptCount val="5"/>
                <c:pt idx="0">
                  <c:v>8055.00</c:v>
                </c:pt>
                <c:pt idx="4">
                  <c:v>62972.06</c:v>
                </c:pt>
              </c:strCache>
            </c:strRef>
          </c:cat>
          <c:val>
            <c:numRef>
              <c:f>Week2!$G$52:$G$59</c:f>
              <c:numCache>
                <c:formatCode>0.00</c:formatCode>
                <c:ptCount val="8"/>
              </c:numCache>
            </c:numRef>
          </c:val>
          <c:extLst>
            <c:ext xmlns:c16="http://schemas.microsoft.com/office/drawing/2014/chart" uri="{C3380CC4-5D6E-409C-BE32-E72D297353CC}">
              <c16:uniqueId val="{00000001-5EFF-4FF7-972A-EFA54C7CAABF}"/>
            </c:ext>
          </c:extLst>
        </c:ser>
        <c:ser>
          <c:idx val="2"/>
          <c:order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1-598D-4C14-B064-8A7F76CD18E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3-598D-4C14-B064-8A7F76CD18E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5-598D-4C14-B064-8A7F76CD18E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7-598D-4C14-B064-8A7F76CD18E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9-598D-4C14-B064-8A7F76CD18E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B-598D-4C14-B064-8A7F76CD18E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598D-4C14-B064-8A7F76CD18ED}"/>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598D-4C14-B064-8A7F76CD18ED}"/>
              </c:ext>
            </c:extLst>
          </c:dPt>
          <c:cat>
            <c:strRef>
              <c:f>Week2!$F$52:$H$59</c:f>
              <c:strCache>
                <c:ptCount val="5"/>
                <c:pt idx="0">
                  <c:v>8055.00</c:v>
                </c:pt>
                <c:pt idx="4">
                  <c:v>62972.06</c:v>
                </c:pt>
              </c:strCache>
            </c:strRef>
          </c:cat>
          <c:val>
            <c:numRef>
              <c:f>Week2!$H$52:$H$59</c:f>
              <c:numCache>
                <c:formatCode>0.00</c:formatCode>
                <c:ptCount val="8"/>
              </c:numCache>
            </c:numRef>
          </c:val>
          <c:extLst>
            <c:ext xmlns:c16="http://schemas.microsoft.com/office/drawing/2014/chart" uri="{C3380CC4-5D6E-409C-BE32-E72D297353CC}">
              <c16:uniqueId val="{00000002-5EFF-4FF7-972A-EFA54C7CAABF}"/>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Calories intale and burned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solidFill>
              <a:schemeClr val="tx1"/>
            </a:solidFill>
          </c:spPr>
          <c:dPt>
            <c:idx val="0"/>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CB7-4F28-B3BD-0B2065BA3595}"/>
              </c:ext>
            </c:extLst>
          </c:dPt>
          <c:dPt>
            <c:idx val="1"/>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3-1CB7-4F28-B3BD-0B2065BA3595}"/>
              </c:ext>
            </c:extLst>
          </c:dPt>
          <c:dPt>
            <c:idx val="2"/>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5-1CB7-4F28-B3BD-0B2065BA3595}"/>
              </c:ext>
            </c:extLst>
          </c:dPt>
          <c:dPt>
            <c:idx val="3"/>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7-1CB7-4F28-B3BD-0B2065BA3595}"/>
              </c:ext>
            </c:extLst>
          </c:dPt>
          <c:dPt>
            <c:idx val="4"/>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5BE5-42F3-8564-009387ED14E8}"/>
              </c:ext>
            </c:extLst>
          </c:dPt>
          <c:dPt>
            <c:idx val="5"/>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B-1CB7-4F28-B3BD-0B2065BA3595}"/>
              </c:ext>
            </c:extLst>
          </c:dPt>
          <c:dPt>
            <c:idx val="6"/>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D-1CB7-4F28-B3BD-0B2065BA3595}"/>
              </c:ext>
            </c:extLst>
          </c:dPt>
          <c:dPt>
            <c:idx val="7"/>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F-1CB7-4F28-B3BD-0B2065BA3595}"/>
              </c:ext>
            </c:extLst>
          </c:dPt>
          <c:cat>
            <c:strRef>
              <c:f>Week3!$F$52:$H$59</c:f>
              <c:strCache>
                <c:ptCount val="5"/>
                <c:pt idx="0">
                  <c:v>8055.00</c:v>
                </c:pt>
                <c:pt idx="4">
                  <c:v>37663.27</c:v>
                </c:pt>
              </c:strCache>
            </c:strRef>
          </c:cat>
          <c:val>
            <c:numRef>
              <c:f>Week3!$F$52:$F$59</c:f>
              <c:numCache>
                <c:formatCode>0.00</c:formatCode>
                <c:ptCount val="8"/>
                <c:pt idx="0">
                  <c:v>8055</c:v>
                </c:pt>
                <c:pt idx="4">
                  <c:v>37663.270072724743</c:v>
                </c:pt>
              </c:numCache>
            </c:numRef>
          </c:val>
          <c:extLst>
            <c:ext xmlns:c16="http://schemas.microsoft.com/office/drawing/2014/chart" uri="{C3380CC4-5D6E-409C-BE32-E72D297353CC}">
              <c16:uniqueId val="{00000000-5BE5-42F3-8564-009387ED14E8}"/>
            </c:ext>
          </c:extLst>
        </c:ser>
        <c:ser>
          <c:idx val="1"/>
          <c:order val="1"/>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1CB7-4F28-B3BD-0B2065BA359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1CB7-4F28-B3BD-0B2065BA359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1CB7-4F28-B3BD-0B2065BA359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1CB7-4F28-B3BD-0B2065BA359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9-1CB7-4F28-B3BD-0B2065BA359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B-1CB7-4F28-B3BD-0B2065BA359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1CB7-4F28-B3BD-0B2065BA359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1CB7-4F28-B3BD-0B2065BA3595}"/>
              </c:ext>
            </c:extLst>
          </c:dPt>
          <c:cat>
            <c:strRef>
              <c:f>Week3!$F$52:$H$59</c:f>
              <c:strCache>
                <c:ptCount val="5"/>
                <c:pt idx="0">
                  <c:v>8055.00</c:v>
                </c:pt>
                <c:pt idx="4">
                  <c:v>37663.27</c:v>
                </c:pt>
              </c:strCache>
            </c:strRef>
          </c:cat>
          <c:val>
            <c:numRef>
              <c:f>Week3!$G$52:$G$59</c:f>
              <c:numCache>
                <c:formatCode>0.00</c:formatCode>
                <c:ptCount val="8"/>
              </c:numCache>
            </c:numRef>
          </c:val>
          <c:extLst>
            <c:ext xmlns:c16="http://schemas.microsoft.com/office/drawing/2014/chart" uri="{C3380CC4-5D6E-409C-BE32-E72D297353CC}">
              <c16:uniqueId val="{00000001-5BE5-42F3-8564-009387ED14E8}"/>
            </c:ext>
          </c:extLst>
        </c:ser>
        <c:ser>
          <c:idx val="2"/>
          <c:order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1-1CB7-4F28-B3BD-0B2065BA359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3-1CB7-4F28-B3BD-0B2065BA359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5-1CB7-4F28-B3BD-0B2065BA359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7-1CB7-4F28-B3BD-0B2065BA359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9-1CB7-4F28-B3BD-0B2065BA359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B-1CB7-4F28-B3BD-0B2065BA359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1CB7-4F28-B3BD-0B2065BA359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1CB7-4F28-B3BD-0B2065BA3595}"/>
              </c:ext>
            </c:extLst>
          </c:dPt>
          <c:cat>
            <c:strRef>
              <c:f>Week3!$F$52:$H$59</c:f>
              <c:strCache>
                <c:ptCount val="5"/>
                <c:pt idx="0">
                  <c:v>8055.00</c:v>
                </c:pt>
                <c:pt idx="4">
                  <c:v>37663.27</c:v>
                </c:pt>
              </c:strCache>
            </c:strRef>
          </c:cat>
          <c:val>
            <c:numRef>
              <c:f>Week3!$H$52:$H$59</c:f>
              <c:numCache>
                <c:formatCode>0.00</c:formatCode>
                <c:ptCount val="8"/>
              </c:numCache>
            </c:numRef>
          </c:val>
          <c:extLst>
            <c:ext xmlns:c16="http://schemas.microsoft.com/office/drawing/2014/chart" uri="{C3380CC4-5D6E-409C-BE32-E72D297353CC}">
              <c16:uniqueId val="{00000002-5BE5-42F3-8564-009387ED14E8}"/>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Calories intale and burned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3-532D-4341-AE8F-467522FCF5E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791-4491-8836-F76ED1E873F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791-4491-8836-F76ED1E873F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791-4491-8836-F76ED1E873F1}"/>
              </c:ext>
            </c:extLst>
          </c:dPt>
          <c:dPt>
            <c:idx val="4"/>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4-532D-4341-AE8F-467522FCF5E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791-4491-8836-F76ED1E873F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791-4491-8836-F76ED1E873F1}"/>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791-4491-8836-F76ED1E873F1}"/>
              </c:ext>
            </c:extLst>
          </c:dPt>
          <c:cat>
            <c:strRef>
              <c:f>Week4!$F$52:$H$59</c:f>
              <c:strCache>
                <c:ptCount val="5"/>
                <c:pt idx="0">
                  <c:v>8055.00</c:v>
                </c:pt>
                <c:pt idx="4">
                  <c:v>47778.13</c:v>
                </c:pt>
              </c:strCache>
            </c:strRef>
          </c:cat>
          <c:val>
            <c:numRef>
              <c:f>Week4!$F$52:$F$59</c:f>
              <c:numCache>
                <c:formatCode>0.00</c:formatCode>
                <c:ptCount val="8"/>
                <c:pt idx="0">
                  <c:v>8055</c:v>
                </c:pt>
                <c:pt idx="4">
                  <c:v>47778.13314162031</c:v>
                </c:pt>
              </c:numCache>
            </c:numRef>
          </c:val>
          <c:extLst>
            <c:ext xmlns:c16="http://schemas.microsoft.com/office/drawing/2014/chart" uri="{C3380CC4-5D6E-409C-BE32-E72D297353CC}">
              <c16:uniqueId val="{00000000-532D-4341-AE8F-467522FCF5E8}"/>
            </c:ext>
          </c:extLst>
        </c:ser>
        <c:ser>
          <c:idx val="1"/>
          <c:order val="1"/>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4791-4491-8836-F76ED1E873F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4791-4491-8836-F76ED1E873F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4791-4491-8836-F76ED1E873F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4791-4491-8836-F76ED1E873F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9-4791-4491-8836-F76ED1E873F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B-4791-4491-8836-F76ED1E873F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4791-4491-8836-F76ED1E873F1}"/>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4791-4491-8836-F76ED1E873F1}"/>
              </c:ext>
            </c:extLst>
          </c:dPt>
          <c:cat>
            <c:strRef>
              <c:f>Week4!$F$52:$H$59</c:f>
              <c:strCache>
                <c:ptCount val="5"/>
                <c:pt idx="0">
                  <c:v>8055.00</c:v>
                </c:pt>
                <c:pt idx="4">
                  <c:v>47778.13</c:v>
                </c:pt>
              </c:strCache>
            </c:strRef>
          </c:cat>
          <c:val>
            <c:numRef>
              <c:f>Week4!$G$52:$G$59</c:f>
              <c:numCache>
                <c:formatCode>0.00</c:formatCode>
                <c:ptCount val="8"/>
              </c:numCache>
            </c:numRef>
          </c:val>
          <c:extLst>
            <c:ext xmlns:c16="http://schemas.microsoft.com/office/drawing/2014/chart" uri="{C3380CC4-5D6E-409C-BE32-E72D297353CC}">
              <c16:uniqueId val="{00000001-532D-4341-AE8F-467522FCF5E8}"/>
            </c:ext>
          </c:extLst>
        </c:ser>
        <c:ser>
          <c:idx val="2"/>
          <c:order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1-4791-4491-8836-F76ED1E873F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3-4791-4491-8836-F76ED1E873F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5-4791-4491-8836-F76ED1E873F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7-4791-4491-8836-F76ED1E873F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9-4791-4491-8836-F76ED1E873F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B-4791-4491-8836-F76ED1E873F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4791-4491-8836-F76ED1E873F1}"/>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4791-4491-8836-F76ED1E873F1}"/>
              </c:ext>
            </c:extLst>
          </c:dPt>
          <c:cat>
            <c:strRef>
              <c:f>Week4!$F$52:$H$59</c:f>
              <c:strCache>
                <c:ptCount val="5"/>
                <c:pt idx="0">
                  <c:v>8055.00</c:v>
                </c:pt>
                <c:pt idx="4">
                  <c:v>47778.13</c:v>
                </c:pt>
              </c:strCache>
            </c:strRef>
          </c:cat>
          <c:val>
            <c:numRef>
              <c:f>Week4!$H$52:$H$59</c:f>
              <c:numCache>
                <c:formatCode>0.00</c:formatCode>
                <c:ptCount val="8"/>
              </c:numCache>
            </c:numRef>
          </c:val>
          <c:extLst>
            <c:ext xmlns:c16="http://schemas.microsoft.com/office/drawing/2014/chart" uri="{C3380CC4-5D6E-409C-BE32-E72D297353CC}">
              <c16:uniqueId val="{00000002-532D-4341-AE8F-467522FCF5E8}"/>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Calories intale and burned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solidFill>
              <a:schemeClr val="tx1"/>
            </a:solidFill>
          </c:spPr>
          <c:dPt>
            <c:idx val="0"/>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58F-4AD5-BA52-AF520E515908}"/>
              </c:ext>
            </c:extLst>
          </c:dPt>
          <c:dPt>
            <c:idx val="1"/>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3-258F-4AD5-BA52-AF520E515908}"/>
              </c:ext>
            </c:extLst>
          </c:dPt>
          <c:dPt>
            <c:idx val="2"/>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5-258F-4AD5-BA52-AF520E515908}"/>
              </c:ext>
            </c:extLst>
          </c:dPt>
          <c:dPt>
            <c:idx val="3"/>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7-258F-4AD5-BA52-AF520E515908}"/>
              </c:ext>
            </c:extLst>
          </c:dPt>
          <c:dPt>
            <c:idx val="4"/>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7C09-4B52-A9CA-57CB5EFFD7C3}"/>
              </c:ext>
            </c:extLst>
          </c:dPt>
          <c:dPt>
            <c:idx val="5"/>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B-258F-4AD5-BA52-AF520E515908}"/>
              </c:ext>
            </c:extLst>
          </c:dPt>
          <c:dPt>
            <c:idx val="6"/>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D-258F-4AD5-BA52-AF520E515908}"/>
              </c:ext>
            </c:extLst>
          </c:dPt>
          <c:dPt>
            <c:idx val="7"/>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F-258F-4AD5-BA52-AF520E515908}"/>
              </c:ext>
            </c:extLst>
          </c:dPt>
          <c:cat>
            <c:strRef>
              <c:f>'Week 5'!$F$52:$H$59</c:f>
              <c:strCache>
                <c:ptCount val="5"/>
                <c:pt idx="0">
                  <c:v>8055.00</c:v>
                </c:pt>
                <c:pt idx="4">
                  <c:v>50637.83</c:v>
                </c:pt>
              </c:strCache>
            </c:strRef>
          </c:cat>
          <c:val>
            <c:numRef>
              <c:f>'Week 5'!$F$52:$F$59</c:f>
              <c:numCache>
                <c:formatCode>0.00</c:formatCode>
                <c:ptCount val="8"/>
                <c:pt idx="0">
                  <c:v>8055</c:v>
                </c:pt>
                <c:pt idx="4">
                  <c:v>50637.827603598955</c:v>
                </c:pt>
              </c:numCache>
            </c:numRef>
          </c:val>
          <c:extLst>
            <c:ext xmlns:c16="http://schemas.microsoft.com/office/drawing/2014/chart" uri="{C3380CC4-5D6E-409C-BE32-E72D297353CC}">
              <c16:uniqueId val="{00000000-7C09-4B52-A9CA-57CB5EFFD7C3}"/>
            </c:ext>
          </c:extLst>
        </c:ser>
        <c:ser>
          <c:idx val="1"/>
          <c:order val="1"/>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258F-4AD5-BA52-AF520E51590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258F-4AD5-BA52-AF520E51590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258F-4AD5-BA52-AF520E51590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258F-4AD5-BA52-AF520E51590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9-258F-4AD5-BA52-AF520E51590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B-258F-4AD5-BA52-AF520E51590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258F-4AD5-BA52-AF520E51590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258F-4AD5-BA52-AF520E515908}"/>
              </c:ext>
            </c:extLst>
          </c:dPt>
          <c:cat>
            <c:strRef>
              <c:f>'Week 5'!$F$52:$H$59</c:f>
              <c:strCache>
                <c:ptCount val="5"/>
                <c:pt idx="0">
                  <c:v>8055.00</c:v>
                </c:pt>
                <c:pt idx="4">
                  <c:v>50637.83</c:v>
                </c:pt>
              </c:strCache>
            </c:strRef>
          </c:cat>
          <c:val>
            <c:numRef>
              <c:f>'Week 5'!$G$52:$G$59</c:f>
              <c:numCache>
                <c:formatCode>0.00</c:formatCode>
                <c:ptCount val="8"/>
              </c:numCache>
            </c:numRef>
          </c:val>
          <c:extLst>
            <c:ext xmlns:c16="http://schemas.microsoft.com/office/drawing/2014/chart" uri="{C3380CC4-5D6E-409C-BE32-E72D297353CC}">
              <c16:uniqueId val="{00000001-7C09-4B52-A9CA-57CB5EFFD7C3}"/>
            </c:ext>
          </c:extLst>
        </c:ser>
        <c:ser>
          <c:idx val="2"/>
          <c:order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1-258F-4AD5-BA52-AF520E51590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3-258F-4AD5-BA52-AF520E51590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5-258F-4AD5-BA52-AF520E51590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7-258F-4AD5-BA52-AF520E51590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9-258F-4AD5-BA52-AF520E51590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B-258F-4AD5-BA52-AF520E51590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258F-4AD5-BA52-AF520E51590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258F-4AD5-BA52-AF520E515908}"/>
              </c:ext>
            </c:extLst>
          </c:dPt>
          <c:cat>
            <c:strRef>
              <c:f>'Week 5'!$F$52:$H$59</c:f>
              <c:strCache>
                <c:ptCount val="5"/>
                <c:pt idx="0">
                  <c:v>8055.00</c:v>
                </c:pt>
                <c:pt idx="4">
                  <c:v>50637.83</c:v>
                </c:pt>
              </c:strCache>
            </c:strRef>
          </c:cat>
          <c:val>
            <c:numRef>
              <c:f>'Week 5'!$H$52:$H$59</c:f>
              <c:numCache>
                <c:formatCode>0.00</c:formatCode>
                <c:ptCount val="8"/>
              </c:numCache>
            </c:numRef>
          </c:val>
          <c:extLst>
            <c:ext xmlns:c16="http://schemas.microsoft.com/office/drawing/2014/chart" uri="{C3380CC4-5D6E-409C-BE32-E72D297353CC}">
              <c16:uniqueId val="{00000002-7C09-4B52-A9CA-57CB5EFFD7C3}"/>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Weekly weight lost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cked"/>
        <c:varyColors val="0"/>
        <c:ser>
          <c:idx val="0"/>
          <c:order val="0"/>
          <c:spPr>
            <a:ln w="34925" cap="rnd">
              <a:solidFill>
                <a:srgbClr val="C00000"/>
              </a:solidFill>
              <a:round/>
            </a:ln>
            <a:effectLst>
              <a:outerShdw blurRad="57150" dist="19050" dir="5400000" algn="ctr" rotWithShape="0">
                <a:srgbClr val="000000">
                  <a:alpha val="63000"/>
                </a:srgbClr>
              </a:outerShdw>
            </a:effectLst>
          </c:spPr>
          <c:marker>
            <c:symbol val="none"/>
          </c:marker>
          <c:cat>
            <c:strRef>
              <c:f>'Progress Week'!$A$8:$A$13</c:f>
              <c:strCache>
                <c:ptCount val="6"/>
                <c:pt idx="0">
                  <c:v>Week 0</c:v>
                </c:pt>
                <c:pt idx="1">
                  <c:v>Week 1</c:v>
                </c:pt>
                <c:pt idx="2">
                  <c:v>Week 2</c:v>
                </c:pt>
                <c:pt idx="3">
                  <c:v>Week 3</c:v>
                </c:pt>
                <c:pt idx="4">
                  <c:v>Week 4</c:v>
                </c:pt>
                <c:pt idx="5">
                  <c:v>Week 5</c:v>
                </c:pt>
              </c:strCache>
            </c:strRef>
          </c:cat>
          <c:val>
            <c:numRef>
              <c:f>'Progress Week'!$B$8:$B$13</c:f>
              <c:numCache>
                <c:formatCode>General</c:formatCode>
                <c:ptCount val="6"/>
                <c:pt idx="0">
                  <c:v>200</c:v>
                </c:pt>
                <c:pt idx="1">
                  <c:v>193.2844155844156</c:v>
                </c:pt>
                <c:pt idx="2">
                  <c:v>186.15232953280488</c:v>
                </c:pt>
                <c:pt idx="3">
                  <c:v>182.30709965323024</c:v>
                </c:pt>
                <c:pt idx="4">
                  <c:v>177.14825119327955</c:v>
                </c:pt>
                <c:pt idx="5">
                  <c:v>171.61801384216281</c:v>
                </c:pt>
              </c:numCache>
            </c:numRef>
          </c:val>
          <c:smooth val="0"/>
          <c:extLst>
            <c:ext xmlns:c16="http://schemas.microsoft.com/office/drawing/2014/chart" uri="{C3380CC4-5D6E-409C-BE32-E72D297353CC}">
              <c16:uniqueId val="{00000000-4B4A-4248-8E9C-C51FB53A678D}"/>
            </c:ext>
          </c:extLst>
        </c:ser>
        <c:dLbls>
          <c:showLegendKey val="0"/>
          <c:showVal val="0"/>
          <c:showCatName val="0"/>
          <c:showSerName val="0"/>
          <c:showPercent val="0"/>
          <c:showBubbleSize val="0"/>
        </c:dLbls>
        <c:smooth val="0"/>
        <c:axId val="1675988416"/>
        <c:axId val="1656727024"/>
      </c:lineChart>
      <c:catAx>
        <c:axId val="16759884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727024"/>
        <c:crosses val="autoZero"/>
        <c:auto val="1"/>
        <c:lblAlgn val="ctr"/>
        <c:lblOffset val="100"/>
        <c:noMultiLvlLbl val="0"/>
      </c:catAx>
      <c:valAx>
        <c:axId val="1656727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598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BMI across 5 weeks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cked"/>
        <c:varyColors val="0"/>
        <c:ser>
          <c:idx val="0"/>
          <c:order val="0"/>
          <c:spPr>
            <a:ln w="34925" cap="rnd">
              <a:solidFill>
                <a:srgbClr val="C00000"/>
              </a:solidFill>
              <a:round/>
            </a:ln>
            <a:effectLst>
              <a:outerShdw blurRad="57150" dist="19050" dir="5400000" algn="ctr" rotWithShape="0">
                <a:srgbClr val="000000">
                  <a:alpha val="63000"/>
                </a:srgbClr>
              </a:outerShdw>
            </a:effectLst>
          </c:spPr>
          <c:marker>
            <c:symbol val="none"/>
          </c:marker>
          <c:cat>
            <c:strRef>
              <c:f>'Progress Week'!$K$8:$K$13</c:f>
              <c:strCache>
                <c:ptCount val="6"/>
                <c:pt idx="0">
                  <c:v>Week 0</c:v>
                </c:pt>
                <c:pt idx="1">
                  <c:v>Week 1</c:v>
                </c:pt>
                <c:pt idx="2">
                  <c:v>Week 2</c:v>
                </c:pt>
                <c:pt idx="3">
                  <c:v>Week 3</c:v>
                </c:pt>
                <c:pt idx="4">
                  <c:v>Week 4</c:v>
                </c:pt>
                <c:pt idx="5">
                  <c:v>Week 5</c:v>
                </c:pt>
              </c:strCache>
            </c:strRef>
          </c:cat>
          <c:val>
            <c:numRef>
              <c:f>'Progress Week'!$L$8:$L$13</c:f>
              <c:numCache>
                <c:formatCode>General</c:formatCode>
                <c:ptCount val="6"/>
                <c:pt idx="0">
                  <c:v>50</c:v>
                </c:pt>
                <c:pt idx="1">
                  <c:v>48.321103896103899</c:v>
                </c:pt>
                <c:pt idx="2">
                  <c:v>46.538082383201221</c:v>
                </c:pt>
                <c:pt idx="3">
                  <c:v>45.57677491330756</c:v>
                </c:pt>
                <c:pt idx="4">
                  <c:v>44.287062798319887</c:v>
                </c:pt>
                <c:pt idx="5">
                  <c:v>42.904503460540703</c:v>
                </c:pt>
              </c:numCache>
            </c:numRef>
          </c:val>
          <c:smooth val="0"/>
          <c:extLst>
            <c:ext xmlns:c16="http://schemas.microsoft.com/office/drawing/2014/chart" uri="{C3380CC4-5D6E-409C-BE32-E72D297353CC}">
              <c16:uniqueId val="{00000000-FBD8-4C0E-985E-3EEE948F933C}"/>
            </c:ext>
          </c:extLst>
        </c:ser>
        <c:dLbls>
          <c:showLegendKey val="0"/>
          <c:showVal val="0"/>
          <c:showCatName val="0"/>
          <c:showSerName val="0"/>
          <c:showPercent val="0"/>
          <c:showBubbleSize val="0"/>
        </c:dLbls>
        <c:smooth val="0"/>
        <c:axId val="1669429840"/>
        <c:axId val="1669430800"/>
      </c:lineChart>
      <c:catAx>
        <c:axId val="16694298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430800"/>
        <c:crosses val="autoZero"/>
        <c:auto val="1"/>
        <c:lblAlgn val="ctr"/>
        <c:lblOffset val="100"/>
        <c:noMultiLvlLbl val="0"/>
      </c:catAx>
      <c:valAx>
        <c:axId val="16694308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4298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KG lost</a:t>
            </a:r>
            <a:r>
              <a:rPr lang="en-GB" baseline="0"/>
              <a:t> across 5 weeks</a:t>
            </a:r>
            <a:r>
              <a:rPr lang="en-GB"/>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solidFill>
              <a:srgbClr val="C00000"/>
            </a:solidFill>
            <a:ln>
              <a:noFill/>
            </a:ln>
            <a:effectLst>
              <a:outerShdw blurRad="57150" dist="19050" dir="5400000" algn="ctr" rotWithShape="0">
                <a:srgbClr val="000000">
                  <a:alpha val="63000"/>
                </a:srgbClr>
              </a:outerShdw>
            </a:effectLst>
          </c:spPr>
          <c:invertIfNegative val="0"/>
          <c:cat>
            <c:strRef>
              <c:f>'Progress Week'!$S$8:$S$12</c:f>
              <c:strCache>
                <c:ptCount val="5"/>
                <c:pt idx="0">
                  <c:v>Week1</c:v>
                </c:pt>
                <c:pt idx="1">
                  <c:v>Week2</c:v>
                </c:pt>
                <c:pt idx="2">
                  <c:v>Week3</c:v>
                </c:pt>
                <c:pt idx="3">
                  <c:v>Week4</c:v>
                </c:pt>
                <c:pt idx="4">
                  <c:v>Week5</c:v>
                </c:pt>
              </c:strCache>
            </c:strRef>
          </c:cat>
          <c:val>
            <c:numRef>
              <c:f>'Progress Week'!$T$8:$T$12</c:f>
              <c:numCache>
                <c:formatCode>General</c:formatCode>
                <c:ptCount val="5"/>
                <c:pt idx="0">
                  <c:v>6.7155844155844155</c:v>
                </c:pt>
                <c:pt idx="1">
                  <c:v>7.1320860516107256</c:v>
                </c:pt>
                <c:pt idx="2">
                  <c:v>3.8452298795746418</c:v>
                </c:pt>
                <c:pt idx="3">
                  <c:v>5.1588484599506899</c:v>
                </c:pt>
                <c:pt idx="4">
                  <c:v>5.5302373511167477</c:v>
                </c:pt>
              </c:numCache>
            </c:numRef>
          </c:val>
          <c:extLst>
            <c:ext xmlns:c16="http://schemas.microsoft.com/office/drawing/2014/chart" uri="{C3380CC4-5D6E-409C-BE32-E72D297353CC}">
              <c16:uniqueId val="{00000000-A700-49DC-BAFE-C32F6EC4DA78}"/>
            </c:ext>
          </c:extLst>
        </c:ser>
        <c:dLbls>
          <c:showLegendKey val="0"/>
          <c:showVal val="0"/>
          <c:showCatName val="0"/>
          <c:showSerName val="0"/>
          <c:showPercent val="0"/>
          <c:showBubbleSize val="0"/>
        </c:dLbls>
        <c:gapWidth val="115"/>
        <c:overlap val="-20"/>
        <c:axId val="1419923775"/>
        <c:axId val="1419922815"/>
      </c:barChart>
      <c:catAx>
        <c:axId val="14199237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9922815"/>
        <c:crosses val="autoZero"/>
        <c:auto val="1"/>
        <c:lblAlgn val="ctr"/>
        <c:lblOffset val="100"/>
        <c:noMultiLvlLbl val="0"/>
      </c:catAx>
      <c:valAx>
        <c:axId val="14199228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992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image" Target="../media/image9.jpeg"/><Relationship Id="rId1" Type="http://schemas.openxmlformats.org/officeDocument/2006/relationships/image" Target="../media/image8.jpe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9"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chart" Target="../charts/chart2.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chart" Target="../charts/chart3.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chart" Target="../charts/chart4.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chart" Target="../charts/chart5.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8.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8.xml"/><Relationship Id="rId7" Type="http://schemas.openxmlformats.org/officeDocument/2006/relationships/image" Target="../media/image3.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image" Target="../media/image10.png"/><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253999</xdr:colOff>
      <xdr:row>27</xdr:row>
      <xdr:rowOff>169334</xdr:rowOff>
    </xdr:from>
    <xdr:to>
      <xdr:col>5</xdr:col>
      <xdr:colOff>2393949</xdr:colOff>
      <xdr:row>28</xdr:row>
      <xdr:rowOff>154517</xdr:rowOff>
    </xdr:to>
    <xdr:pic macro="[0]!starrtmenu">
      <xdr:nvPicPr>
        <xdr:cNvPr id="4" name="Picture 3">
          <a:extLst>
            <a:ext uri="{FF2B5EF4-FFF2-40B4-BE49-F238E27FC236}">
              <a16:creationId xmlns:a16="http://schemas.microsoft.com/office/drawing/2014/main" id="{90F5DEFD-10DB-478E-9358-9C5BA21700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3999" y="4550834"/>
          <a:ext cx="2139950" cy="670983"/>
        </a:xfrm>
        <a:prstGeom prst="rect">
          <a:avLst/>
        </a:prstGeom>
      </xdr:spPr>
    </xdr:pic>
    <xdr:clientData/>
  </xdr:twoCellAnchor>
  <xdr:twoCellAnchor editAs="oneCell">
    <xdr:from>
      <xdr:col>9</xdr:col>
      <xdr:colOff>444500</xdr:colOff>
      <xdr:row>28</xdr:row>
      <xdr:rowOff>0</xdr:rowOff>
    </xdr:from>
    <xdr:to>
      <xdr:col>12</xdr:col>
      <xdr:colOff>307975</xdr:colOff>
      <xdr:row>31</xdr:row>
      <xdr:rowOff>88900</xdr:rowOff>
    </xdr:to>
    <xdr:pic macro="[0]!week1">
      <xdr:nvPicPr>
        <xdr:cNvPr id="5" name="Picture 4">
          <a:extLst>
            <a:ext uri="{FF2B5EF4-FFF2-40B4-BE49-F238E27FC236}">
              <a16:creationId xmlns:a16="http://schemas.microsoft.com/office/drawing/2014/main" id="{F991808D-3B56-4F75-8536-E3FBBCEFD4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82900" y="4572000"/>
          <a:ext cx="1692275" cy="660400"/>
        </a:xfrm>
        <a:prstGeom prst="rect">
          <a:avLst/>
        </a:prstGeom>
      </xdr:spPr>
    </xdr:pic>
    <xdr:clientData/>
  </xdr:twoCellAnchor>
  <xdr:twoCellAnchor editAs="oneCell">
    <xdr:from>
      <xdr:col>13</xdr:col>
      <xdr:colOff>63500</xdr:colOff>
      <xdr:row>28</xdr:row>
      <xdr:rowOff>10582</xdr:rowOff>
    </xdr:from>
    <xdr:to>
      <xdr:col>15</xdr:col>
      <xdr:colOff>578909</xdr:colOff>
      <xdr:row>31</xdr:row>
      <xdr:rowOff>99482</xdr:rowOff>
    </xdr:to>
    <xdr:pic macro="[0]!week2">
      <xdr:nvPicPr>
        <xdr:cNvPr id="6" name="Picture 5">
          <a:extLst>
            <a:ext uri="{FF2B5EF4-FFF2-40B4-BE49-F238E27FC236}">
              <a16:creationId xmlns:a16="http://schemas.microsoft.com/office/drawing/2014/main" id="{F9EE530B-D867-4CBB-811F-AEFA2205D8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40300" y="4582582"/>
          <a:ext cx="1734609" cy="660400"/>
        </a:xfrm>
        <a:prstGeom prst="rect">
          <a:avLst/>
        </a:prstGeom>
      </xdr:spPr>
    </xdr:pic>
    <xdr:clientData/>
  </xdr:twoCellAnchor>
  <xdr:twoCellAnchor editAs="oneCell">
    <xdr:from>
      <xdr:col>19</xdr:col>
      <xdr:colOff>465666</xdr:colOff>
      <xdr:row>28</xdr:row>
      <xdr:rowOff>42333</xdr:rowOff>
    </xdr:from>
    <xdr:to>
      <xdr:col>22</xdr:col>
      <xdr:colOff>367241</xdr:colOff>
      <xdr:row>31</xdr:row>
      <xdr:rowOff>131233</xdr:rowOff>
    </xdr:to>
    <xdr:pic macro="[0]!week4">
      <xdr:nvPicPr>
        <xdr:cNvPr id="7" name="Picture 6">
          <a:extLst>
            <a:ext uri="{FF2B5EF4-FFF2-40B4-BE49-F238E27FC236}">
              <a16:creationId xmlns:a16="http://schemas.microsoft.com/office/drawing/2014/main" id="{566CF796-CA94-4F8D-8F84-8CD7100B9F1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000066" y="4614333"/>
          <a:ext cx="1730375" cy="660400"/>
        </a:xfrm>
        <a:prstGeom prst="rect">
          <a:avLst/>
        </a:prstGeom>
      </xdr:spPr>
    </xdr:pic>
    <xdr:clientData/>
  </xdr:twoCellAnchor>
  <xdr:twoCellAnchor editAs="oneCell">
    <xdr:from>
      <xdr:col>16</xdr:col>
      <xdr:colOff>306917</xdr:colOff>
      <xdr:row>28</xdr:row>
      <xdr:rowOff>42333</xdr:rowOff>
    </xdr:from>
    <xdr:to>
      <xdr:col>19</xdr:col>
      <xdr:colOff>198967</xdr:colOff>
      <xdr:row>31</xdr:row>
      <xdr:rowOff>131233</xdr:rowOff>
    </xdr:to>
    <xdr:pic macro="[0]!week3">
      <xdr:nvPicPr>
        <xdr:cNvPr id="8" name="Picture 7">
          <a:extLst>
            <a:ext uri="{FF2B5EF4-FFF2-40B4-BE49-F238E27FC236}">
              <a16:creationId xmlns:a16="http://schemas.microsoft.com/office/drawing/2014/main" id="{12D075B0-F4FF-4123-A449-0B809D72FC1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012517" y="4614333"/>
          <a:ext cx="1720850" cy="660400"/>
        </a:xfrm>
        <a:prstGeom prst="rect">
          <a:avLst/>
        </a:prstGeom>
      </xdr:spPr>
    </xdr:pic>
    <xdr:clientData/>
  </xdr:twoCellAnchor>
  <xdr:twoCellAnchor editAs="oneCell">
    <xdr:from>
      <xdr:col>23</xdr:col>
      <xdr:colOff>95251</xdr:colOff>
      <xdr:row>28</xdr:row>
      <xdr:rowOff>74083</xdr:rowOff>
    </xdr:from>
    <xdr:to>
      <xdr:col>25</xdr:col>
      <xdr:colOff>601134</xdr:colOff>
      <xdr:row>31</xdr:row>
      <xdr:rowOff>162983</xdr:rowOff>
    </xdr:to>
    <xdr:pic macro="[0]!week5">
      <xdr:nvPicPr>
        <xdr:cNvPr id="9" name="Picture 8">
          <a:extLst>
            <a:ext uri="{FF2B5EF4-FFF2-40B4-BE49-F238E27FC236}">
              <a16:creationId xmlns:a16="http://schemas.microsoft.com/office/drawing/2014/main" id="{348F8C5C-814C-4C22-9971-DD592BE78FA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068051" y="4646083"/>
          <a:ext cx="1725083" cy="660400"/>
        </a:xfrm>
        <a:prstGeom prst="rect">
          <a:avLst/>
        </a:prstGeom>
      </xdr:spPr>
    </xdr:pic>
    <xdr:clientData/>
  </xdr:twoCellAnchor>
  <xdr:twoCellAnchor editAs="oneCell">
    <xdr:from>
      <xdr:col>26</xdr:col>
      <xdr:colOff>317500</xdr:colOff>
      <xdr:row>28</xdr:row>
      <xdr:rowOff>111125</xdr:rowOff>
    </xdr:from>
    <xdr:to>
      <xdr:col>30</xdr:col>
      <xdr:colOff>533400</xdr:colOff>
      <xdr:row>31</xdr:row>
      <xdr:rowOff>168275</xdr:rowOff>
    </xdr:to>
    <xdr:pic macro="[0]!progressweek">
      <xdr:nvPicPr>
        <xdr:cNvPr id="10" name="Picture 9">
          <a:extLst>
            <a:ext uri="{FF2B5EF4-FFF2-40B4-BE49-F238E27FC236}">
              <a16:creationId xmlns:a16="http://schemas.microsoft.com/office/drawing/2014/main" id="{BFFDFA25-8395-4EA3-8CC2-6DBFD7771A5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119100" y="4683125"/>
          <a:ext cx="265430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447675</xdr:colOff>
      <xdr:row>11</xdr:row>
      <xdr:rowOff>73808</xdr:rowOff>
    </xdr:from>
    <xdr:to>
      <xdr:col>12</xdr:col>
      <xdr:colOff>71167</xdr:colOff>
      <xdr:row>25</xdr:row>
      <xdr:rowOff>123826</xdr:rowOff>
    </xdr:to>
    <xdr:pic>
      <xdr:nvPicPr>
        <xdr:cNvPr id="2" name="Picture 1" descr="Body Mass Index Infographic Chart. Colorful BMI Chart Vector ...">
          <a:extLst>
            <a:ext uri="{FF2B5EF4-FFF2-40B4-BE49-F238E27FC236}">
              <a16:creationId xmlns:a16="http://schemas.microsoft.com/office/drawing/2014/main" id="{685A31B6-E66A-6A28-DCB2-84F238797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95675" y="2197883"/>
          <a:ext cx="4309792" cy="2755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21</xdr:row>
      <xdr:rowOff>0</xdr:rowOff>
    </xdr:from>
    <xdr:to>
      <xdr:col>17</xdr:col>
      <xdr:colOff>304800</xdr:colOff>
      <xdr:row>22</xdr:row>
      <xdr:rowOff>114300</xdr:rowOff>
    </xdr:to>
    <xdr:sp macro="" textlink="">
      <xdr:nvSpPr>
        <xdr:cNvPr id="1025" name="AutoShape 1" descr="BMI classification chart measurement woman set. Female Body Mass Index ...">
          <a:extLst>
            <a:ext uri="{FF2B5EF4-FFF2-40B4-BE49-F238E27FC236}">
              <a16:creationId xmlns:a16="http://schemas.microsoft.com/office/drawing/2014/main" id="{BB99CEB0-4293-9E22-6B4E-A2080643AB9E}"/>
            </a:ext>
          </a:extLst>
        </xdr:cNvPr>
        <xdr:cNvSpPr>
          <a:spLocks noChangeAspect="1" noChangeArrowheads="1"/>
        </xdr:cNvSpPr>
      </xdr:nvSpPr>
      <xdr:spPr bwMode="auto">
        <a:xfrm>
          <a:off x="10782300" y="4067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0</xdr:colOff>
      <xdr:row>14</xdr:row>
      <xdr:rowOff>0</xdr:rowOff>
    </xdr:from>
    <xdr:to>
      <xdr:col>17</xdr:col>
      <xdr:colOff>304800</xdr:colOff>
      <xdr:row>15</xdr:row>
      <xdr:rowOff>104774</xdr:rowOff>
    </xdr:to>
    <xdr:sp macro="" textlink="">
      <xdr:nvSpPr>
        <xdr:cNvPr id="1026" name="AutoShape 2" descr="BMI classification chart measurement woman set. Female Body Mass Index ...">
          <a:extLst>
            <a:ext uri="{FF2B5EF4-FFF2-40B4-BE49-F238E27FC236}">
              <a16:creationId xmlns:a16="http://schemas.microsoft.com/office/drawing/2014/main" id="{0481F38F-4E05-BBC2-B440-15511CA4C641}"/>
            </a:ext>
          </a:extLst>
        </xdr:cNvPr>
        <xdr:cNvSpPr>
          <a:spLocks noChangeAspect="1" noChangeArrowheads="1"/>
        </xdr:cNvSpPr>
      </xdr:nvSpPr>
      <xdr:spPr bwMode="auto">
        <a:xfrm>
          <a:off x="10782300" y="271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533400</xdr:colOff>
      <xdr:row>11</xdr:row>
      <xdr:rowOff>92771</xdr:rowOff>
    </xdr:from>
    <xdr:to>
      <xdr:col>20</xdr:col>
      <xdr:colOff>466724</xdr:colOff>
      <xdr:row>24</xdr:row>
      <xdr:rowOff>142873</xdr:rowOff>
    </xdr:to>
    <xdr:pic>
      <xdr:nvPicPr>
        <xdr:cNvPr id="3" name="Picture 2" descr="BMI classification chart measurement woman set. Female Body Mass Index ...">
          <a:extLst>
            <a:ext uri="{FF2B5EF4-FFF2-40B4-BE49-F238E27FC236}">
              <a16:creationId xmlns:a16="http://schemas.microsoft.com/office/drawing/2014/main" id="{AD3560A6-43A7-A646-AACD-DEC894B7C77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67700" y="2216846"/>
          <a:ext cx="4810124" cy="2564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253999</xdr:colOff>
      <xdr:row>32</xdr:row>
      <xdr:rowOff>169334</xdr:rowOff>
    </xdr:from>
    <xdr:to>
      <xdr:col>9</xdr:col>
      <xdr:colOff>143328</xdr:colOff>
      <xdr:row>36</xdr:row>
      <xdr:rowOff>78317</xdr:rowOff>
    </xdr:to>
    <xdr:pic macro="[0]!starrtmenu">
      <xdr:nvPicPr>
        <xdr:cNvPr id="4" name="Picture 3">
          <a:extLst>
            <a:ext uri="{FF2B5EF4-FFF2-40B4-BE49-F238E27FC236}">
              <a16:creationId xmlns:a16="http://schemas.microsoft.com/office/drawing/2014/main" id="{3414B099-A112-412F-8744-9BEC583A34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53999" y="4550834"/>
          <a:ext cx="2139950" cy="670983"/>
        </a:xfrm>
        <a:prstGeom prst="rect">
          <a:avLst/>
        </a:prstGeom>
      </xdr:spPr>
    </xdr:pic>
    <xdr:clientData/>
  </xdr:twoCellAnchor>
  <xdr:twoCellAnchor editAs="oneCell">
    <xdr:from>
      <xdr:col>10</xdr:col>
      <xdr:colOff>444500</xdr:colOff>
      <xdr:row>33</xdr:row>
      <xdr:rowOff>0</xdr:rowOff>
    </xdr:from>
    <xdr:to>
      <xdr:col>13</xdr:col>
      <xdr:colOff>307975</xdr:colOff>
      <xdr:row>36</xdr:row>
      <xdr:rowOff>88900</xdr:rowOff>
    </xdr:to>
    <xdr:pic macro="[0]!week1">
      <xdr:nvPicPr>
        <xdr:cNvPr id="5" name="Picture 4">
          <a:extLst>
            <a:ext uri="{FF2B5EF4-FFF2-40B4-BE49-F238E27FC236}">
              <a16:creationId xmlns:a16="http://schemas.microsoft.com/office/drawing/2014/main" id="{32F81069-9C99-4363-9B72-78A14FFB335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882900" y="4572000"/>
          <a:ext cx="1692275" cy="660400"/>
        </a:xfrm>
        <a:prstGeom prst="rect">
          <a:avLst/>
        </a:prstGeom>
      </xdr:spPr>
    </xdr:pic>
    <xdr:clientData/>
  </xdr:twoCellAnchor>
  <xdr:twoCellAnchor editAs="oneCell">
    <xdr:from>
      <xdr:col>14</xdr:col>
      <xdr:colOff>63500</xdr:colOff>
      <xdr:row>33</xdr:row>
      <xdr:rowOff>10582</xdr:rowOff>
    </xdr:from>
    <xdr:to>
      <xdr:col>16</xdr:col>
      <xdr:colOff>578909</xdr:colOff>
      <xdr:row>36</xdr:row>
      <xdr:rowOff>99482</xdr:rowOff>
    </xdr:to>
    <xdr:pic macro="[0]!week2">
      <xdr:nvPicPr>
        <xdr:cNvPr id="6" name="Picture 5">
          <a:extLst>
            <a:ext uri="{FF2B5EF4-FFF2-40B4-BE49-F238E27FC236}">
              <a16:creationId xmlns:a16="http://schemas.microsoft.com/office/drawing/2014/main" id="{42403EF4-7E21-4851-9788-ED9F1D13783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940300" y="4582582"/>
          <a:ext cx="1734609" cy="660400"/>
        </a:xfrm>
        <a:prstGeom prst="rect">
          <a:avLst/>
        </a:prstGeom>
      </xdr:spPr>
    </xdr:pic>
    <xdr:clientData/>
  </xdr:twoCellAnchor>
  <xdr:twoCellAnchor editAs="oneCell">
    <xdr:from>
      <xdr:col>20</xdr:col>
      <xdr:colOff>465666</xdr:colOff>
      <xdr:row>33</xdr:row>
      <xdr:rowOff>42333</xdr:rowOff>
    </xdr:from>
    <xdr:to>
      <xdr:col>23</xdr:col>
      <xdr:colOff>367241</xdr:colOff>
      <xdr:row>36</xdr:row>
      <xdr:rowOff>131233</xdr:rowOff>
    </xdr:to>
    <xdr:pic macro="[0]!week4">
      <xdr:nvPicPr>
        <xdr:cNvPr id="7" name="Picture 6">
          <a:extLst>
            <a:ext uri="{FF2B5EF4-FFF2-40B4-BE49-F238E27FC236}">
              <a16:creationId xmlns:a16="http://schemas.microsoft.com/office/drawing/2014/main" id="{ED2F277E-D56F-43E0-8C0A-1E88689170D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000066" y="4614333"/>
          <a:ext cx="1730375" cy="660400"/>
        </a:xfrm>
        <a:prstGeom prst="rect">
          <a:avLst/>
        </a:prstGeom>
      </xdr:spPr>
    </xdr:pic>
    <xdr:clientData/>
  </xdr:twoCellAnchor>
  <xdr:twoCellAnchor editAs="oneCell">
    <xdr:from>
      <xdr:col>17</xdr:col>
      <xdr:colOff>306917</xdr:colOff>
      <xdr:row>33</xdr:row>
      <xdr:rowOff>42333</xdr:rowOff>
    </xdr:from>
    <xdr:to>
      <xdr:col>20</xdr:col>
      <xdr:colOff>198967</xdr:colOff>
      <xdr:row>36</xdr:row>
      <xdr:rowOff>131233</xdr:rowOff>
    </xdr:to>
    <xdr:pic macro="[0]!week3">
      <xdr:nvPicPr>
        <xdr:cNvPr id="8" name="Picture 7">
          <a:extLst>
            <a:ext uri="{FF2B5EF4-FFF2-40B4-BE49-F238E27FC236}">
              <a16:creationId xmlns:a16="http://schemas.microsoft.com/office/drawing/2014/main" id="{5485BCAB-1F12-4AE7-8F3A-8FE9464B18B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012517" y="4614333"/>
          <a:ext cx="1720850" cy="660400"/>
        </a:xfrm>
        <a:prstGeom prst="rect">
          <a:avLst/>
        </a:prstGeom>
      </xdr:spPr>
    </xdr:pic>
    <xdr:clientData/>
  </xdr:twoCellAnchor>
  <xdr:twoCellAnchor editAs="oneCell">
    <xdr:from>
      <xdr:col>24</xdr:col>
      <xdr:colOff>95251</xdr:colOff>
      <xdr:row>33</xdr:row>
      <xdr:rowOff>74083</xdr:rowOff>
    </xdr:from>
    <xdr:to>
      <xdr:col>26</xdr:col>
      <xdr:colOff>601133</xdr:colOff>
      <xdr:row>36</xdr:row>
      <xdr:rowOff>162983</xdr:rowOff>
    </xdr:to>
    <xdr:pic macro="[0]!week5">
      <xdr:nvPicPr>
        <xdr:cNvPr id="9" name="Picture 8">
          <a:extLst>
            <a:ext uri="{FF2B5EF4-FFF2-40B4-BE49-F238E27FC236}">
              <a16:creationId xmlns:a16="http://schemas.microsoft.com/office/drawing/2014/main" id="{030644C9-240E-4CDB-A56E-72DF45CD767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068051" y="4646083"/>
          <a:ext cx="1725083" cy="660400"/>
        </a:xfrm>
        <a:prstGeom prst="rect">
          <a:avLst/>
        </a:prstGeom>
      </xdr:spPr>
    </xdr:pic>
    <xdr:clientData/>
  </xdr:twoCellAnchor>
  <xdr:twoCellAnchor editAs="oneCell">
    <xdr:from>
      <xdr:col>27</xdr:col>
      <xdr:colOff>317500</xdr:colOff>
      <xdr:row>33</xdr:row>
      <xdr:rowOff>111125</xdr:rowOff>
    </xdr:from>
    <xdr:to>
      <xdr:col>31</xdr:col>
      <xdr:colOff>533400</xdr:colOff>
      <xdr:row>36</xdr:row>
      <xdr:rowOff>168275</xdr:rowOff>
    </xdr:to>
    <xdr:pic macro="[0]!progressweek">
      <xdr:nvPicPr>
        <xdr:cNvPr id="10" name="Picture 9">
          <a:extLst>
            <a:ext uri="{FF2B5EF4-FFF2-40B4-BE49-F238E27FC236}">
              <a16:creationId xmlns:a16="http://schemas.microsoft.com/office/drawing/2014/main" id="{30DE3A0D-417D-4B58-A720-401B1A7CB9D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3119100" y="4683125"/>
          <a:ext cx="2654300" cy="6286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261937</xdr:colOff>
      <xdr:row>45</xdr:row>
      <xdr:rowOff>88900</xdr:rowOff>
    </xdr:from>
    <xdr:to>
      <xdr:col>16</xdr:col>
      <xdr:colOff>1079500</xdr:colOff>
      <xdr:row>68</xdr:row>
      <xdr:rowOff>158750</xdr:rowOff>
    </xdr:to>
    <xdr:graphicFrame macro="">
      <xdr:nvGraphicFramePr>
        <xdr:cNvPr id="8" name="Chart 7">
          <a:extLst>
            <a:ext uri="{FF2B5EF4-FFF2-40B4-BE49-F238E27FC236}">
              <a16:creationId xmlns:a16="http://schemas.microsoft.com/office/drawing/2014/main" id="{63F494E8-E7E8-D570-4EFC-388AF6ECF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253999</xdr:colOff>
      <xdr:row>61</xdr:row>
      <xdr:rowOff>169334</xdr:rowOff>
    </xdr:from>
    <xdr:to>
      <xdr:col>27</xdr:col>
      <xdr:colOff>1174749</xdr:colOff>
      <xdr:row>65</xdr:row>
      <xdr:rowOff>97367</xdr:rowOff>
    </xdr:to>
    <xdr:pic macro="[0]!starrtmenu">
      <xdr:nvPicPr>
        <xdr:cNvPr id="2" name="Picture 1">
          <a:extLst>
            <a:ext uri="{FF2B5EF4-FFF2-40B4-BE49-F238E27FC236}">
              <a16:creationId xmlns:a16="http://schemas.microsoft.com/office/drawing/2014/main" id="{97DF0167-968A-4718-8F70-7868D0026F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971824" y="9170459"/>
          <a:ext cx="2139950" cy="670983"/>
        </a:xfrm>
        <a:prstGeom prst="rect">
          <a:avLst/>
        </a:prstGeom>
      </xdr:spPr>
    </xdr:pic>
    <xdr:clientData/>
  </xdr:twoCellAnchor>
  <xdr:twoCellAnchor editAs="oneCell">
    <xdr:from>
      <xdr:col>29</xdr:col>
      <xdr:colOff>444500</xdr:colOff>
      <xdr:row>62</xdr:row>
      <xdr:rowOff>0</xdr:rowOff>
    </xdr:from>
    <xdr:to>
      <xdr:col>30</xdr:col>
      <xdr:colOff>307975</xdr:colOff>
      <xdr:row>65</xdr:row>
      <xdr:rowOff>98425</xdr:rowOff>
    </xdr:to>
    <xdr:pic macro="[0]!week1">
      <xdr:nvPicPr>
        <xdr:cNvPr id="3" name="Picture 2">
          <a:extLst>
            <a:ext uri="{FF2B5EF4-FFF2-40B4-BE49-F238E27FC236}">
              <a16:creationId xmlns:a16="http://schemas.microsoft.com/office/drawing/2014/main" id="{D34789C7-1862-4C35-BFF9-AB746C6E32B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3600725" y="9191625"/>
          <a:ext cx="1692275" cy="660400"/>
        </a:xfrm>
        <a:prstGeom prst="rect">
          <a:avLst/>
        </a:prstGeom>
      </xdr:spPr>
    </xdr:pic>
    <xdr:clientData/>
  </xdr:twoCellAnchor>
  <xdr:twoCellAnchor editAs="oneCell">
    <xdr:from>
      <xdr:col>33</xdr:col>
      <xdr:colOff>63500</xdr:colOff>
      <xdr:row>62</xdr:row>
      <xdr:rowOff>10582</xdr:rowOff>
    </xdr:from>
    <xdr:to>
      <xdr:col>34</xdr:col>
      <xdr:colOff>1188509</xdr:colOff>
      <xdr:row>65</xdr:row>
      <xdr:rowOff>109007</xdr:rowOff>
    </xdr:to>
    <xdr:pic macro="[0]!week2">
      <xdr:nvPicPr>
        <xdr:cNvPr id="4" name="Picture 3">
          <a:extLst>
            <a:ext uri="{FF2B5EF4-FFF2-40B4-BE49-F238E27FC236}">
              <a16:creationId xmlns:a16="http://schemas.microsoft.com/office/drawing/2014/main" id="{7E782C5F-30CE-44F8-8E12-7248F3AD569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5658125" y="9202207"/>
          <a:ext cx="1734609" cy="660400"/>
        </a:xfrm>
        <a:prstGeom prst="rect">
          <a:avLst/>
        </a:prstGeom>
      </xdr:spPr>
    </xdr:pic>
    <xdr:clientData/>
  </xdr:twoCellAnchor>
  <xdr:twoCellAnchor editAs="oneCell">
    <xdr:from>
      <xdr:col>39</xdr:col>
      <xdr:colOff>465666</xdr:colOff>
      <xdr:row>62</xdr:row>
      <xdr:rowOff>42333</xdr:rowOff>
    </xdr:from>
    <xdr:to>
      <xdr:col>41</xdr:col>
      <xdr:colOff>205316</xdr:colOff>
      <xdr:row>65</xdr:row>
      <xdr:rowOff>140758</xdr:rowOff>
    </xdr:to>
    <xdr:pic macro="[0]!week4">
      <xdr:nvPicPr>
        <xdr:cNvPr id="5" name="Picture 4">
          <a:extLst>
            <a:ext uri="{FF2B5EF4-FFF2-40B4-BE49-F238E27FC236}">
              <a16:creationId xmlns:a16="http://schemas.microsoft.com/office/drawing/2014/main" id="{D4648221-E0CA-4D6B-A31D-4A8E545F0E2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9717891" y="9233958"/>
          <a:ext cx="1730375" cy="660400"/>
        </a:xfrm>
        <a:prstGeom prst="rect">
          <a:avLst/>
        </a:prstGeom>
      </xdr:spPr>
    </xdr:pic>
    <xdr:clientData/>
  </xdr:twoCellAnchor>
  <xdr:twoCellAnchor editAs="oneCell">
    <xdr:from>
      <xdr:col>36</xdr:col>
      <xdr:colOff>306917</xdr:colOff>
      <xdr:row>62</xdr:row>
      <xdr:rowOff>42333</xdr:rowOff>
    </xdr:from>
    <xdr:to>
      <xdr:col>38</xdr:col>
      <xdr:colOff>237067</xdr:colOff>
      <xdr:row>65</xdr:row>
      <xdr:rowOff>140758</xdr:rowOff>
    </xdr:to>
    <xdr:pic macro="[0]!week3">
      <xdr:nvPicPr>
        <xdr:cNvPr id="6" name="Picture 5">
          <a:extLst>
            <a:ext uri="{FF2B5EF4-FFF2-40B4-BE49-F238E27FC236}">
              <a16:creationId xmlns:a16="http://schemas.microsoft.com/office/drawing/2014/main" id="{4B683BAA-A9B0-42E4-93AB-56D7313AE56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7730342" y="9233958"/>
          <a:ext cx="1720850" cy="660400"/>
        </a:xfrm>
        <a:prstGeom prst="rect">
          <a:avLst/>
        </a:prstGeom>
      </xdr:spPr>
    </xdr:pic>
    <xdr:clientData/>
  </xdr:twoCellAnchor>
  <xdr:twoCellAnchor editAs="oneCell">
    <xdr:from>
      <xdr:col>43</xdr:col>
      <xdr:colOff>95251</xdr:colOff>
      <xdr:row>62</xdr:row>
      <xdr:rowOff>74083</xdr:rowOff>
    </xdr:from>
    <xdr:to>
      <xdr:col>45</xdr:col>
      <xdr:colOff>601134</xdr:colOff>
      <xdr:row>65</xdr:row>
      <xdr:rowOff>172508</xdr:rowOff>
    </xdr:to>
    <xdr:pic macro="[0]!week5">
      <xdr:nvPicPr>
        <xdr:cNvPr id="7" name="Picture 6">
          <a:extLst>
            <a:ext uri="{FF2B5EF4-FFF2-40B4-BE49-F238E27FC236}">
              <a16:creationId xmlns:a16="http://schemas.microsoft.com/office/drawing/2014/main" id="{C1CA411A-22F8-48D5-AE9E-BDBC942ECAA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91785876" y="9265708"/>
          <a:ext cx="1725083" cy="660400"/>
        </a:xfrm>
        <a:prstGeom prst="rect">
          <a:avLst/>
        </a:prstGeom>
      </xdr:spPr>
    </xdr:pic>
    <xdr:clientData/>
  </xdr:twoCellAnchor>
  <xdr:twoCellAnchor editAs="oneCell">
    <xdr:from>
      <xdr:col>46</xdr:col>
      <xdr:colOff>0</xdr:colOff>
      <xdr:row>64</xdr:row>
      <xdr:rowOff>0</xdr:rowOff>
    </xdr:from>
    <xdr:to>
      <xdr:col>50</xdr:col>
      <xdr:colOff>190500</xdr:colOff>
      <xdr:row>67</xdr:row>
      <xdr:rowOff>57150</xdr:rowOff>
    </xdr:to>
    <xdr:pic macro="[0]!progressweek">
      <xdr:nvPicPr>
        <xdr:cNvPr id="10" name="Picture 9">
          <a:extLst>
            <a:ext uri="{FF2B5EF4-FFF2-40B4-BE49-F238E27FC236}">
              <a16:creationId xmlns:a16="http://schemas.microsoft.com/office/drawing/2014/main" id="{28F03BDD-72FF-4E73-B987-71FC11D698E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5662850" y="13792200"/>
          <a:ext cx="2628900" cy="628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1071562</xdr:colOff>
      <xdr:row>45</xdr:row>
      <xdr:rowOff>104774</xdr:rowOff>
    </xdr:from>
    <xdr:to>
      <xdr:col>16</xdr:col>
      <xdr:colOff>63500</xdr:colOff>
      <xdr:row>66</xdr:row>
      <xdr:rowOff>63499</xdr:rowOff>
    </xdr:to>
    <xdr:graphicFrame macro="">
      <xdr:nvGraphicFramePr>
        <xdr:cNvPr id="3" name="Chart 2">
          <a:extLst>
            <a:ext uri="{FF2B5EF4-FFF2-40B4-BE49-F238E27FC236}">
              <a16:creationId xmlns:a16="http://schemas.microsoft.com/office/drawing/2014/main" id="{355A5E2B-7EF6-C7E2-EBC5-D0D318486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168</xdr:col>
      <xdr:colOff>253999</xdr:colOff>
      <xdr:row>45</xdr:row>
      <xdr:rowOff>169334</xdr:rowOff>
    </xdr:from>
    <xdr:to>
      <xdr:col>171</xdr:col>
      <xdr:colOff>565149</xdr:colOff>
      <xdr:row>49</xdr:row>
      <xdr:rowOff>68792</xdr:rowOff>
    </xdr:to>
    <xdr:pic macro="[0]!starrtmenu">
      <xdr:nvPicPr>
        <xdr:cNvPr id="9" name="Picture 8">
          <a:extLst>
            <a:ext uri="{FF2B5EF4-FFF2-40B4-BE49-F238E27FC236}">
              <a16:creationId xmlns:a16="http://schemas.microsoft.com/office/drawing/2014/main" id="{44AE1AD1-C06E-4639-B813-EBC9620350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780599" y="9656234"/>
          <a:ext cx="2139950" cy="670983"/>
        </a:xfrm>
        <a:prstGeom prst="rect">
          <a:avLst/>
        </a:prstGeom>
      </xdr:spPr>
    </xdr:pic>
    <xdr:clientData/>
  </xdr:twoCellAnchor>
  <xdr:twoCellAnchor editAs="oneCell">
    <xdr:from>
      <xdr:col>172</xdr:col>
      <xdr:colOff>444500</xdr:colOff>
      <xdr:row>46</xdr:row>
      <xdr:rowOff>0</xdr:rowOff>
    </xdr:from>
    <xdr:to>
      <xdr:col>175</xdr:col>
      <xdr:colOff>307975</xdr:colOff>
      <xdr:row>49</xdr:row>
      <xdr:rowOff>79375</xdr:rowOff>
    </xdr:to>
    <xdr:pic macro="[0]!week1">
      <xdr:nvPicPr>
        <xdr:cNvPr id="10" name="Picture 9">
          <a:extLst>
            <a:ext uri="{FF2B5EF4-FFF2-40B4-BE49-F238E27FC236}">
              <a16:creationId xmlns:a16="http://schemas.microsoft.com/office/drawing/2014/main" id="{E0AD06B7-A4DF-443E-854A-DE538D6D66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1409500" y="9686925"/>
          <a:ext cx="1692275" cy="660400"/>
        </a:xfrm>
        <a:prstGeom prst="rect">
          <a:avLst/>
        </a:prstGeom>
      </xdr:spPr>
    </xdr:pic>
    <xdr:clientData/>
  </xdr:twoCellAnchor>
  <xdr:twoCellAnchor editAs="oneCell">
    <xdr:from>
      <xdr:col>176</xdr:col>
      <xdr:colOff>63500</xdr:colOff>
      <xdr:row>46</xdr:row>
      <xdr:rowOff>10582</xdr:rowOff>
    </xdr:from>
    <xdr:to>
      <xdr:col>178</xdr:col>
      <xdr:colOff>578909</xdr:colOff>
      <xdr:row>49</xdr:row>
      <xdr:rowOff>89957</xdr:rowOff>
    </xdr:to>
    <xdr:pic macro="[0]!week2">
      <xdr:nvPicPr>
        <xdr:cNvPr id="11" name="Picture 10">
          <a:extLst>
            <a:ext uri="{FF2B5EF4-FFF2-40B4-BE49-F238E27FC236}">
              <a16:creationId xmlns:a16="http://schemas.microsoft.com/office/drawing/2014/main" id="{548F40E7-24AD-4E99-B883-14C4BF15ECC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3466900" y="9697507"/>
          <a:ext cx="1734609" cy="660400"/>
        </a:xfrm>
        <a:prstGeom prst="rect">
          <a:avLst/>
        </a:prstGeom>
      </xdr:spPr>
    </xdr:pic>
    <xdr:clientData/>
  </xdr:twoCellAnchor>
  <xdr:twoCellAnchor editAs="oneCell">
    <xdr:from>
      <xdr:col>182</xdr:col>
      <xdr:colOff>465666</xdr:colOff>
      <xdr:row>46</xdr:row>
      <xdr:rowOff>42333</xdr:rowOff>
    </xdr:from>
    <xdr:to>
      <xdr:col>185</xdr:col>
      <xdr:colOff>367241</xdr:colOff>
      <xdr:row>49</xdr:row>
      <xdr:rowOff>121708</xdr:rowOff>
    </xdr:to>
    <xdr:pic macro="[0]!week4">
      <xdr:nvPicPr>
        <xdr:cNvPr id="12" name="Picture 11">
          <a:extLst>
            <a:ext uri="{FF2B5EF4-FFF2-40B4-BE49-F238E27FC236}">
              <a16:creationId xmlns:a16="http://schemas.microsoft.com/office/drawing/2014/main" id="{FC78CE4B-094E-4E27-939C-675A667F6EE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7526666" y="9729258"/>
          <a:ext cx="1730375" cy="660400"/>
        </a:xfrm>
        <a:prstGeom prst="rect">
          <a:avLst/>
        </a:prstGeom>
      </xdr:spPr>
    </xdr:pic>
    <xdr:clientData/>
  </xdr:twoCellAnchor>
  <xdr:twoCellAnchor editAs="oneCell">
    <xdr:from>
      <xdr:col>179</xdr:col>
      <xdr:colOff>306917</xdr:colOff>
      <xdr:row>46</xdr:row>
      <xdr:rowOff>42333</xdr:rowOff>
    </xdr:from>
    <xdr:to>
      <xdr:col>182</xdr:col>
      <xdr:colOff>198967</xdr:colOff>
      <xdr:row>49</xdr:row>
      <xdr:rowOff>121708</xdr:rowOff>
    </xdr:to>
    <xdr:pic macro="[0]!week3">
      <xdr:nvPicPr>
        <xdr:cNvPr id="13" name="Picture 12">
          <a:extLst>
            <a:ext uri="{FF2B5EF4-FFF2-40B4-BE49-F238E27FC236}">
              <a16:creationId xmlns:a16="http://schemas.microsoft.com/office/drawing/2014/main" id="{E1166697-84DF-4830-8373-46F0C93AF6F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5539117" y="9729258"/>
          <a:ext cx="1720850" cy="660400"/>
        </a:xfrm>
        <a:prstGeom prst="rect">
          <a:avLst/>
        </a:prstGeom>
      </xdr:spPr>
    </xdr:pic>
    <xdr:clientData/>
  </xdr:twoCellAnchor>
  <xdr:twoCellAnchor editAs="oneCell">
    <xdr:from>
      <xdr:col>186</xdr:col>
      <xdr:colOff>95251</xdr:colOff>
      <xdr:row>46</xdr:row>
      <xdr:rowOff>74083</xdr:rowOff>
    </xdr:from>
    <xdr:to>
      <xdr:col>188</xdr:col>
      <xdr:colOff>601134</xdr:colOff>
      <xdr:row>49</xdr:row>
      <xdr:rowOff>153458</xdr:rowOff>
    </xdr:to>
    <xdr:pic macro="[0]!week5">
      <xdr:nvPicPr>
        <xdr:cNvPr id="14" name="Picture 13">
          <a:extLst>
            <a:ext uri="{FF2B5EF4-FFF2-40B4-BE49-F238E27FC236}">
              <a16:creationId xmlns:a16="http://schemas.microsoft.com/office/drawing/2014/main" id="{ADBE7D02-E745-493D-BFA8-B9507B93D42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9594651" y="9761008"/>
          <a:ext cx="1725083" cy="660400"/>
        </a:xfrm>
        <a:prstGeom prst="rect">
          <a:avLst/>
        </a:prstGeom>
      </xdr:spPr>
    </xdr:pic>
    <xdr:clientData/>
  </xdr:twoCellAnchor>
  <xdr:twoCellAnchor editAs="oneCell">
    <xdr:from>
      <xdr:col>189</xdr:col>
      <xdr:colOff>0</xdr:colOff>
      <xdr:row>47</xdr:row>
      <xdr:rowOff>0</xdr:rowOff>
    </xdr:from>
    <xdr:to>
      <xdr:col>193</xdr:col>
      <xdr:colOff>190500</xdr:colOff>
      <xdr:row>50</xdr:row>
      <xdr:rowOff>38100</xdr:rowOff>
    </xdr:to>
    <xdr:pic macro="[0]!progressweek">
      <xdr:nvPicPr>
        <xdr:cNvPr id="16" name="Picture 15">
          <a:extLst>
            <a:ext uri="{FF2B5EF4-FFF2-40B4-BE49-F238E27FC236}">
              <a16:creationId xmlns:a16="http://schemas.microsoft.com/office/drawing/2014/main" id="{783DD831-42C1-475E-87B9-BD7BB05AE03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93890900" y="9601200"/>
          <a:ext cx="2628900" cy="6286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10</xdr:col>
      <xdr:colOff>706437</xdr:colOff>
      <xdr:row>43</xdr:row>
      <xdr:rowOff>9524</xdr:rowOff>
    </xdr:from>
    <xdr:to>
      <xdr:col>20</xdr:col>
      <xdr:colOff>47625</xdr:colOff>
      <xdr:row>65</xdr:row>
      <xdr:rowOff>15874</xdr:rowOff>
    </xdr:to>
    <xdr:graphicFrame macro="">
      <xdr:nvGraphicFramePr>
        <xdr:cNvPr id="3" name="Chart 2">
          <a:extLst>
            <a:ext uri="{FF2B5EF4-FFF2-40B4-BE49-F238E27FC236}">
              <a16:creationId xmlns:a16="http://schemas.microsoft.com/office/drawing/2014/main" id="{1D4FE30C-883B-AC88-42A4-18530A810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151</xdr:col>
      <xdr:colOff>253999</xdr:colOff>
      <xdr:row>48</xdr:row>
      <xdr:rowOff>169334</xdr:rowOff>
    </xdr:from>
    <xdr:to>
      <xdr:col>154</xdr:col>
      <xdr:colOff>565149</xdr:colOff>
      <xdr:row>52</xdr:row>
      <xdr:rowOff>87842</xdr:rowOff>
    </xdr:to>
    <xdr:pic macro="[0]!starrtmenu">
      <xdr:nvPicPr>
        <xdr:cNvPr id="2" name="Picture 1">
          <a:extLst>
            <a:ext uri="{FF2B5EF4-FFF2-40B4-BE49-F238E27FC236}">
              <a16:creationId xmlns:a16="http://schemas.microsoft.com/office/drawing/2014/main" id="{875FE41A-B76D-4606-BF18-3A0CF7AB70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3999" y="4550834"/>
          <a:ext cx="2139950" cy="670983"/>
        </a:xfrm>
        <a:prstGeom prst="rect">
          <a:avLst/>
        </a:prstGeom>
      </xdr:spPr>
    </xdr:pic>
    <xdr:clientData/>
  </xdr:twoCellAnchor>
  <xdr:twoCellAnchor editAs="oneCell">
    <xdr:from>
      <xdr:col>155</xdr:col>
      <xdr:colOff>444500</xdr:colOff>
      <xdr:row>49</xdr:row>
      <xdr:rowOff>0</xdr:rowOff>
    </xdr:from>
    <xdr:to>
      <xdr:col>158</xdr:col>
      <xdr:colOff>307975</xdr:colOff>
      <xdr:row>52</xdr:row>
      <xdr:rowOff>107950</xdr:rowOff>
    </xdr:to>
    <xdr:pic macro="[0]!week1">
      <xdr:nvPicPr>
        <xdr:cNvPr id="4" name="Picture 3">
          <a:extLst>
            <a:ext uri="{FF2B5EF4-FFF2-40B4-BE49-F238E27FC236}">
              <a16:creationId xmlns:a16="http://schemas.microsoft.com/office/drawing/2014/main" id="{192B119C-BD75-42D6-B4EF-C807C91946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2900" y="4572000"/>
          <a:ext cx="1692275" cy="660400"/>
        </a:xfrm>
        <a:prstGeom prst="rect">
          <a:avLst/>
        </a:prstGeom>
      </xdr:spPr>
    </xdr:pic>
    <xdr:clientData/>
  </xdr:twoCellAnchor>
  <xdr:twoCellAnchor editAs="oneCell">
    <xdr:from>
      <xdr:col>159</xdr:col>
      <xdr:colOff>63500</xdr:colOff>
      <xdr:row>49</xdr:row>
      <xdr:rowOff>10582</xdr:rowOff>
    </xdr:from>
    <xdr:to>
      <xdr:col>161</xdr:col>
      <xdr:colOff>578909</xdr:colOff>
      <xdr:row>52</xdr:row>
      <xdr:rowOff>118532</xdr:rowOff>
    </xdr:to>
    <xdr:pic macro="[0]!week2">
      <xdr:nvPicPr>
        <xdr:cNvPr id="5" name="Picture 4">
          <a:extLst>
            <a:ext uri="{FF2B5EF4-FFF2-40B4-BE49-F238E27FC236}">
              <a16:creationId xmlns:a16="http://schemas.microsoft.com/office/drawing/2014/main" id="{B7C8CD55-5C21-4EC5-947A-C84ADAA721F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40300" y="4582582"/>
          <a:ext cx="1734609" cy="660400"/>
        </a:xfrm>
        <a:prstGeom prst="rect">
          <a:avLst/>
        </a:prstGeom>
      </xdr:spPr>
    </xdr:pic>
    <xdr:clientData/>
  </xdr:twoCellAnchor>
  <xdr:twoCellAnchor editAs="oneCell">
    <xdr:from>
      <xdr:col>165</xdr:col>
      <xdr:colOff>465666</xdr:colOff>
      <xdr:row>49</xdr:row>
      <xdr:rowOff>42333</xdr:rowOff>
    </xdr:from>
    <xdr:to>
      <xdr:col>168</xdr:col>
      <xdr:colOff>367241</xdr:colOff>
      <xdr:row>52</xdr:row>
      <xdr:rowOff>150283</xdr:rowOff>
    </xdr:to>
    <xdr:pic macro="[0]!week4">
      <xdr:nvPicPr>
        <xdr:cNvPr id="6" name="Picture 5">
          <a:extLst>
            <a:ext uri="{FF2B5EF4-FFF2-40B4-BE49-F238E27FC236}">
              <a16:creationId xmlns:a16="http://schemas.microsoft.com/office/drawing/2014/main" id="{BCD0AE66-7EDB-4BEC-9300-D4805D1E4BE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000066" y="4614333"/>
          <a:ext cx="1730375" cy="660400"/>
        </a:xfrm>
        <a:prstGeom prst="rect">
          <a:avLst/>
        </a:prstGeom>
      </xdr:spPr>
    </xdr:pic>
    <xdr:clientData/>
  </xdr:twoCellAnchor>
  <xdr:twoCellAnchor editAs="oneCell">
    <xdr:from>
      <xdr:col>162</xdr:col>
      <xdr:colOff>306917</xdr:colOff>
      <xdr:row>49</xdr:row>
      <xdr:rowOff>42333</xdr:rowOff>
    </xdr:from>
    <xdr:to>
      <xdr:col>165</xdr:col>
      <xdr:colOff>198967</xdr:colOff>
      <xdr:row>52</xdr:row>
      <xdr:rowOff>150283</xdr:rowOff>
    </xdr:to>
    <xdr:pic macro="[0]!week3">
      <xdr:nvPicPr>
        <xdr:cNvPr id="7" name="Picture 6">
          <a:extLst>
            <a:ext uri="{FF2B5EF4-FFF2-40B4-BE49-F238E27FC236}">
              <a16:creationId xmlns:a16="http://schemas.microsoft.com/office/drawing/2014/main" id="{BEC261CB-7C72-4E0E-8EDC-B009C61F60F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012517" y="4614333"/>
          <a:ext cx="1720850" cy="660400"/>
        </a:xfrm>
        <a:prstGeom prst="rect">
          <a:avLst/>
        </a:prstGeom>
      </xdr:spPr>
    </xdr:pic>
    <xdr:clientData/>
  </xdr:twoCellAnchor>
  <xdr:twoCellAnchor editAs="oneCell">
    <xdr:from>
      <xdr:col>169</xdr:col>
      <xdr:colOff>95251</xdr:colOff>
      <xdr:row>49</xdr:row>
      <xdr:rowOff>74083</xdr:rowOff>
    </xdr:from>
    <xdr:to>
      <xdr:col>171</xdr:col>
      <xdr:colOff>601134</xdr:colOff>
      <xdr:row>53</xdr:row>
      <xdr:rowOff>1058</xdr:rowOff>
    </xdr:to>
    <xdr:pic macro="[0]!week5">
      <xdr:nvPicPr>
        <xdr:cNvPr id="8" name="Picture 7">
          <a:extLst>
            <a:ext uri="{FF2B5EF4-FFF2-40B4-BE49-F238E27FC236}">
              <a16:creationId xmlns:a16="http://schemas.microsoft.com/office/drawing/2014/main" id="{932A7D2E-06AD-4961-AA21-6D40990C586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068051" y="4646083"/>
          <a:ext cx="1725083" cy="660400"/>
        </a:xfrm>
        <a:prstGeom prst="rect">
          <a:avLst/>
        </a:prstGeom>
      </xdr:spPr>
    </xdr:pic>
    <xdr:clientData/>
  </xdr:twoCellAnchor>
  <xdr:twoCellAnchor editAs="oneCell">
    <xdr:from>
      <xdr:col>173</xdr:col>
      <xdr:colOff>0</xdr:colOff>
      <xdr:row>51</xdr:row>
      <xdr:rowOff>0</xdr:rowOff>
    </xdr:from>
    <xdr:to>
      <xdr:col>177</xdr:col>
      <xdr:colOff>179614</xdr:colOff>
      <xdr:row>54</xdr:row>
      <xdr:rowOff>97971</xdr:rowOff>
    </xdr:to>
    <xdr:pic macro="[0]!progressweek">
      <xdr:nvPicPr>
        <xdr:cNvPr id="10" name="Picture 9">
          <a:extLst>
            <a:ext uri="{FF2B5EF4-FFF2-40B4-BE49-F238E27FC236}">
              <a16:creationId xmlns:a16="http://schemas.microsoft.com/office/drawing/2014/main" id="{B4011590-8FE7-429F-9F3D-A731411FD98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2422214" y="10042071"/>
          <a:ext cx="2628900" cy="6286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9</xdr:col>
      <xdr:colOff>1119186</xdr:colOff>
      <xdr:row>43</xdr:row>
      <xdr:rowOff>25400</xdr:rowOff>
    </xdr:from>
    <xdr:to>
      <xdr:col>18</xdr:col>
      <xdr:colOff>238124</xdr:colOff>
      <xdr:row>65</xdr:row>
      <xdr:rowOff>79375</xdr:rowOff>
    </xdr:to>
    <xdr:graphicFrame macro="">
      <xdr:nvGraphicFramePr>
        <xdr:cNvPr id="3" name="Chart 2">
          <a:extLst>
            <a:ext uri="{FF2B5EF4-FFF2-40B4-BE49-F238E27FC236}">
              <a16:creationId xmlns:a16="http://schemas.microsoft.com/office/drawing/2014/main" id="{A9E56E91-B58D-15D7-9467-9A353F25AA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148</xdr:col>
      <xdr:colOff>253999</xdr:colOff>
      <xdr:row>51</xdr:row>
      <xdr:rowOff>169334</xdr:rowOff>
    </xdr:from>
    <xdr:to>
      <xdr:col>151</xdr:col>
      <xdr:colOff>565149</xdr:colOff>
      <xdr:row>55</xdr:row>
      <xdr:rowOff>106892</xdr:rowOff>
    </xdr:to>
    <xdr:pic macro="[0]!starrtmenu">
      <xdr:nvPicPr>
        <xdr:cNvPr id="2" name="Picture 1">
          <a:extLst>
            <a:ext uri="{FF2B5EF4-FFF2-40B4-BE49-F238E27FC236}">
              <a16:creationId xmlns:a16="http://schemas.microsoft.com/office/drawing/2014/main" id="{0E1DE17B-CA0A-43E3-AE92-E87C74A7C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3999" y="4550834"/>
          <a:ext cx="2139950" cy="670983"/>
        </a:xfrm>
        <a:prstGeom prst="rect">
          <a:avLst/>
        </a:prstGeom>
      </xdr:spPr>
    </xdr:pic>
    <xdr:clientData/>
  </xdr:twoCellAnchor>
  <xdr:twoCellAnchor editAs="oneCell">
    <xdr:from>
      <xdr:col>152</xdr:col>
      <xdr:colOff>444500</xdr:colOff>
      <xdr:row>52</xdr:row>
      <xdr:rowOff>0</xdr:rowOff>
    </xdr:from>
    <xdr:to>
      <xdr:col>153</xdr:col>
      <xdr:colOff>581024</xdr:colOff>
      <xdr:row>55</xdr:row>
      <xdr:rowOff>107950</xdr:rowOff>
    </xdr:to>
    <xdr:pic macro="[0]!week1">
      <xdr:nvPicPr>
        <xdr:cNvPr id="4" name="Picture 3">
          <a:extLst>
            <a:ext uri="{FF2B5EF4-FFF2-40B4-BE49-F238E27FC236}">
              <a16:creationId xmlns:a16="http://schemas.microsoft.com/office/drawing/2014/main" id="{410BF435-2DB0-4070-B4AB-5DB5F5AC38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2900" y="4572000"/>
          <a:ext cx="1692275" cy="660400"/>
        </a:xfrm>
        <a:prstGeom prst="rect">
          <a:avLst/>
        </a:prstGeom>
      </xdr:spPr>
    </xdr:pic>
    <xdr:clientData/>
  </xdr:twoCellAnchor>
  <xdr:twoCellAnchor editAs="oneCell">
    <xdr:from>
      <xdr:col>156</xdr:col>
      <xdr:colOff>63500</xdr:colOff>
      <xdr:row>52</xdr:row>
      <xdr:rowOff>10582</xdr:rowOff>
    </xdr:from>
    <xdr:to>
      <xdr:col>158</xdr:col>
      <xdr:colOff>578908</xdr:colOff>
      <xdr:row>55</xdr:row>
      <xdr:rowOff>118532</xdr:rowOff>
    </xdr:to>
    <xdr:pic macro="[0]!week2">
      <xdr:nvPicPr>
        <xdr:cNvPr id="5" name="Picture 4">
          <a:extLst>
            <a:ext uri="{FF2B5EF4-FFF2-40B4-BE49-F238E27FC236}">
              <a16:creationId xmlns:a16="http://schemas.microsoft.com/office/drawing/2014/main" id="{2A11FE97-FB0F-4B19-9301-949A05E42F6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40300" y="4582582"/>
          <a:ext cx="1734609" cy="660400"/>
        </a:xfrm>
        <a:prstGeom prst="rect">
          <a:avLst/>
        </a:prstGeom>
      </xdr:spPr>
    </xdr:pic>
    <xdr:clientData/>
  </xdr:twoCellAnchor>
  <xdr:twoCellAnchor editAs="oneCell">
    <xdr:from>
      <xdr:col>162</xdr:col>
      <xdr:colOff>465666</xdr:colOff>
      <xdr:row>52</xdr:row>
      <xdr:rowOff>42333</xdr:rowOff>
    </xdr:from>
    <xdr:to>
      <xdr:col>165</xdr:col>
      <xdr:colOff>281515</xdr:colOff>
      <xdr:row>55</xdr:row>
      <xdr:rowOff>150283</xdr:rowOff>
    </xdr:to>
    <xdr:pic macro="[0]!week4">
      <xdr:nvPicPr>
        <xdr:cNvPr id="6" name="Picture 5">
          <a:extLst>
            <a:ext uri="{FF2B5EF4-FFF2-40B4-BE49-F238E27FC236}">
              <a16:creationId xmlns:a16="http://schemas.microsoft.com/office/drawing/2014/main" id="{812D91B8-FE0D-4F4E-859E-740D6FF2B62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000066" y="4614333"/>
          <a:ext cx="1730375" cy="660400"/>
        </a:xfrm>
        <a:prstGeom prst="rect">
          <a:avLst/>
        </a:prstGeom>
      </xdr:spPr>
    </xdr:pic>
    <xdr:clientData/>
  </xdr:twoCellAnchor>
  <xdr:twoCellAnchor editAs="oneCell">
    <xdr:from>
      <xdr:col>159</xdr:col>
      <xdr:colOff>306917</xdr:colOff>
      <xdr:row>52</xdr:row>
      <xdr:rowOff>42333</xdr:rowOff>
    </xdr:from>
    <xdr:to>
      <xdr:col>162</xdr:col>
      <xdr:colOff>198967</xdr:colOff>
      <xdr:row>55</xdr:row>
      <xdr:rowOff>150283</xdr:rowOff>
    </xdr:to>
    <xdr:pic macro="[0]!week3">
      <xdr:nvPicPr>
        <xdr:cNvPr id="7" name="Picture 6">
          <a:extLst>
            <a:ext uri="{FF2B5EF4-FFF2-40B4-BE49-F238E27FC236}">
              <a16:creationId xmlns:a16="http://schemas.microsoft.com/office/drawing/2014/main" id="{BDA34F3A-6C53-489B-8CF5-8323B86BF4A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012517" y="4614333"/>
          <a:ext cx="1720850" cy="660400"/>
        </a:xfrm>
        <a:prstGeom prst="rect">
          <a:avLst/>
        </a:prstGeom>
      </xdr:spPr>
    </xdr:pic>
    <xdr:clientData/>
  </xdr:twoCellAnchor>
  <xdr:twoCellAnchor editAs="oneCell">
    <xdr:from>
      <xdr:col>166</xdr:col>
      <xdr:colOff>95251</xdr:colOff>
      <xdr:row>52</xdr:row>
      <xdr:rowOff>74083</xdr:rowOff>
    </xdr:from>
    <xdr:to>
      <xdr:col>168</xdr:col>
      <xdr:colOff>515409</xdr:colOff>
      <xdr:row>56</xdr:row>
      <xdr:rowOff>1058</xdr:rowOff>
    </xdr:to>
    <xdr:pic macro="[0]!week5">
      <xdr:nvPicPr>
        <xdr:cNvPr id="8" name="Picture 7">
          <a:extLst>
            <a:ext uri="{FF2B5EF4-FFF2-40B4-BE49-F238E27FC236}">
              <a16:creationId xmlns:a16="http://schemas.microsoft.com/office/drawing/2014/main" id="{FBA016FE-0495-4294-8571-7B0B3EAFF88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068051" y="4646083"/>
          <a:ext cx="1725083" cy="660400"/>
        </a:xfrm>
        <a:prstGeom prst="rect">
          <a:avLst/>
        </a:prstGeom>
      </xdr:spPr>
    </xdr:pic>
    <xdr:clientData/>
  </xdr:twoCellAnchor>
  <xdr:twoCellAnchor editAs="oneCell">
    <xdr:from>
      <xdr:col>171</xdr:col>
      <xdr:colOff>0</xdr:colOff>
      <xdr:row>54</xdr:row>
      <xdr:rowOff>0</xdr:rowOff>
    </xdr:from>
    <xdr:to>
      <xdr:col>175</xdr:col>
      <xdr:colOff>152399</xdr:colOff>
      <xdr:row>57</xdr:row>
      <xdr:rowOff>57150</xdr:rowOff>
    </xdr:to>
    <xdr:pic macro="[0]!progressweek">
      <xdr:nvPicPr>
        <xdr:cNvPr id="11" name="Picture 10">
          <a:extLst>
            <a:ext uri="{FF2B5EF4-FFF2-40B4-BE49-F238E27FC236}">
              <a16:creationId xmlns:a16="http://schemas.microsoft.com/office/drawing/2014/main" id="{B2A472B7-AF97-4B5F-8C60-C5F21096987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3371313" y="10596563"/>
          <a:ext cx="2628900" cy="6286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13</xdr:col>
      <xdr:colOff>23811</xdr:colOff>
      <xdr:row>45</xdr:row>
      <xdr:rowOff>41274</xdr:rowOff>
    </xdr:from>
    <xdr:to>
      <xdr:col>24</xdr:col>
      <xdr:colOff>603249</xdr:colOff>
      <xdr:row>66</xdr:row>
      <xdr:rowOff>206374</xdr:rowOff>
    </xdr:to>
    <xdr:graphicFrame macro="">
      <xdr:nvGraphicFramePr>
        <xdr:cNvPr id="4" name="Chart 3">
          <a:extLst>
            <a:ext uri="{FF2B5EF4-FFF2-40B4-BE49-F238E27FC236}">
              <a16:creationId xmlns:a16="http://schemas.microsoft.com/office/drawing/2014/main" id="{65081D7B-21EA-2BB8-BE2B-E1D930261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164</xdr:col>
      <xdr:colOff>253999</xdr:colOff>
      <xdr:row>62</xdr:row>
      <xdr:rowOff>169334</xdr:rowOff>
    </xdr:from>
    <xdr:to>
      <xdr:col>167</xdr:col>
      <xdr:colOff>565149</xdr:colOff>
      <xdr:row>66</xdr:row>
      <xdr:rowOff>30692</xdr:rowOff>
    </xdr:to>
    <xdr:pic macro="[0]!starrtmenu">
      <xdr:nvPicPr>
        <xdr:cNvPr id="2" name="Picture 1">
          <a:extLst>
            <a:ext uri="{FF2B5EF4-FFF2-40B4-BE49-F238E27FC236}">
              <a16:creationId xmlns:a16="http://schemas.microsoft.com/office/drawing/2014/main" id="{61D6295E-67A4-47D6-9253-5935E6BB3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3999" y="4550834"/>
          <a:ext cx="2139950" cy="670983"/>
        </a:xfrm>
        <a:prstGeom prst="rect">
          <a:avLst/>
        </a:prstGeom>
      </xdr:spPr>
    </xdr:pic>
    <xdr:clientData/>
  </xdr:twoCellAnchor>
  <xdr:twoCellAnchor editAs="oneCell">
    <xdr:from>
      <xdr:col>168</xdr:col>
      <xdr:colOff>444500</xdr:colOff>
      <xdr:row>63</xdr:row>
      <xdr:rowOff>0</xdr:rowOff>
    </xdr:from>
    <xdr:to>
      <xdr:col>171</xdr:col>
      <xdr:colOff>307975</xdr:colOff>
      <xdr:row>66</xdr:row>
      <xdr:rowOff>60325</xdr:rowOff>
    </xdr:to>
    <xdr:pic macro="[0]!week1">
      <xdr:nvPicPr>
        <xdr:cNvPr id="3" name="Picture 2">
          <a:extLst>
            <a:ext uri="{FF2B5EF4-FFF2-40B4-BE49-F238E27FC236}">
              <a16:creationId xmlns:a16="http://schemas.microsoft.com/office/drawing/2014/main" id="{2A465B67-AF3E-4973-8CED-294F90AE3D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2900" y="4572000"/>
          <a:ext cx="1692275" cy="660400"/>
        </a:xfrm>
        <a:prstGeom prst="rect">
          <a:avLst/>
        </a:prstGeom>
      </xdr:spPr>
    </xdr:pic>
    <xdr:clientData/>
  </xdr:twoCellAnchor>
  <xdr:twoCellAnchor editAs="oneCell">
    <xdr:from>
      <xdr:col>172</xdr:col>
      <xdr:colOff>63500</xdr:colOff>
      <xdr:row>63</xdr:row>
      <xdr:rowOff>10582</xdr:rowOff>
    </xdr:from>
    <xdr:to>
      <xdr:col>174</xdr:col>
      <xdr:colOff>578909</xdr:colOff>
      <xdr:row>66</xdr:row>
      <xdr:rowOff>70907</xdr:rowOff>
    </xdr:to>
    <xdr:pic macro="[0]!week2">
      <xdr:nvPicPr>
        <xdr:cNvPr id="5" name="Picture 4">
          <a:extLst>
            <a:ext uri="{FF2B5EF4-FFF2-40B4-BE49-F238E27FC236}">
              <a16:creationId xmlns:a16="http://schemas.microsoft.com/office/drawing/2014/main" id="{1211E5DF-B486-40C6-84E2-DF8893E8295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40300" y="4582582"/>
          <a:ext cx="1734609" cy="660400"/>
        </a:xfrm>
        <a:prstGeom prst="rect">
          <a:avLst/>
        </a:prstGeom>
      </xdr:spPr>
    </xdr:pic>
    <xdr:clientData/>
  </xdr:twoCellAnchor>
  <xdr:twoCellAnchor editAs="oneCell">
    <xdr:from>
      <xdr:col>178</xdr:col>
      <xdr:colOff>465666</xdr:colOff>
      <xdr:row>63</xdr:row>
      <xdr:rowOff>42333</xdr:rowOff>
    </xdr:from>
    <xdr:to>
      <xdr:col>181</xdr:col>
      <xdr:colOff>367241</xdr:colOff>
      <xdr:row>66</xdr:row>
      <xdr:rowOff>102658</xdr:rowOff>
    </xdr:to>
    <xdr:pic macro="[0]!week4">
      <xdr:nvPicPr>
        <xdr:cNvPr id="6" name="Picture 5">
          <a:extLst>
            <a:ext uri="{FF2B5EF4-FFF2-40B4-BE49-F238E27FC236}">
              <a16:creationId xmlns:a16="http://schemas.microsoft.com/office/drawing/2014/main" id="{10A662E1-AE29-48E7-80D9-7A536EC34CA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000066" y="4614333"/>
          <a:ext cx="1730375" cy="660400"/>
        </a:xfrm>
        <a:prstGeom prst="rect">
          <a:avLst/>
        </a:prstGeom>
      </xdr:spPr>
    </xdr:pic>
    <xdr:clientData/>
  </xdr:twoCellAnchor>
  <xdr:twoCellAnchor editAs="oneCell">
    <xdr:from>
      <xdr:col>175</xdr:col>
      <xdr:colOff>306917</xdr:colOff>
      <xdr:row>63</xdr:row>
      <xdr:rowOff>42333</xdr:rowOff>
    </xdr:from>
    <xdr:to>
      <xdr:col>178</xdr:col>
      <xdr:colOff>198967</xdr:colOff>
      <xdr:row>66</xdr:row>
      <xdr:rowOff>102658</xdr:rowOff>
    </xdr:to>
    <xdr:pic macro="[0]!week3">
      <xdr:nvPicPr>
        <xdr:cNvPr id="7" name="Picture 6">
          <a:extLst>
            <a:ext uri="{FF2B5EF4-FFF2-40B4-BE49-F238E27FC236}">
              <a16:creationId xmlns:a16="http://schemas.microsoft.com/office/drawing/2014/main" id="{D8FEC040-9A5B-40F1-98B6-517BB6A2E79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012517" y="4614333"/>
          <a:ext cx="1720850" cy="660400"/>
        </a:xfrm>
        <a:prstGeom prst="rect">
          <a:avLst/>
        </a:prstGeom>
      </xdr:spPr>
    </xdr:pic>
    <xdr:clientData/>
  </xdr:twoCellAnchor>
  <xdr:twoCellAnchor editAs="oneCell">
    <xdr:from>
      <xdr:col>182</xdr:col>
      <xdr:colOff>95251</xdr:colOff>
      <xdr:row>63</xdr:row>
      <xdr:rowOff>74083</xdr:rowOff>
    </xdr:from>
    <xdr:to>
      <xdr:col>184</xdr:col>
      <xdr:colOff>601134</xdr:colOff>
      <xdr:row>66</xdr:row>
      <xdr:rowOff>134408</xdr:rowOff>
    </xdr:to>
    <xdr:pic macro="[0]!week5">
      <xdr:nvPicPr>
        <xdr:cNvPr id="8" name="Picture 7">
          <a:extLst>
            <a:ext uri="{FF2B5EF4-FFF2-40B4-BE49-F238E27FC236}">
              <a16:creationId xmlns:a16="http://schemas.microsoft.com/office/drawing/2014/main" id="{BDE4F37A-3AE8-49EB-ACA3-3893475D226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068051" y="4646083"/>
          <a:ext cx="1725083" cy="660400"/>
        </a:xfrm>
        <a:prstGeom prst="rect">
          <a:avLst/>
        </a:prstGeom>
      </xdr:spPr>
    </xdr:pic>
    <xdr:clientData/>
  </xdr:twoCellAnchor>
  <xdr:twoCellAnchor editAs="oneCell">
    <xdr:from>
      <xdr:col>185</xdr:col>
      <xdr:colOff>0</xdr:colOff>
      <xdr:row>64</xdr:row>
      <xdr:rowOff>0</xdr:rowOff>
    </xdr:from>
    <xdr:to>
      <xdr:col>189</xdr:col>
      <xdr:colOff>152400</xdr:colOff>
      <xdr:row>67</xdr:row>
      <xdr:rowOff>33337</xdr:rowOff>
    </xdr:to>
    <xdr:pic macro="[0]!progressweek">
      <xdr:nvPicPr>
        <xdr:cNvPr id="9" name="Picture 8">
          <a:extLst>
            <a:ext uri="{FF2B5EF4-FFF2-40B4-BE49-F238E27FC236}">
              <a16:creationId xmlns:a16="http://schemas.microsoft.com/office/drawing/2014/main" id="{0B160265-BAF9-414E-BA7D-417AB6E3C64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5490625" y="12668250"/>
          <a:ext cx="2628900" cy="6286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6</xdr:row>
      <xdr:rowOff>157691</xdr:rowOff>
    </xdr:from>
    <xdr:to>
      <xdr:col>7</xdr:col>
      <xdr:colOff>275167</xdr:colOff>
      <xdr:row>22</xdr:row>
      <xdr:rowOff>22224</xdr:rowOff>
    </xdr:to>
    <xdr:graphicFrame macro="">
      <xdr:nvGraphicFramePr>
        <xdr:cNvPr id="2" name="Chart 1">
          <a:extLst>
            <a:ext uri="{FF2B5EF4-FFF2-40B4-BE49-F238E27FC236}">
              <a16:creationId xmlns:a16="http://schemas.microsoft.com/office/drawing/2014/main" id="{9D27CCB2-C531-B730-7A7B-5901B3A94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15875</xdr:colOff>
      <xdr:row>6</xdr:row>
      <xdr:rowOff>157694</xdr:rowOff>
    </xdr:from>
    <xdr:to>
      <xdr:col>15</xdr:col>
      <xdr:colOff>291042</xdr:colOff>
      <xdr:row>22</xdr:row>
      <xdr:rowOff>22227</xdr:rowOff>
    </xdr:to>
    <xdr:graphicFrame macro="">
      <xdr:nvGraphicFramePr>
        <xdr:cNvPr id="3" name="Chart 2">
          <a:extLst>
            <a:ext uri="{FF2B5EF4-FFF2-40B4-BE49-F238E27FC236}">
              <a16:creationId xmlns:a16="http://schemas.microsoft.com/office/drawing/2014/main" id="{63BBCBE2-BBC3-1873-CDA8-5226E4D332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185209</xdr:colOff>
      <xdr:row>6</xdr:row>
      <xdr:rowOff>136524</xdr:rowOff>
    </xdr:from>
    <xdr:to>
      <xdr:col>24</xdr:col>
      <xdr:colOff>460376</xdr:colOff>
      <xdr:row>22</xdr:row>
      <xdr:rowOff>1057</xdr:rowOff>
    </xdr:to>
    <xdr:graphicFrame macro="">
      <xdr:nvGraphicFramePr>
        <xdr:cNvPr id="4" name="Chart 3">
          <a:extLst>
            <a:ext uri="{FF2B5EF4-FFF2-40B4-BE49-F238E27FC236}">
              <a16:creationId xmlns:a16="http://schemas.microsoft.com/office/drawing/2014/main" id="{3D747E60-796E-571C-5732-15350F39B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444501</xdr:colOff>
      <xdr:row>5</xdr:row>
      <xdr:rowOff>63499</xdr:rowOff>
    </xdr:from>
    <xdr:to>
      <xdr:col>29</xdr:col>
      <xdr:colOff>94192</xdr:colOff>
      <xdr:row>8</xdr:row>
      <xdr:rowOff>152399</xdr:rowOff>
    </xdr:to>
    <xdr:pic macro="[0]!datasheet">
      <xdr:nvPicPr>
        <xdr:cNvPr id="6" name="Picture 5">
          <a:extLst>
            <a:ext uri="{FF2B5EF4-FFF2-40B4-BE49-F238E27FC236}">
              <a16:creationId xmlns:a16="http://schemas.microsoft.com/office/drawing/2014/main" id="{2C7F22CC-596B-16E1-BBCB-0FD1B22E7CE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790334" y="963082"/>
          <a:ext cx="2105025" cy="628650"/>
        </a:xfrm>
        <a:prstGeom prst="rect">
          <a:avLst/>
        </a:prstGeom>
      </xdr:spPr>
    </xdr:pic>
    <xdr:clientData/>
  </xdr:twoCellAnchor>
  <xdr:twoCellAnchor editAs="oneCell">
    <xdr:from>
      <xdr:col>0</xdr:col>
      <xdr:colOff>253999</xdr:colOff>
      <xdr:row>23</xdr:row>
      <xdr:rowOff>169334</xdr:rowOff>
    </xdr:from>
    <xdr:to>
      <xdr:col>3</xdr:col>
      <xdr:colOff>565149</xdr:colOff>
      <xdr:row>27</xdr:row>
      <xdr:rowOff>78317</xdr:rowOff>
    </xdr:to>
    <xdr:pic macro="[0]!starrtmenu">
      <xdr:nvPicPr>
        <xdr:cNvPr id="10" name="Picture 9">
          <a:extLst>
            <a:ext uri="{FF2B5EF4-FFF2-40B4-BE49-F238E27FC236}">
              <a16:creationId xmlns:a16="http://schemas.microsoft.com/office/drawing/2014/main" id="{D42D9D2C-2E91-B095-CAAF-D123E3E4499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53999" y="4307417"/>
          <a:ext cx="2152650" cy="628650"/>
        </a:xfrm>
        <a:prstGeom prst="rect">
          <a:avLst/>
        </a:prstGeom>
      </xdr:spPr>
    </xdr:pic>
    <xdr:clientData/>
  </xdr:twoCellAnchor>
  <xdr:twoCellAnchor editAs="oneCell">
    <xdr:from>
      <xdr:col>4</xdr:col>
      <xdr:colOff>444500</xdr:colOff>
      <xdr:row>24</xdr:row>
      <xdr:rowOff>0</xdr:rowOff>
    </xdr:from>
    <xdr:to>
      <xdr:col>7</xdr:col>
      <xdr:colOff>307975</xdr:colOff>
      <xdr:row>27</xdr:row>
      <xdr:rowOff>88900</xdr:rowOff>
    </xdr:to>
    <xdr:pic macro="[0]!week1">
      <xdr:nvPicPr>
        <xdr:cNvPr id="13" name="Picture 12">
          <a:extLst>
            <a:ext uri="{FF2B5EF4-FFF2-40B4-BE49-F238E27FC236}">
              <a16:creationId xmlns:a16="http://schemas.microsoft.com/office/drawing/2014/main" id="{496998C2-0862-902C-6FE7-1CC92F57A92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899833" y="4318000"/>
          <a:ext cx="1704975" cy="628650"/>
        </a:xfrm>
        <a:prstGeom prst="rect">
          <a:avLst/>
        </a:prstGeom>
      </xdr:spPr>
    </xdr:pic>
    <xdr:clientData/>
  </xdr:twoCellAnchor>
  <xdr:twoCellAnchor editAs="oneCell">
    <xdr:from>
      <xdr:col>8</xdr:col>
      <xdr:colOff>63500</xdr:colOff>
      <xdr:row>24</xdr:row>
      <xdr:rowOff>10582</xdr:rowOff>
    </xdr:from>
    <xdr:to>
      <xdr:col>10</xdr:col>
      <xdr:colOff>578909</xdr:colOff>
      <xdr:row>27</xdr:row>
      <xdr:rowOff>99482</xdr:rowOff>
    </xdr:to>
    <xdr:pic macro="[0]!week2">
      <xdr:nvPicPr>
        <xdr:cNvPr id="17" name="Picture 16">
          <a:extLst>
            <a:ext uri="{FF2B5EF4-FFF2-40B4-BE49-F238E27FC236}">
              <a16:creationId xmlns:a16="http://schemas.microsoft.com/office/drawing/2014/main" id="{E20CAF00-F2A5-2AD1-26AC-F0F1AD0C8D9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974167" y="4328582"/>
          <a:ext cx="1743075" cy="628650"/>
        </a:xfrm>
        <a:prstGeom prst="rect">
          <a:avLst/>
        </a:prstGeom>
      </xdr:spPr>
    </xdr:pic>
    <xdr:clientData/>
  </xdr:twoCellAnchor>
  <xdr:twoCellAnchor editAs="oneCell">
    <xdr:from>
      <xdr:col>14</xdr:col>
      <xdr:colOff>465666</xdr:colOff>
      <xdr:row>24</xdr:row>
      <xdr:rowOff>42333</xdr:rowOff>
    </xdr:from>
    <xdr:to>
      <xdr:col>17</xdr:col>
      <xdr:colOff>367241</xdr:colOff>
      <xdr:row>27</xdr:row>
      <xdr:rowOff>131233</xdr:rowOff>
    </xdr:to>
    <xdr:pic macro="[0]!week4">
      <xdr:nvPicPr>
        <xdr:cNvPr id="19" name="Picture 18">
          <a:extLst>
            <a:ext uri="{FF2B5EF4-FFF2-40B4-BE49-F238E27FC236}">
              <a16:creationId xmlns:a16="http://schemas.microsoft.com/office/drawing/2014/main" id="{9B8C9E3A-9DC7-E5F2-823E-545E1BD7B2D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059333" y="4360333"/>
          <a:ext cx="1743075" cy="628650"/>
        </a:xfrm>
        <a:prstGeom prst="rect">
          <a:avLst/>
        </a:prstGeom>
      </xdr:spPr>
    </xdr:pic>
    <xdr:clientData/>
  </xdr:twoCellAnchor>
  <xdr:twoCellAnchor editAs="oneCell">
    <xdr:from>
      <xdr:col>11</xdr:col>
      <xdr:colOff>306917</xdr:colOff>
      <xdr:row>24</xdr:row>
      <xdr:rowOff>42333</xdr:rowOff>
    </xdr:from>
    <xdr:to>
      <xdr:col>14</xdr:col>
      <xdr:colOff>198967</xdr:colOff>
      <xdr:row>27</xdr:row>
      <xdr:rowOff>131233</xdr:rowOff>
    </xdr:to>
    <xdr:pic macro="[0]!week3">
      <xdr:nvPicPr>
        <xdr:cNvPr id="21" name="Picture 20">
          <a:extLst>
            <a:ext uri="{FF2B5EF4-FFF2-40B4-BE49-F238E27FC236}">
              <a16:creationId xmlns:a16="http://schemas.microsoft.com/office/drawing/2014/main" id="{62F5F4EE-F93E-345C-0E29-E6ED61AA0A3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059084" y="4360333"/>
          <a:ext cx="1733550" cy="628650"/>
        </a:xfrm>
        <a:prstGeom prst="rect">
          <a:avLst/>
        </a:prstGeom>
      </xdr:spPr>
    </xdr:pic>
    <xdr:clientData/>
  </xdr:twoCellAnchor>
  <xdr:twoCellAnchor editAs="oneCell">
    <xdr:from>
      <xdr:col>18</xdr:col>
      <xdr:colOff>95251</xdr:colOff>
      <xdr:row>24</xdr:row>
      <xdr:rowOff>74083</xdr:rowOff>
    </xdr:from>
    <xdr:to>
      <xdr:col>20</xdr:col>
      <xdr:colOff>601134</xdr:colOff>
      <xdr:row>27</xdr:row>
      <xdr:rowOff>162983</xdr:rowOff>
    </xdr:to>
    <xdr:pic macro="[0]!week5">
      <xdr:nvPicPr>
        <xdr:cNvPr id="27" name="Picture 26">
          <a:extLst>
            <a:ext uri="{FF2B5EF4-FFF2-40B4-BE49-F238E27FC236}">
              <a16:creationId xmlns:a16="http://schemas.microsoft.com/office/drawing/2014/main" id="{A3F66DFF-3D93-169B-7BE4-93F7E0B5CDF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144251" y="4392083"/>
          <a:ext cx="1733550" cy="628650"/>
        </a:xfrm>
        <a:prstGeom prst="rect">
          <a:avLst/>
        </a:prstGeom>
      </xdr:spPr>
    </xdr:pic>
    <xdr:clientData/>
  </xdr:twoCellAnchor>
  <xdr:twoCellAnchor editAs="oneCell">
    <xdr:from>
      <xdr:col>21</xdr:col>
      <xdr:colOff>317500</xdr:colOff>
      <xdr:row>24</xdr:row>
      <xdr:rowOff>111125</xdr:rowOff>
    </xdr:from>
    <xdr:to>
      <xdr:col>25</xdr:col>
      <xdr:colOff>533400</xdr:colOff>
      <xdr:row>27</xdr:row>
      <xdr:rowOff>168275</xdr:rowOff>
    </xdr:to>
    <xdr:pic macro="[0]!progressweek">
      <xdr:nvPicPr>
        <xdr:cNvPr id="7" name="Picture 6">
          <a:extLst>
            <a:ext uri="{FF2B5EF4-FFF2-40B4-BE49-F238E27FC236}">
              <a16:creationId xmlns:a16="http://schemas.microsoft.com/office/drawing/2014/main" id="{F9C1E8DC-127D-363B-411E-CF1FF24E2C4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2985750" y="4683125"/>
          <a:ext cx="2628900" cy="6286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779A1-0293-4610-A87A-54D4D32183F9}">
  <dimension ref="A1:AE38"/>
  <sheetViews>
    <sheetView topLeftCell="B1" zoomScale="50" zoomScaleNormal="50" workbookViewId="0">
      <selection activeCell="B40" sqref="B40"/>
    </sheetView>
  </sheetViews>
  <sheetFormatPr defaultRowHeight="14.5" x14ac:dyDescent="0.35"/>
  <cols>
    <col min="1" max="1" width="37.54296875" bestFit="1" customWidth="1"/>
    <col min="2" max="2" width="35.7265625" customWidth="1"/>
    <col min="3" max="3" width="21.7265625" customWidth="1"/>
    <col min="4" max="4" width="6.81640625" customWidth="1"/>
    <col min="5" max="5" width="30.54296875" customWidth="1"/>
    <col min="6" max="6" width="40.453125" customWidth="1"/>
    <col min="9" max="9" width="29.81640625" customWidth="1"/>
  </cols>
  <sheetData>
    <row r="1" spans="1:27" ht="15" customHeight="1" x14ac:dyDescent="0.35">
      <c r="A1" s="51" t="s">
        <v>0</v>
      </c>
      <c r="B1" s="52"/>
      <c r="C1" s="52"/>
      <c r="D1" s="52"/>
      <c r="E1" s="52"/>
      <c r="F1" s="52"/>
      <c r="G1" s="52"/>
      <c r="H1" s="52"/>
      <c r="I1" s="52"/>
      <c r="J1" s="52"/>
      <c r="K1" s="52"/>
      <c r="L1" s="52"/>
      <c r="M1" s="52"/>
      <c r="N1" s="52"/>
      <c r="O1" s="52"/>
      <c r="P1" s="52"/>
      <c r="Q1" s="52"/>
      <c r="R1" s="52"/>
      <c r="S1" s="52"/>
      <c r="T1" s="52"/>
      <c r="U1" s="52"/>
      <c r="V1" s="52"/>
      <c r="W1" s="52"/>
      <c r="X1" s="52"/>
      <c r="Y1" s="52"/>
      <c r="Z1" s="52"/>
      <c r="AA1" s="52"/>
    </row>
    <row r="2" spans="1:27" x14ac:dyDescent="0.35">
      <c r="A2" s="51"/>
      <c r="B2" s="52"/>
      <c r="C2" s="52"/>
      <c r="D2" s="52"/>
      <c r="E2" s="52"/>
      <c r="F2" s="52"/>
      <c r="G2" s="52"/>
      <c r="H2" s="52"/>
      <c r="I2" s="52"/>
      <c r="J2" s="52"/>
      <c r="K2" s="52"/>
      <c r="L2" s="52"/>
      <c r="M2" s="52"/>
      <c r="N2" s="52"/>
      <c r="O2" s="52"/>
      <c r="P2" s="52"/>
      <c r="Q2" s="52"/>
      <c r="R2" s="52"/>
      <c r="S2" s="52"/>
      <c r="T2" s="52"/>
      <c r="U2" s="52"/>
      <c r="V2" s="52"/>
      <c r="W2" s="52"/>
      <c r="X2" s="52"/>
      <c r="Y2" s="52"/>
      <c r="Z2" s="52"/>
      <c r="AA2" s="52"/>
    </row>
    <row r="3" spans="1:27" x14ac:dyDescent="0.35">
      <c r="A3" s="51"/>
      <c r="B3" s="52"/>
      <c r="C3" s="52"/>
      <c r="D3" s="52"/>
      <c r="E3" s="52"/>
      <c r="F3" s="52"/>
      <c r="G3" s="52"/>
      <c r="H3" s="52"/>
      <c r="I3" s="52"/>
      <c r="J3" s="52"/>
      <c r="K3" s="52"/>
      <c r="L3" s="52"/>
      <c r="M3" s="52"/>
      <c r="N3" s="52"/>
      <c r="O3" s="52"/>
      <c r="P3" s="52"/>
      <c r="Q3" s="52"/>
      <c r="R3" s="52"/>
      <c r="S3" s="52"/>
      <c r="T3" s="52"/>
      <c r="U3" s="52"/>
      <c r="V3" s="52"/>
      <c r="W3" s="52"/>
      <c r="X3" s="52"/>
      <c r="Y3" s="52"/>
      <c r="Z3" s="52"/>
      <c r="AA3" s="52"/>
    </row>
    <row r="4" spans="1:27" x14ac:dyDescent="0.35">
      <c r="A4" s="51"/>
      <c r="B4" s="52"/>
      <c r="C4" s="52"/>
      <c r="D4" s="52"/>
      <c r="E4" s="52"/>
      <c r="F4" s="52"/>
      <c r="G4" s="52"/>
      <c r="H4" s="52"/>
      <c r="I4" s="52"/>
      <c r="J4" s="52"/>
      <c r="K4" s="52"/>
      <c r="L4" s="52"/>
      <c r="M4" s="52"/>
      <c r="N4" s="52"/>
      <c r="O4" s="52"/>
      <c r="P4" s="52"/>
      <c r="Q4" s="52"/>
      <c r="R4" s="52"/>
      <c r="S4" s="52"/>
      <c r="T4" s="52"/>
      <c r="U4" s="52"/>
      <c r="V4" s="52"/>
      <c r="W4" s="52"/>
      <c r="X4" s="52"/>
      <c r="Y4" s="52"/>
      <c r="Z4" s="52"/>
      <c r="AA4" s="52"/>
    </row>
    <row r="5" spans="1:27" x14ac:dyDescent="0.35">
      <c r="A5" s="1"/>
      <c r="B5" s="1"/>
      <c r="C5" s="1"/>
      <c r="D5" s="1"/>
      <c r="E5" s="1"/>
      <c r="F5" s="1"/>
      <c r="G5" s="1"/>
      <c r="H5" s="1"/>
      <c r="I5" s="1"/>
      <c r="J5" s="1"/>
      <c r="K5" s="1"/>
      <c r="L5" s="1"/>
      <c r="M5" s="1"/>
      <c r="N5" s="1"/>
      <c r="O5" s="1"/>
      <c r="P5" s="1"/>
      <c r="Q5" s="2"/>
      <c r="R5" s="2"/>
      <c r="S5" s="2"/>
      <c r="T5" s="2"/>
      <c r="U5" s="2"/>
      <c r="V5" s="2"/>
      <c r="W5" s="2"/>
      <c r="X5" s="2"/>
      <c r="Y5" s="2"/>
      <c r="Z5" s="2"/>
      <c r="AA5" s="2"/>
    </row>
    <row r="6" spans="1:27" x14ac:dyDescent="0.35">
      <c r="A6" s="1"/>
      <c r="B6" s="1"/>
      <c r="C6" s="1"/>
      <c r="D6" s="1"/>
      <c r="E6" s="1"/>
      <c r="F6" s="1"/>
      <c r="G6" s="1"/>
      <c r="H6" s="1"/>
      <c r="I6" s="1"/>
      <c r="J6" s="1"/>
      <c r="K6" s="1"/>
      <c r="L6" s="1"/>
      <c r="M6" s="1"/>
      <c r="N6" s="1"/>
      <c r="O6" s="1"/>
      <c r="P6" s="1"/>
      <c r="Q6" s="2"/>
      <c r="R6" s="2"/>
      <c r="S6" s="2"/>
      <c r="T6" s="2"/>
      <c r="U6" s="2"/>
      <c r="V6" s="2"/>
      <c r="W6" s="2"/>
      <c r="X6" s="2"/>
      <c r="Y6" s="2"/>
      <c r="Z6" s="2"/>
      <c r="AA6" s="2"/>
    </row>
    <row r="7" spans="1:27" x14ac:dyDescent="0.35">
      <c r="A7" s="1"/>
      <c r="B7" s="1"/>
      <c r="C7" s="1"/>
      <c r="D7" s="1"/>
      <c r="E7" s="1"/>
      <c r="F7" s="1"/>
      <c r="G7" s="1"/>
      <c r="H7" s="1"/>
      <c r="I7" s="1"/>
      <c r="J7" s="1"/>
      <c r="K7" s="1"/>
      <c r="L7" s="1"/>
      <c r="M7" s="1"/>
      <c r="N7" s="1"/>
      <c r="O7" s="1"/>
      <c r="P7" s="1"/>
      <c r="Q7" s="2"/>
      <c r="R7" s="2"/>
      <c r="S7" s="2"/>
      <c r="T7" s="2"/>
      <c r="U7" s="2"/>
      <c r="V7" s="2"/>
      <c r="W7" s="2"/>
      <c r="X7" s="2"/>
      <c r="Y7" s="2"/>
      <c r="Z7" s="2"/>
      <c r="AA7" s="2"/>
    </row>
    <row r="8" spans="1:27" ht="15" thickBot="1" x14ac:dyDescent="0.4">
      <c r="A8" s="1"/>
      <c r="B8" s="1"/>
      <c r="C8" s="1"/>
      <c r="D8" s="1"/>
      <c r="E8" s="1"/>
      <c r="F8" s="1"/>
      <c r="G8" s="1"/>
      <c r="H8" s="1"/>
      <c r="I8" s="1"/>
      <c r="J8" s="1"/>
      <c r="K8" s="1"/>
      <c r="L8" s="1"/>
      <c r="M8" s="1"/>
      <c r="N8" s="1"/>
      <c r="O8" s="1"/>
      <c r="P8" s="1"/>
      <c r="Q8" s="2"/>
      <c r="R8" s="2"/>
      <c r="S8" s="2"/>
      <c r="T8" s="2"/>
      <c r="U8" s="2"/>
      <c r="V8" s="2"/>
      <c r="W8" s="2"/>
      <c r="X8" s="2"/>
      <c r="Y8" s="2"/>
      <c r="Z8" s="2"/>
      <c r="AA8" s="2"/>
    </row>
    <row r="9" spans="1:27" ht="15" customHeight="1" thickBot="1" x14ac:dyDescent="0.4">
      <c r="A9" s="53" t="s">
        <v>1</v>
      </c>
      <c r="B9" s="56" t="s">
        <v>2</v>
      </c>
      <c r="C9" s="9"/>
      <c r="D9" s="10"/>
      <c r="E9" s="10"/>
      <c r="F9" s="10"/>
      <c r="G9" s="10"/>
      <c r="H9" s="2"/>
      <c r="I9" s="2"/>
      <c r="J9" s="2"/>
      <c r="K9" s="2"/>
      <c r="L9" s="2"/>
      <c r="M9" s="2"/>
      <c r="N9" s="2"/>
      <c r="O9" s="2"/>
      <c r="P9" s="2"/>
      <c r="Q9" s="2"/>
      <c r="R9" s="2"/>
      <c r="S9" s="2"/>
      <c r="T9" s="2"/>
      <c r="U9" s="2"/>
      <c r="V9" s="2"/>
      <c r="W9" s="2"/>
      <c r="X9" s="2"/>
      <c r="Y9" s="2"/>
      <c r="Z9" s="2"/>
      <c r="AA9" s="2"/>
    </row>
    <row r="10" spans="1:27" ht="15" customHeight="1" x14ac:dyDescent="0.35">
      <c r="A10" s="54"/>
      <c r="B10" s="57"/>
      <c r="C10" s="9"/>
      <c r="D10" s="10"/>
      <c r="E10" s="53" t="s">
        <v>3</v>
      </c>
      <c r="F10" s="56" t="s">
        <v>4</v>
      </c>
      <c r="G10" s="10"/>
      <c r="H10" s="2"/>
      <c r="I10" s="53" t="s">
        <v>5</v>
      </c>
      <c r="J10" s="2"/>
      <c r="K10" s="2"/>
      <c r="L10" s="2"/>
      <c r="M10" s="2"/>
      <c r="N10" s="2"/>
      <c r="O10" s="2"/>
      <c r="P10" s="2"/>
      <c r="Q10" s="2"/>
      <c r="R10" s="2"/>
      <c r="S10" s="2"/>
      <c r="T10" s="2"/>
      <c r="U10" s="2"/>
      <c r="V10" s="2"/>
      <c r="W10" s="2"/>
      <c r="X10" s="2"/>
      <c r="Y10" s="2"/>
      <c r="Z10" s="2"/>
      <c r="AA10" s="2"/>
    </row>
    <row r="11" spans="1:27" ht="15" customHeight="1" x14ac:dyDescent="0.35">
      <c r="A11" s="55"/>
      <c r="B11" s="58"/>
      <c r="C11" s="9"/>
      <c r="D11" s="10"/>
      <c r="E11" s="54"/>
      <c r="F11" s="57"/>
      <c r="G11" s="10"/>
      <c r="H11" s="2"/>
      <c r="I11" s="54"/>
      <c r="J11" s="2"/>
      <c r="K11" s="2"/>
      <c r="L11" s="2"/>
      <c r="M11" s="2"/>
      <c r="N11" s="2"/>
      <c r="O11" s="2"/>
      <c r="P11" s="2"/>
      <c r="Q11" s="2"/>
      <c r="R11" s="2"/>
      <c r="S11" s="2"/>
      <c r="T11" s="2"/>
      <c r="U11" s="2"/>
      <c r="V11" s="2"/>
      <c r="W11" s="2"/>
      <c r="X11" s="2"/>
      <c r="Y11" s="2"/>
      <c r="Z11" s="2"/>
      <c r="AA11" s="2"/>
    </row>
    <row r="12" spans="1:27" ht="18.75" customHeight="1" thickBot="1" x14ac:dyDescent="0.4">
      <c r="A12" s="3" t="s">
        <v>6</v>
      </c>
      <c r="B12" s="4">
        <v>310</v>
      </c>
      <c r="C12" s="2"/>
      <c r="D12" s="2"/>
      <c r="E12" s="55"/>
      <c r="F12" s="58"/>
      <c r="G12" s="2"/>
      <c r="H12" s="2"/>
      <c r="I12" s="59"/>
      <c r="J12" s="2"/>
      <c r="K12" s="2"/>
      <c r="L12" s="2"/>
      <c r="M12" s="2"/>
      <c r="N12" s="2"/>
      <c r="O12" s="2"/>
      <c r="P12" s="2"/>
      <c r="Q12" s="2"/>
      <c r="R12" s="2"/>
      <c r="S12" s="2"/>
      <c r="T12" s="2"/>
      <c r="U12" s="2"/>
      <c r="V12" s="2"/>
      <c r="W12" s="2"/>
      <c r="X12" s="2"/>
      <c r="Y12" s="2"/>
      <c r="Z12" s="2"/>
      <c r="AA12" s="2"/>
    </row>
    <row r="13" spans="1:27" ht="35" x14ac:dyDescent="0.35">
      <c r="A13" s="3" t="s">
        <v>7</v>
      </c>
      <c r="B13" s="4">
        <v>265</v>
      </c>
      <c r="C13" s="2"/>
      <c r="D13" s="2"/>
      <c r="E13" s="3" t="s">
        <v>8</v>
      </c>
      <c r="F13" s="8">
        <v>5.5</v>
      </c>
      <c r="G13" s="2"/>
      <c r="H13" s="2"/>
      <c r="I13" s="5">
        <v>0</v>
      </c>
      <c r="J13" s="2"/>
      <c r="K13" s="2"/>
      <c r="L13" s="2"/>
      <c r="M13" s="2"/>
      <c r="N13" s="2"/>
      <c r="O13" s="2"/>
      <c r="P13" s="2"/>
      <c r="Q13" s="2"/>
      <c r="R13" s="2"/>
      <c r="S13" s="2"/>
      <c r="T13" s="2"/>
      <c r="U13" s="2"/>
      <c r="V13" s="2"/>
      <c r="W13" s="2"/>
      <c r="X13" s="2"/>
      <c r="Y13" s="2"/>
      <c r="Z13" s="2"/>
      <c r="AA13" s="2"/>
    </row>
    <row r="14" spans="1:27" ht="17.5" x14ac:dyDescent="0.35">
      <c r="A14" s="3" t="s">
        <v>9</v>
      </c>
      <c r="B14" s="4">
        <v>340</v>
      </c>
      <c r="C14" s="2"/>
      <c r="D14" s="2"/>
      <c r="E14" s="3" t="s">
        <v>10</v>
      </c>
      <c r="F14" s="8">
        <v>8</v>
      </c>
      <c r="G14" s="2"/>
      <c r="H14" s="2"/>
      <c r="I14" s="8">
        <v>0.25</v>
      </c>
      <c r="J14" s="2"/>
      <c r="K14" s="2"/>
      <c r="L14" s="2"/>
      <c r="M14" s="2"/>
      <c r="N14" s="2"/>
      <c r="O14" s="2"/>
      <c r="P14" s="2"/>
      <c r="Q14" s="2"/>
      <c r="R14" s="2"/>
      <c r="S14" s="2"/>
      <c r="T14" s="2"/>
      <c r="U14" s="2"/>
      <c r="V14" s="2"/>
      <c r="W14" s="2"/>
      <c r="X14" s="2"/>
      <c r="Y14" s="2"/>
      <c r="Z14" s="2"/>
      <c r="AA14" s="2"/>
    </row>
    <row r="15" spans="1:27" ht="35" x14ac:dyDescent="0.35">
      <c r="A15" s="3" t="s">
        <v>11</v>
      </c>
      <c r="B15" s="4">
        <v>300</v>
      </c>
      <c r="C15" s="2"/>
      <c r="D15" s="2"/>
      <c r="E15" s="3" t="s">
        <v>12</v>
      </c>
      <c r="F15" s="8">
        <v>4</v>
      </c>
      <c r="G15" s="2"/>
      <c r="H15" s="2"/>
      <c r="I15" s="8">
        <v>0.5</v>
      </c>
      <c r="J15" s="2"/>
      <c r="K15" s="2"/>
      <c r="L15" s="2"/>
      <c r="M15" s="2"/>
      <c r="N15" s="2"/>
      <c r="O15" s="2"/>
      <c r="P15" s="2"/>
      <c r="Q15" s="2"/>
      <c r="R15" s="2"/>
      <c r="S15" s="2"/>
      <c r="T15" s="2"/>
      <c r="U15" s="2"/>
      <c r="V15" s="2"/>
      <c r="W15" s="2"/>
      <c r="X15" s="2"/>
      <c r="Y15" s="2"/>
      <c r="Z15" s="2"/>
      <c r="AA15" s="2"/>
    </row>
    <row r="16" spans="1:27" ht="17.5" x14ac:dyDescent="0.35">
      <c r="A16" s="3" t="s">
        <v>13</v>
      </c>
      <c r="B16" s="4">
        <v>250</v>
      </c>
      <c r="C16" s="2"/>
      <c r="D16" s="2"/>
      <c r="E16" s="3" t="s">
        <v>14</v>
      </c>
      <c r="F16" s="8">
        <v>9.8000000000000007</v>
      </c>
      <c r="G16" s="2"/>
      <c r="H16" s="2"/>
      <c r="I16" s="8">
        <v>0.75</v>
      </c>
      <c r="J16" s="2"/>
      <c r="K16" s="2"/>
      <c r="L16" s="2"/>
      <c r="M16" s="2"/>
      <c r="N16" s="2"/>
      <c r="O16" s="2"/>
      <c r="P16" s="2"/>
      <c r="Q16" s="2"/>
      <c r="R16" s="2"/>
      <c r="S16" s="2"/>
      <c r="T16" s="2"/>
      <c r="U16" s="2"/>
      <c r="V16" s="2"/>
      <c r="W16" s="2"/>
      <c r="X16" s="2"/>
      <c r="Y16" s="2"/>
      <c r="Z16" s="2"/>
      <c r="AA16" s="2"/>
    </row>
    <row r="17" spans="1:31" ht="28.5" x14ac:dyDescent="0.65">
      <c r="A17" s="6" t="s">
        <v>15</v>
      </c>
      <c r="B17" s="7" t="s">
        <v>16</v>
      </c>
      <c r="C17" s="2"/>
      <c r="D17" s="2"/>
      <c r="E17" s="3" t="s">
        <v>17</v>
      </c>
      <c r="F17" s="8">
        <v>6</v>
      </c>
      <c r="G17" s="2"/>
      <c r="H17" s="2"/>
      <c r="I17" s="8">
        <v>1</v>
      </c>
      <c r="J17" s="2"/>
      <c r="K17" s="2"/>
      <c r="L17" s="2"/>
      <c r="M17" s="2"/>
      <c r="N17" s="2"/>
      <c r="O17" s="2"/>
      <c r="P17" s="2"/>
      <c r="Q17" s="2"/>
      <c r="R17" s="2"/>
      <c r="S17" s="2"/>
      <c r="T17" s="2"/>
      <c r="U17" s="2"/>
      <c r="V17" s="2"/>
      <c r="W17" s="2"/>
      <c r="X17" s="2"/>
      <c r="Y17" s="2"/>
      <c r="Z17" s="2"/>
      <c r="AA17" s="2"/>
    </row>
    <row r="18" spans="1:31" ht="35" x14ac:dyDescent="0.35">
      <c r="A18" s="3" t="s">
        <v>18</v>
      </c>
      <c r="B18" s="8">
        <v>350</v>
      </c>
      <c r="C18" s="2"/>
      <c r="D18" s="2"/>
      <c r="E18" s="3" t="s">
        <v>19</v>
      </c>
      <c r="F18" s="8">
        <v>2.5</v>
      </c>
      <c r="G18" s="2"/>
      <c r="H18" s="2"/>
      <c r="I18" s="8">
        <v>1.25</v>
      </c>
      <c r="J18" s="2"/>
      <c r="K18" s="2"/>
      <c r="L18" s="2"/>
      <c r="M18" s="2"/>
      <c r="N18" s="2"/>
      <c r="O18" s="2"/>
      <c r="P18" s="2"/>
      <c r="Q18" s="2"/>
      <c r="R18" s="2"/>
      <c r="S18" s="2"/>
      <c r="T18" s="2"/>
      <c r="U18" s="2"/>
      <c r="V18" s="2"/>
      <c r="W18" s="2"/>
      <c r="X18" s="2"/>
      <c r="Y18" s="2"/>
      <c r="Z18" s="2"/>
      <c r="AA18" s="2"/>
    </row>
    <row r="19" spans="1:31" ht="35" x14ac:dyDescent="0.35">
      <c r="A19" s="3" t="s">
        <v>20</v>
      </c>
      <c r="B19" s="8">
        <v>400</v>
      </c>
      <c r="C19" s="2"/>
      <c r="D19" s="2"/>
      <c r="E19" s="3" t="s">
        <v>21</v>
      </c>
      <c r="F19" s="8">
        <v>10</v>
      </c>
      <c r="G19" s="2"/>
      <c r="H19" s="2"/>
      <c r="I19" s="8">
        <v>1.5</v>
      </c>
      <c r="J19" s="2"/>
      <c r="K19" s="2"/>
      <c r="L19" s="2"/>
      <c r="M19" s="2"/>
      <c r="N19" s="2"/>
      <c r="O19" s="2"/>
      <c r="P19" s="2"/>
      <c r="Q19" s="2"/>
      <c r="R19" s="2"/>
      <c r="S19" s="2"/>
      <c r="T19" s="2"/>
      <c r="U19" s="2"/>
      <c r="V19" s="2"/>
      <c r="W19" s="2"/>
      <c r="X19" s="2"/>
      <c r="Y19" s="2"/>
      <c r="Z19" s="2"/>
      <c r="AA19" s="2"/>
    </row>
    <row r="20" spans="1:31" ht="35" x14ac:dyDescent="0.35">
      <c r="A20" s="3" t="s">
        <v>22</v>
      </c>
      <c r="B20" s="8">
        <v>450</v>
      </c>
      <c r="C20" s="2"/>
      <c r="D20" s="2"/>
      <c r="E20" s="3" t="s">
        <v>23</v>
      </c>
      <c r="F20" s="8">
        <v>4.8</v>
      </c>
      <c r="G20" s="2"/>
      <c r="H20" s="2"/>
      <c r="I20" s="8">
        <v>2</v>
      </c>
      <c r="J20" s="2"/>
      <c r="K20" s="2"/>
      <c r="L20" s="2"/>
      <c r="M20" s="2"/>
      <c r="N20" s="2"/>
      <c r="O20" s="2"/>
      <c r="P20" s="2"/>
      <c r="Q20" s="2"/>
      <c r="R20" s="2"/>
      <c r="S20" s="2"/>
      <c r="T20" s="2"/>
      <c r="U20" s="2"/>
      <c r="V20" s="2"/>
      <c r="W20" s="2"/>
      <c r="X20" s="2"/>
      <c r="Y20" s="2"/>
      <c r="Z20" s="2"/>
      <c r="AA20" s="2"/>
    </row>
    <row r="21" spans="1:31" ht="35" x14ac:dyDescent="0.35">
      <c r="A21" s="3" t="s">
        <v>24</v>
      </c>
      <c r="B21" s="8">
        <v>400</v>
      </c>
      <c r="C21" s="2"/>
      <c r="D21" s="2"/>
      <c r="E21" s="3" t="s">
        <v>25</v>
      </c>
      <c r="F21" s="8">
        <v>6</v>
      </c>
      <c r="G21" s="2"/>
      <c r="H21" s="2"/>
      <c r="I21" s="2"/>
      <c r="J21" s="2"/>
      <c r="K21" s="2"/>
      <c r="L21" s="2"/>
      <c r="M21" s="2"/>
      <c r="N21" s="2"/>
      <c r="O21" s="2"/>
      <c r="P21" s="2"/>
      <c r="Q21" s="2"/>
      <c r="R21" s="2"/>
      <c r="S21" s="2"/>
      <c r="T21" s="2"/>
      <c r="U21" s="2"/>
      <c r="V21" s="2"/>
      <c r="W21" s="2"/>
      <c r="X21" s="2"/>
      <c r="Y21" s="2"/>
      <c r="Z21" s="2"/>
      <c r="AA21" s="2"/>
    </row>
    <row r="22" spans="1:31" ht="35" x14ac:dyDescent="0.35">
      <c r="A22" s="3" t="s">
        <v>26</v>
      </c>
      <c r="B22" s="8">
        <v>350</v>
      </c>
      <c r="C22" s="2"/>
      <c r="D22" s="2"/>
      <c r="E22" s="2"/>
      <c r="F22" s="2"/>
      <c r="G22" s="2"/>
      <c r="H22" s="2"/>
      <c r="I22" s="2"/>
      <c r="J22" s="2"/>
      <c r="K22" s="2"/>
      <c r="L22" s="2"/>
      <c r="M22" s="2"/>
      <c r="N22" s="2"/>
      <c r="O22" s="2"/>
      <c r="P22" s="2"/>
      <c r="Q22" s="2"/>
      <c r="R22" s="2"/>
      <c r="S22" s="2"/>
      <c r="T22" s="2"/>
      <c r="U22" s="2"/>
      <c r="V22" s="2"/>
      <c r="W22" s="2"/>
      <c r="X22" s="2"/>
      <c r="Y22" s="2"/>
      <c r="Z22" s="2"/>
      <c r="AA22" s="2"/>
    </row>
    <row r="23" spans="1:31" ht="28.5" x14ac:dyDescent="0.65">
      <c r="A23" s="6" t="s">
        <v>27</v>
      </c>
      <c r="B23" s="7" t="s">
        <v>16</v>
      </c>
      <c r="C23" s="2"/>
      <c r="D23" s="2"/>
      <c r="E23" s="2"/>
      <c r="F23" s="2"/>
      <c r="G23" s="2"/>
      <c r="H23" s="2"/>
      <c r="I23" s="2"/>
      <c r="J23" s="2"/>
      <c r="K23" s="2"/>
      <c r="L23" s="2"/>
      <c r="M23" s="2"/>
      <c r="N23" s="2"/>
      <c r="O23" s="2"/>
      <c r="P23" s="2"/>
      <c r="Q23" s="2"/>
      <c r="R23" s="2"/>
      <c r="S23" s="2"/>
      <c r="T23" s="2"/>
      <c r="U23" s="2"/>
      <c r="V23" s="2"/>
      <c r="W23" s="2"/>
      <c r="X23" s="2"/>
      <c r="Y23" s="2"/>
      <c r="Z23" s="2"/>
      <c r="AA23" s="2"/>
    </row>
    <row r="24" spans="1:31" ht="35" x14ac:dyDescent="0.35">
      <c r="A24" s="3" t="s">
        <v>28</v>
      </c>
      <c r="B24" s="15">
        <v>450</v>
      </c>
      <c r="C24" s="2"/>
      <c r="D24" s="2"/>
      <c r="E24" s="2"/>
      <c r="F24" s="2"/>
      <c r="G24" s="2"/>
      <c r="H24" s="2"/>
      <c r="I24" s="2"/>
      <c r="J24" s="2"/>
      <c r="K24" s="2"/>
      <c r="L24" s="2"/>
      <c r="M24" s="2"/>
      <c r="N24" s="2"/>
      <c r="O24" s="2"/>
      <c r="P24" s="2"/>
      <c r="Q24" s="2"/>
      <c r="R24" s="2"/>
      <c r="S24" s="2"/>
      <c r="T24" s="2"/>
      <c r="U24" s="2"/>
      <c r="V24" s="2"/>
      <c r="W24" s="2"/>
      <c r="X24" s="2"/>
      <c r="Y24" s="2"/>
      <c r="Z24" s="2"/>
      <c r="AA24" s="2"/>
    </row>
    <row r="25" spans="1:31" ht="17.5" x14ac:dyDescent="0.35">
      <c r="A25" s="3" t="s">
        <v>29</v>
      </c>
      <c r="B25" s="15">
        <v>500</v>
      </c>
      <c r="C25" s="2"/>
      <c r="D25" s="2"/>
      <c r="E25" s="2"/>
      <c r="F25" s="2"/>
      <c r="G25" s="2"/>
      <c r="H25" s="2"/>
      <c r="I25" s="2"/>
      <c r="J25" s="2"/>
      <c r="K25" s="2"/>
      <c r="L25" s="2"/>
      <c r="M25" s="2"/>
      <c r="N25" s="2"/>
      <c r="O25" s="2"/>
      <c r="P25" s="2"/>
      <c r="Q25" s="2"/>
      <c r="R25" s="2"/>
      <c r="S25" s="2"/>
      <c r="T25" s="2"/>
      <c r="U25" s="2"/>
      <c r="V25" s="2"/>
      <c r="W25" s="2"/>
      <c r="X25" s="2"/>
      <c r="Y25" s="2"/>
      <c r="Z25" s="2"/>
      <c r="AA25" s="2"/>
    </row>
    <row r="26" spans="1:31" ht="35" x14ac:dyDescent="0.35">
      <c r="A26" s="3" t="s">
        <v>30</v>
      </c>
      <c r="B26" s="15">
        <v>480</v>
      </c>
      <c r="C26" s="2"/>
      <c r="D26" s="2"/>
      <c r="E26" s="2"/>
      <c r="F26" s="2"/>
      <c r="G26" s="2"/>
      <c r="H26" s="2"/>
      <c r="I26" s="2"/>
      <c r="J26" s="2"/>
      <c r="K26" s="2"/>
      <c r="L26" s="2"/>
      <c r="M26" s="2"/>
      <c r="N26" s="2"/>
      <c r="O26" s="2"/>
      <c r="P26" s="2"/>
      <c r="Q26" s="2"/>
      <c r="R26" s="2"/>
      <c r="S26" s="2"/>
      <c r="T26" s="2"/>
      <c r="U26" s="2"/>
      <c r="V26" s="2"/>
      <c r="W26" s="2"/>
      <c r="X26" s="2"/>
      <c r="Y26" s="2"/>
      <c r="Z26" s="2"/>
      <c r="AA26" s="2"/>
    </row>
    <row r="27" spans="1:31" ht="35" x14ac:dyDescent="0.35">
      <c r="A27" s="3" t="s">
        <v>31</v>
      </c>
      <c r="B27" s="15">
        <v>470</v>
      </c>
      <c r="C27" s="2"/>
      <c r="D27" s="2"/>
      <c r="E27" s="2"/>
      <c r="F27" s="2"/>
      <c r="G27" s="2"/>
      <c r="H27" s="2"/>
      <c r="I27" s="2"/>
      <c r="J27" s="2"/>
      <c r="K27" s="2"/>
      <c r="L27" s="2"/>
      <c r="M27" s="2"/>
      <c r="N27" s="2"/>
      <c r="O27" s="2"/>
      <c r="P27" s="2"/>
      <c r="Q27" s="2"/>
      <c r="R27" s="2"/>
      <c r="S27" s="2"/>
      <c r="T27" s="2"/>
      <c r="U27" s="2"/>
      <c r="V27" s="2"/>
      <c r="W27" s="2"/>
      <c r="X27" s="2"/>
      <c r="Y27" s="2"/>
      <c r="Z27" s="2"/>
      <c r="AA27" s="2"/>
    </row>
    <row r="28" spans="1:31" ht="35" x14ac:dyDescent="0.35">
      <c r="A28" s="3" t="s">
        <v>32</v>
      </c>
      <c r="B28" s="15">
        <v>520</v>
      </c>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row>
    <row r="29" spans="1:3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row>
    <row r="30" spans="1:3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row>
    <row r="31" spans="1:3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row>
    <row r="32" spans="1:3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row>
    <row r="33" spans="1:3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row>
    <row r="34" spans="1:3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3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3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3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3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row>
  </sheetData>
  <mergeCells count="6">
    <mergeCell ref="A1:AA4"/>
    <mergeCell ref="A9:A11"/>
    <mergeCell ref="B9:B11"/>
    <mergeCell ref="E10:E12"/>
    <mergeCell ref="F10:F12"/>
    <mergeCell ref="I10:I1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A8BC2-01B4-4CBE-B747-72B76E0D83C5}">
  <dimension ref="A1:AF42"/>
  <sheetViews>
    <sheetView zoomScale="70" zoomScaleNormal="70" workbookViewId="0">
      <selection activeCell="E14" sqref="E14"/>
    </sheetView>
  </sheetViews>
  <sheetFormatPr defaultRowHeight="14.5" x14ac:dyDescent="0.35"/>
  <cols>
    <col min="8" max="8" width="15.453125" customWidth="1"/>
  </cols>
  <sheetData>
    <row r="1" spans="1:32" ht="15" customHeight="1" x14ac:dyDescent="0.35">
      <c r="A1" s="60" t="s">
        <v>33</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row>
    <row r="2" spans="1:32" x14ac:dyDescent="0.35">
      <c r="A2" s="60"/>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spans="1:32" x14ac:dyDescent="0.35">
      <c r="A3" s="60"/>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spans="1:32" x14ac:dyDescent="0.35">
      <c r="A4" s="60"/>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spans="1:32" x14ac:dyDescent="0.3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2" x14ac:dyDescent="0.3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ht="15" thickBot="1" x14ac:dyDescent="0.4">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row>
    <row r="8" spans="1:32" ht="15" customHeight="1" x14ac:dyDescent="0.35">
      <c r="A8" s="67" t="s">
        <v>34</v>
      </c>
      <c r="B8" s="68"/>
      <c r="C8" s="68"/>
      <c r="D8" s="68"/>
      <c r="E8" s="68"/>
      <c r="F8" s="68"/>
      <c r="G8" s="68"/>
      <c r="H8" s="68"/>
      <c r="I8" s="68"/>
      <c r="J8" s="69"/>
      <c r="K8" s="2"/>
      <c r="L8" s="2"/>
      <c r="M8" s="2"/>
      <c r="N8" s="2"/>
      <c r="O8" s="2"/>
      <c r="P8" s="2"/>
      <c r="Q8" s="2"/>
      <c r="R8" s="2"/>
      <c r="S8" s="2"/>
      <c r="T8" s="2"/>
      <c r="U8" s="2"/>
      <c r="V8" s="2"/>
      <c r="W8" s="2"/>
      <c r="X8" s="2"/>
      <c r="Y8" s="2"/>
      <c r="Z8" s="2"/>
      <c r="AA8" s="2"/>
      <c r="AB8" s="2"/>
      <c r="AC8" s="2"/>
      <c r="AD8" s="2"/>
      <c r="AE8" s="2"/>
      <c r="AF8" s="2"/>
    </row>
    <row r="9" spans="1:32" x14ac:dyDescent="0.35">
      <c r="A9" s="70"/>
      <c r="B9" s="71"/>
      <c r="C9" s="71"/>
      <c r="D9" s="71"/>
      <c r="E9" s="71"/>
      <c r="F9" s="71"/>
      <c r="G9" s="71"/>
      <c r="H9" s="71"/>
      <c r="I9" s="71"/>
      <c r="J9" s="72"/>
      <c r="K9" s="2"/>
      <c r="L9" s="2"/>
      <c r="M9" s="2"/>
      <c r="N9" s="2"/>
      <c r="O9" s="2"/>
      <c r="P9" s="2"/>
      <c r="Q9" s="2"/>
      <c r="R9" s="2"/>
      <c r="S9" s="2"/>
      <c r="T9" s="2"/>
      <c r="U9" s="2"/>
      <c r="V9" s="2"/>
      <c r="W9" s="2"/>
      <c r="X9" s="2"/>
      <c r="Y9" s="2"/>
      <c r="Z9" s="2"/>
      <c r="AA9" s="2"/>
      <c r="AB9" s="2"/>
      <c r="AC9" s="2"/>
      <c r="AD9" s="2"/>
      <c r="AE9" s="2"/>
      <c r="AF9" s="2"/>
    </row>
    <row r="10" spans="1:32" ht="15" thickBot="1" x14ac:dyDescent="0.4">
      <c r="A10" s="65" t="s">
        <v>35</v>
      </c>
      <c r="B10" s="66"/>
      <c r="C10" s="66"/>
      <c r="D10" s="66"/>
      <c r="E10" s="12">
        <v>151</v>
      </c>
      <c r="F10" s="11"/>
      <c r="G10" s="73" t="s">
        <v>36</v>
      </c>
      <c r="H10" s="66"/>
      <c r="I10" s="74">
        <f>CONVERT(E10,"lbm","kg")</f>
        <v>68.492447870000007</v>
      </c>
      <c r="J10" s="75"/>
      <c r="K10" s="2"/>
      <c r="L10" s="2"/>
      <c r="M10" s="2"/>
      <c r="N10" s="2"/>
      <c r="O10" s="2"/>
      <c r="P10" s="2"/>
      <c r="Q10" s="2"/>
      <c r="R10" s="2"/>
      <c r="S10" s="2"/>
      <c r="T10" s="2"/>
      <c r="U10" s="2"/>
      <c r="V10" s="2"/>
      <c r="W10" s="2"/>
      <c r="X10" s="2"/>
      <c r="Y10" s="2"/>
      <c r="Z10" s="2"/>
      <c r="AA10" s="2"/>
      <c r="AB10" s="2"/>
      <c r="AC10" s="2"/>
      <c r="AD10" s="2"/>
      <c r="AE10" s="2"/>
      <c r="AF10" s="2"/>
    </row>
    <row r="11" spans="1:32"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row>
    <row r="12" spans="1:32"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row>
    <row r="13" spans="1:32" ht="15" thickBot="1" x14ac:dyDescent="0.4">
      <c r="A13" s="2"/>
      <c r="B13" s="2"/>
      <c r="C13" s="2"/>
      <c r="D13" s="2"/>
      <c r="E13" s="2"/>
      <c r="F13" s="2"/>
      <c r="K13" s="2"/>
      <c r="L13" s="2"/>
      <c r="M13" s="2"/>
      <c r="N13" s="2"/>
      <c r="O13" s="2"/>
      <c r="P13" s="2"/>
      <c r="Q13" s="2"/>
      <c r="R13" s="2"/>
      <c r="S13" s="2"/>
      <c r="T13" s="2"/>
      <c r="U13" s="2"/>
      <c r="V13" s="2"/>
      <c r="W13" s="2"/>
      <c r="X13" s="2"/>
      <c r="Y13" s="2"/>
      <c r="Z13" s="2"/>
      <c r="AA13" s="2"/>
      <c r="AB13" s="2"/>
      <c r="AC13" s="2"/>
      <c r="AD13" s="2"/>
      <c r="AE13" s="2"/>
      <c r="AF13" s="2"/>
    </row>
    <row r="14" spans="1:32" ht="15" thickBot="1" x14ac:dyDescent="0.4">
      <c r="A14" s="62" t="s">
        <v>37</v>
      </c>
      <c r="B14" s="63"/>
      <c r="C14" s="63"/>
      <c r="D14" s="63"/>
      <c r="E14" s="14">
        <v>2</v>
      </c>
      <c r="F14" s="2"/>
      <c r="K14" s="2"/>
      <c r="L14" s="2"/>
      <c r="M14" s="2"/>
      <c r="N14" s="2"/>
      <c r="O14" s="2"/>
      <c r="P14" s="2"/>
      <c r="Q14" s="2"/>
      <c r="R14" s="2"/>
      <c r="S14" s="2"/>
      <c r="T14" s="2"/>
      <c r="U14" s="2"/>
      <c r="V14" s="2"/>
      <c r="W14" s="2"/>
      <c r="X14" s="2"/>
      <c r="Y14" s="2"/>
      <c r="Z14" s="2"/>
      <c r="AA14" s="2"/>
      <c r="AB14" s="2"/>
      <c r="AC14" s="2"/>
      <c r="AD14" s="2"/>
      <c r="AE14" s="2"/>
      <c r="AF14" s="2"/>
    </row>
    <row r="15" spans="1:32" ht="15" thickBot="1" x14ac:dyDescent="0.4">
      <c r="A15" s="62" t="s">
        <v>38</v>
      </c>
      <c r="B15" s="63"/>
      <c r="C15" s="63"/>
      <c r="D15" s="64"/>
      <c r="E15" s="13">
        <v>200</v>
      </c>
      <c r="F15" s="2"/>
      <c r="K15" s="2"/>
      <c r="L15" s="2"/>
      <c r="M15" s="2"/>
      <c r="N15" s="2"/>
      <c r="O15" s="2"/>
      <c r="P15" s="2"/>
      <c r="Q15" s="2"/>
      <c r="R15" s="2"/>
      <c r="S15" s="2"/>
      <c r="T15" s="2"/>
      <c r="U15" s="2"/>
      <c r="V15" s="2"/>
      <c r="W15" s="2"/>
      <c r="X15" s="2"/>
      <c r="Y15" s="2"/>
      <c r="Z15" s="2"/>
      <c r="AA15" s="2"/>
      <c r="AB15" s="2"/>
      <c r="AC15" s="2"/>
      <c r="AD15" s="2"/>
      <c r="AE15" s="2"/>
      <c r="AF15" s="2"/>
    </row>
    <row r="16" spans="1:32" ht="15" thickBot="1" x14ac:dyDescent="0.4">
      <c r="A16" s="62" t="s">
        <v>39</v>
      </c>
      <c r="B16" s="63"/>
      <c r="C16" s="63"/>
      <c r="D16" s="64"/>
      <c r="E16" s="13">
        <f>weightKG0/(HeightMeters*HeightMeters)</f>
        <v>50</v>
      </c>
      <c r="F16" s="2"/>
      <c r="K16" s="2"/>
      <c r="L16" s="2"/>
      <c r="M16" s="2"/>
      <c r="N16" s="2"/>
      <c r="O16" s="2"/>
      <c r="P16" s="2"/>
      <c r="Q16" s="2"/>
      <c r="R16" s="2"/>
      <c r="S16" s="2"/>
      <c r="T16" s="2"/>
      <c r="U16" s="2"/>
      <c r="V16" s="2"/>
      <c r="W16" s="2"/>
      <c r="X16" s="2"/>
      <c r="Y16" s="2"/>
      <c r="Z16" s="2"/>
      <c r="AA16" s="2"/>
      <c r="AB16" s="2"/>
      <c r="AC16" s="2"/>
      <c r="AD16" s="2"/>
      <c r="AE16" s="2"/>
      <c r="AF16" s="2"/>
    </row>
    <row r="17" spans="1:32" x14ac:dyDescent="0.3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row>
    <row r="18" spans="1:32" x14ac:dyDescent="0.3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row>
    <row r="19" spans="1:32" x14ac:dyDescent="0.3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row>
    <row r="20" spans="1:32" x14ac:dyDescent="0.3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row>
    <row r="21" spans="1:32" x14ac:dyDescent="0.3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row>
    <row r="22" spans="1:32" x14ac:dyDescent="0.3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row>
    <row r="23" spans="1:32" x14ac:dyDescent="0.3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row>
    <row r="24" spans="1:32" x14ac:dyDescent="0.3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row>
    <row r="25" spans="1:32" x14ac:dyDescent="0.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row>
    <row r="27" spans="1:32" x14ac:dyDescent="0.3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row>
    <row r="28" spans="1:32" x14ac:dyDescent="0.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row>
    <row r="29" spans="1:32"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row>
    <row r="30" spans="1:32" x14ac:dyDescent="0.3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row>
    <row r="31" spans="1:32"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row>
    <row r="32" spans="1:32"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row>
    <row r="33" spans="1:32"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row>
    <row r="34" spans="1:32"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row>
    <row r="35" spans="1:32"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row>
    <row r="36" spans="1:32"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row>
    <row r="37" spans="1:32"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row>
    <row r="38" spans="1:32"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row>
    <row r="40" spans="1:32" x14ac:dyDescent="0.3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row>
    <row r="41" spans="1:32" x14ac:dyDescent="0.3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row>
    <row r="42" spans="1:32" x14ac:dyDescent="0.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row>
  </sheetData>
  <mergeCells count="8">
    <mergeCell ref="A1:AF4"/>
    <mergeCell ref="A14:D14"/>
    <mergeCell ref="A15:D15"/>
    <mergeCell ref="A16:D16"/>
    <mergeCell ref="A10:D10"/>
    <mergeCell ref="A8:J9"/>
    <mergeCell ref="G10:H10"/>
    <mergeCell ref="I10:J10"/>
  </mergeCells>
  <dataValidations count="3">
    <dataValidation type="decimal" allowBlank="1" showInputMessage="1" showErrorMessage="1" errorTitle="Error" error="please ensure the correct values from 0 to 1400" prompt="Please enter your weight between 0 and 150" sqref="E10" xr:uid="{12D3E71B-5817-4257-BDE9-42AFCFD03F62}">
      <formula1>0</formula1>
      <formula2>1400</formula2>
    </dataValidation>
    <dataValidation type="decimal" allowBlank="1" showInputMessage="1" showErrorMessage="1" errorTitle="Error" error="please ensure the right height" sqref="E14" xr:uid="{D506C16F-BDE8-430C-B8E1-B206BB044476}">
      <formula1>0</formula1>
      <formula2>4.5</formula2>
    </dataValidation>
    <dataValidation type="decimal" allowBlank="1" showInputMessage="1" showErrorMessage="1" errorTitle="error" error="Please ensure the right weight between 50 and 250" sqref="E15" xr:uid="{9E358D09-5832-4E33-966E-E330FEC2BD76}">
      <formula1>50</formula1>
      <formula2>250</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961F6-ABDF-4D0C-8993-34E3699B80A8}">
  <dimension ref="A1:FS78"/>
  <sheetViews>
    <sheetView showGridLines="0" tabSelected="1" topLeftCell="ED1" zoomScale="40" zoomScaleNormal="40" zoomScaleSheetLayoutView="30" workbookViewId="0">
      <selection activeCell="FG13" sqref="FG13"/>
    </sheetView>
  </sheetViews>
  <sheetFormatPr defaultRowHeight="14.5" x14ac:dyDescent="0.35"/>
  <cols>
    <col min="3" max="3" width="38" customWidth="1"/>
    <col min="4" max="4" width="22" customWidth="1"/>
    <col min="5" max="5" width="31.453125" customWidth="1"/>
    <col min="6" max="6" width="24.7265625" customWidth="1"/>
    <col min="8" max="8" width="7.81640625" customWidth="1"/>
    <col min="9" max="9" width="21.54296875" customWidth="1"/>
    <col min="10" max="10" width="6.1796875" customWidth="1"/>
    <col min="11" max="11" width="11.1796875" customWidth="1"/>
    <col min="12" max="12" width="16.453125" customWidth="1"/>
    <col min="13" max="13" width="9.26953125" bestFit="1" customWidth="1"/>
    <col min="14" max="14" width="23.453125" customWidth="1"/>
    <col min="15" max="15" width="13" bestFit="1" customWidth="1"/>
    <col min="16" max="17" width="14.54296875" customWidth="1"/>
    <col min="18" max="18" width="13.7265625" customWidth="1"/>
    <col min="28" max="28" width="37.81640625" customWidth="1"/>
    <col min="29" max="29" width="25.7265625" customWidth="1"/>
    <col min="30" max="30" width="27.453125" customWidth="1"/>
    <col min="31" max="31" width="13.81640625" customWidth="1"/>
    <col min="35" max="35" width="25.1796875" customWidth="1"/>
    <col min="36" max="36" width="9.26953125" bestFit="1" customWidth="1"/>
    <col min="37" max="37" width="17.54296875" customWidth="1"/>
    <col min="38" max="38" width="9.26953125" bestFit="1" customWidth="1"/>
    <col min="40" max="40" width="13" bestFit="1" customWidth="1"/>
    <col min="41" max="41" width="16.81640625" customWidth="1"/>
    <col min="42" max="42" width="13" bestFit="1" customWidth="1"/>
    <col min="43" max="43" width="32.1796875" customWidth="1"/>
    <col min="53" max="53" width="40.54296875" customWidth="1"/>
    <col min="54" max="54" width="28.1796875" customWidth="1"/>
    <col min="55" max="55" width="23.81640625" customWidth="1"/>
    <col min="56" max="56" width="21.453125" customWidth="1"/>
    <col min="60" max="60" width="20.54296875" customWidth="1"/>
    <col min="61" max="61" width="9.26953125" bestFit="1" customWidth="1"/>
    <col min="63" max="63" width="9.26953125" bestFit="1" customWidth="1"/>
    <col min="64" max="64" width="12.453125" customWidth="1"/>
    <col min="65" max="65" width="13" bestFit="1" customWidth="1"/>
    <col min="67" max="67" width="15.1796875" customWidth="1"/>
    <col min="78" max="78" width="37.81640625" customWidth="1"/>
    <col min="79" max="79" width="20.26953125" customWidth="1"/>
    <col min="80" max="80" width="31.7265625" customWidth="1"/>
    <col min="81" max="81" width="17.54296875" customWidth="1"/>
    <col min="86" max="86" width="9.26953125" bestFit="1" customWidth="1"/>
    <col min="88" max="88" width="9.26953125" bestFit="1" customWidth="1"/>
    <col min="90" max="90" width="13" bestFit="1" customWidth="1"/>
    <col min="92" max="92" width="13" bestFit="1" customWidth="1"/>
    <col min="103" max="103" width="42.453125" customWidth="1"/>
    <col min="104" max="104" width="14.1796875" bestFit="1" customWidth="1"/>
    <col min="105" max="105" width="27.1796875" customWidth="1"/>
    <col min="106" max="106" width="16.81640625" customWidth="1"/>
    <col min="110" max="110" width="16.26953125" customWidth="1"/>
    <col min="111" max="111" width="9.26953125" bestFit="1" customWidth="1"/>
    <col min="112" max="112" width="18.453125" customWidth="1"/>
    <col min="113" max="113" width="9.26953125" bestFit="1" customWidth="1"/>
    <col min="114" max="114" width="16.26953125" customWidth="1"/>
    <col min="115" max="115" width="13" bestFit="1" customWidth="1"/>
    <col min="117" max="117" width="13" bestFit="1" customWidth="1"/>
    <col min="118" max="118" width="16.26953125" customWidth="1"/>
    <col min="127" max="127" width="7.54296875" customWidth="1"/>
    <col min="128" max="128" width="33.54296875" customWidth="1"/>
    <col min="129" max="129" width="24.7265625" customWidth="1"/>
    <col min="130" max="130" width="28.1796875" customWidth="1"/>
    <col min="131" max="131" width="16" customWidth="1"/>
    <col min="135" max="135" width="16.54296875" customWidth="1"/>
    <col min="136" max="136" width="9.26953125" bestFit="1" customWidth="1"/>
    <col min="138" max="138" width="9.26953125" bestFit="1" customWidth="1"/>
    <col min="140" max="140" width="13" bestFit="1" customWidth="1"/>
    <col min="142" max="142" width="13" bestFit="1" customWidth="1"/>
    <col min="152" max="152" width="15.7265625" customWidth="1"/>
    <col min="153" max="153" width="31.1796875" customWidth="1"/>
    <col min="154" max="154" width="14.1796875" bestFit="1" customWidth="1"/>
    <col min="155" max="155" width="23.81640625" customWidth="1"/>
    <col min="156" max="156" width="19" customWidth="1"/>
    <col min="157" max="157" width="17.81640625" customWidth="1"/>
    <col min="161" max="161" width="9.26953125" bestFit="1" customWidth="1"/>
    <col min="163" max="163" width="9.26953125" bestFit="1" customWidth="1"/>
    <col min="165" max="165" width="13" bestFit="1" customWidth="1"/>
    <col min="167" max="167" width="13" bestFit="1" customWidth="1"/>
  </cols>
  <sheetData>
    <row r="1" spans="1:175" x14ac:dyDescent="0.35">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c r="FJ1" s="23"/>
      <c r="FK1" s="23"/>
      <c r="FL1" s="23"/>
      <c r="FM1" s="23"/>
      <c r="FN1" s="23"/>
      <c r="FO1" s="23"/>
      <c r="FP1" s="23"/>
      <c r="FQ1" s="23"/>
      <c r="FR1" s="23"/>
      <c r="FS1" s="23"/>
    </row>
    <row r="2" spans="1:175" ht="15" thickBot="1" x14ac:dyDescent="0.4">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row>
    <row r="3" spans="1:175" x14ac:dyDescent="0.35">
      <c r="A3" s="23"/>
      <c r="B3" s="82" t="s">
        <v>40</v>
      </c>
      <c r="C3" s="83"/>
      <c r="D3" s="86">
        <f>weightKG0</f>
        <v>200</v>
      </c>
      <c r="E3" s="23"/>
      <c r="F3" s="23"/>
      <c r="G3" s="23"/>
      <c r="H3" s="23"/>
      <c r="I3" s="23"/>
      <c r="J3" s="23"/>
      <c r="K3" s="23"/>
      <c r="L3" s="23"/>
      <c r="M3" s="23"/>
      <c r="N3" s="23"/>
      <c r="O3" s="23"/>
      <c r="P3" s="23"/>
      <c r="Q3" s="23"/>
      <c r="R3" s="23"/>
      <c r="S3" s="23"/>
      <c r="T3" s="23"/>
      <c r="U3" s="23"/>
      <c r="V3" s="23"/>
      <c r="W3" s="23"/>
      <c r="X3" s="23"/>
      <c r="Y3" s="23"/>
      <c r="Z3" s="23"/>
      <c r="AA3" s="82" t="s">
        <v>40</v>
      </c>
      <c r="AB3" s="83"/>
      <c r="AC3" s="86">
        <f>weightKG0</f>
        <v>200</v>
      </c>
      <c r="AD3" s="23"/>
      <c r="AE3" s="23"/>
      <c r="AF3" s="23"/>
      <c r="AG3" s="23"/>
      <c r="AH3" s="23"/>
      <c r="AI3" s="23"/>
      <c r="AJ3" s="23"/>
      <c r="AK3" s="23"/>
      <c r="AL3" s="23"/>
      <c r="AM3" s="23"/>
      <c r="AN3" s="23"/>
      <c r="AO3" s="23"/>
      <c r="AP3" s="23"/>
      <c r="AQ3" s="23"/>
      <c r="AR3" s="23"/>
      <c r="AS3" s="23"/>
      <c r="AT3" s="23"/>
      <c r="AU3" s="23"/>
      <c r="AV3" s="23"/>
      <c r="AW3" s="23"/>
      <c r="AX3" s="23"/>
      <c r="AY3" s="23"/>
      <c r="AZ3" s="82" t="s">
        <v>40</v>
      </c>
      <c r="BA3" s="83"/>
      <c r="BB3" s="86">
        <f>weightKG0</f>
        <v>200</v>
      </c>
      <c r="BC3" s="23"/>
      <c r="BD3" s="23"/>
      <c r="BE3" s="23"/>
      <c r="BF3" s="23"/>
      <c r="BG3" s="23"/>
      <c r="BH3" s="23"/>
      <c r="BI3" s="23"/>
      <c r="BJ3" s="23"/>
      <c r="BK3" s="23"/>
      <c r="BL3" s="23"/>
      <c r="BM3" s="23"/>
      <c r="BN3" s="23"/>
      <c r="BO3" s="23"/>
      <c r="BP3" s="23"/>
      <c r="BQ3" s="23"/>
      <c r="BR3" s="23"/>
      <c r="BS3" s="23"/>
      <c r="BT3" s="23"/>
      <c r="BU3" s="23"/>
      <c r="BV3" s="23"/>
      <c r="BW3" s="23"/>
      <c r="BX3" s="23"/>
      <c r="BY3" s="82" t="s">
        <v>40</v>
      </c>
      <c r="BZ3" s="83"/>
      <c r="CA3" s="86">
        <f>weightKG0</f>
        <v>200</v>
      </c>
      <c r="CB3" s="23"/>
      <c r="CC3" s="23"/>
      <c r="CD3" s="23"/>
      <c r="CE3" s="23"/>
      <c r="CF3" s="23"/>
      <c r="CG3" s="23"/>
      <c r="CH3" s="23"/>
      <c r="CI3" s="23"/>
      <c r="CJ3" s="23"/>
      <c r="CK3" s="23"/>
      <c r="CL3" s="23"/>
      <c r="CM3" s="23"/>
      <c r="CN3" s="23"/>
      <c r="CO3" s="23"/>
      <c r="CP3" s="23"/>
      <c r="CQ3" s="23"/>
      <c r="CR3" s="23"/>
      <c r="CS3" s="23"/>
      <c r="CT3" s="23"/>
      <c r="CU3" s="23"/>
      <c r="CV3" s="23"/>
      <c r="CW3" s="23"/>
      <c r="CX3" s="82" t="s">
        <v>40</v>
      </c>
      <c r="CY3" s="83"/>
      <c r="CZ3" s="86">
        <f>weightKG0</f>
        <v>200</v>
      </c>
      <c r="DA3" s="23"/>
      <c r="DB3" s="23"/>
      <c r="DC3" s="23"/>
      <c r="DD3" s="23"/>
      <c r="DE3" s="23"/>
      <c r="DF3" s="23"/>
      <c r="DG3" s="23"/>
      <c r="DH3" s="23"/>
      <c r="DI3" s="23"/>
      <c r="DJ3" s="23"/>
      <c r="DK3" s="23"/>
      <c r="DL3" s="23"/>
      <c r="DM3" s="23"/>
      <c r="DN3" s="23"/>
      <c r="DO3" s="23"/>
      <c r="DP3" s="23"/>
      <c r="DQ3" s="23"/>
      <c r="DR3" s="23"/>
      <c r="DS3" s="23"/>
      <c r="DT3" s="23"/>
      <c r="DU3" s="23"/>
      <c r="DV3" s="23"/>
      <c r="DW3" s="82" t="s">
        <v>40</v>
      </c>
      <c r="DX3" s="83"/>
      <c r="DY3" s="86">
        <f>weightKG0</f>
        <v>200</v>
      </c>
      <c r="DZ3" s="23"/>
      <c r="EA3" s="23"/>
      <c r="EB3" s="23"/>
      <c r="EC3" s="23"/>
      <c r="ED3" s="23"/>
      <c r="EE3" s="23"/>
      <c r="EF3" s="23"/>
      <c r="EG3" s="23"/>
      <c r="EH3" s="23"/>
      <c r="EI3" s="23"/>
      <c r="EJ3" s="23"/>
      <c r="EK3" s="23"/>
      <c r="EL3" s="23"/>
      <c r="EM3" s="23"/>
      <c r="EN3" s="23"/>
      <c r="EO3" s="23"/>
      <c r="EP3" s="23"/>
      <c r="EQ3" s="23"/>
      <c r="ER3" s="23"/>
      <c r="ES3" s="23"/>
      <c r="ET3" s="23"/>
      <c r="EU3" s="23"/>
      <c r="EV3" s="82" t="s">
        <v>40</v>
      </c>
      <c r="EW3" s="83"/>
      <c r="EX3" s="86">
        <f>weightKG0</f>
        <v>200</v>
      </c>
      <c r="EY3" s="23"/>
      <c r="EZ3" s="23"/>
      <c r="FA3" s="23"/>
      <c r="FB3" s="23"/>
      <c r="FC3" s="23"/>
      <c r="FD3" s="23"/>
      <c r="FE3" s="23"/>
      <c r="FF3" s="23"/>
      <c r="FG3" s="23"/>
      <c r="FH3" s="23"/>
      <c r="FI3" s="23"/>
      <c r="FJ3" s="23"/>
      <c r="FK3" s="23"/>
      <c r="FL3" s="23"/>
      <c r="FM3" s="23"/>
      <c r="FN3" s="23"/>
      <c r="FO3" s="23"/>
      <c r="FP3" s="23"/>
      <c r="FQ3" s="23"/>
      <c r="FR3" s="23"/>
      <c r="FS3" s="23"/>
    </row>
    <row r="4" spans="1:175" ht="15" thickBot="1" x14ac:dyDescent="0.4">
      <c r="A4" s="23"/>
      <c r="B4" s="84"/>
      <c r="C4" s="85"/>
      <c r="D4" s="87"/>
      <c r="E4" s="23"/>
      <c r="F4" s="23"/>
      <c r="G4" s="23"/>
      <c r="H4" s="23"/>
      <c r="I4" s="23"/>
      <c r="J4" s="23"/>
      <c r="K4" s="23"/>
      <c r="L4" s="23"/>
      <c r="M4" s="23"/>
      <c r="N4" s="23"/>
      <c r="O4" s="23"/>
      <c r="P4" s="23"/>
      <c r="Q4" s="23"/>
      <c r="R4" s="23"/>
      <c r="S4" s="23"/>
      <c r="T4" s="23"/>
      <c r="U4" s="23"/>
      <c r="V4" s="23"/>
      <c r="W4" s="23"/>
      <c r="X4" s="23"/>
      <c r="Y4" s="23"/>
      <c r="Z4" s="23"/>
      <c r="AA4" s="84"/>
      <c r="AB4" s="85"/>
      <c r="AC4" s="87"/>
      <c r="AD4" s="23"/>
      <c r="AE4" s="23"/>
      <c r="AF4" s="23"/>
      <c r="AG4" s="23"/>
      <c r="AH4" s="23"/>
      <c r="AI4" s="23"/>
      <c r="AJ4" s="23"/>
      <c r="AK4" s="23"/>
      <c r="AL4" s="23"/>
      <c r="AM4" s="23"/>
      <c r="AN4" s="23"/>
      <c r="AO4" s="23"/>
      <c r="AP4" s="23"/>
      <c r="AQ4" s="23"/>
      <c r="AR4" s="23"/>
      <c r="AS4" s="23"/>
      <c r="AT4" s="23"/>
      <c r="AU4" s="23"/>
      <c r="AV4" s="23"/>
      <c r="AW4" s="23"/>
      <c r="AX4" s="23"/>
      <c r="AY4" s="23"/>
      <c r="AZ4" s="84"/>
      <c r="BA4" s="85"/>
      <c r="BB4" s="87"/>
      <c r="BC4" s="23"/>
      <c r="BD4" s="23"/>
      <c r="BE4" s="23"/>
      <c r="BF4" s="23"/>
      <c r="BG4" s="23"/>
      <c r="BH4" s="23"/>
      <c r="BI4" s="23"/>
      <c r="BJ4" s="23"/>
      <c r="BK4" s="23"/>
      <c r="BL4" s="23"/>
      <c r="BM4" s="23"/>
      <c r="BN4" s="23"/>
      <c r="BO4" s="23"/>
      <c r="BP4" s="23"/>
      <c r="BQ4" s="23"/>
      <c r="BR4" s="23"/>
      <c r="BS4" s="23"/>
      <c r="BT4" s="23"/>
      <c r="BU4" s="23"/>
      <c r="BV4" s="23"/>
      <c r="BW4" s="23"/>
      <c r="BX4" s="23"/>
      <c r="BY4" s="84"/>
      <c r="BZ4" s="85"/>
      <c r="CA4" s="87"/>
      <c r="CB4" s="23"/>
      <c r="CC4" s="23"/>
      <c r="CD4" s="23"/>
      <c r="CE4" s="23"/>
      <c r="CF4" s="23"/>
      <c r="CG4" s="23"/>
      <c r="CH4" s="23"/>
      <c r="CI4" s="23"/>
      <c r="CJ4" s="23"/>
      <c r="CK4" s="23"/>
      <c r="CL4" s="23"/>
      <c r="CM4" s="23"/>
      <c r="CN4" s="23"/>
      <c r="CO4" s="23"/>
      <c r="CP4" s="23"/>
      <c r="CQ4" s="23"/>
      <c r="CR4" s="23"/>
      <c r="CS4" s="23"/>
      <c r="CT4" s="23"/>
      <c r="CU4" s="23"/>
      <c r="CV4" s="23"/>
      <c r="CW4" s="23"/>
      <c r="CX4" s="84"/>
      <c r="CY4" s="85"/>
      <c r="CZ4" s="87"/>
      <c r="DA4" s="23"/>
      <c r="DB4" s="23"/>
      <c r="DC4" s="23"/>
      <c r="DD4" s="23"/>
      <c r="DE4" s="23"/>
      <c r="DF4" s="23"/>
      <c r="DG4" s="23"/>
      <c r="DH4" s="23"/>
      <c r="DI4" s="23"/>
      <c r="DJ4" s="23"/>
      <c r="DK4" s="23"/>
      <c r="DL4" s="23"/>
      <c r="DM4" s="23"/>
      <c r="DN4" s="23"/>
      <c r="DO4" s="23"/>
      <c r="DP4" s="23"/>
      <c r="DQ4" s="23"/>
      <c r="DR4" s="23"/>
      <c r="DS4" s="23"/>
      <c r="DT4" s="23"/>
      <c r="DU4" s="23"/>
      <c r="DV4" s="23"/>
      <c r="DW4" s="84"/>
      <c r="DX4" s="85"/>
      <c r="DY4" s="87"/>
      <c r="DZ4" s="23"/>
      <c r="EA4" s="23"/>
      <c r="EB4" s="23"/>
      <c r="EC4" s="23"/>
      <c r="ED4" s="23"/>
      <c r="EE4" s="23"/>
      <c r="EF4" s="23"/>
      <c r="EG4" s="23"/>
      <c r="EH4" s="23"/>
      <c r="EI4" s="23"/>
      <c r="EJ4" s="23"/>
      <c r="EK4" s="23"/>
      <c r="EL4" s="23"/>
      <c r="EM4" s="23"/>
      <c r="EN4" s="23"/>
      <c r="EO4" s="23"/>
      <c r="EP4" s="23"/>
      <c r="EQ4" s="23"/>
      <c r="ER4" s="23"/>
      <c r="ES4" s="23"/>
      <c r="ET4" s="23"/>
      <c r="EU4" s="23"/>
      <c r="EV4" s="84"/>
      <c r="EW4" s="85"/>
      <c r="EX4" s="87"/>
      <c r="EY4" s="23"/>
      <c r="EZ4" s="23"/>
      <c r="FA4" s="23"/>
      <c r="FB4" s="23"/>
      <c r="FC4" s="23"/>
      <c r="FD4" s="23"/>
      <c r="FE4" s="23"/>
      <c r="FF4" s="23"/>
      <c r="FG4" s="23"/>
      <c r="FH4" s="23"/>
      <c r="FI4" s="23"/>
      <c r="FJ4" s="23"/>
      <c r="FK4" s="23"/>
      <c r="FL4" s="23"/>
      <c r="FM4" s="23"/>
      <c r="FN4" s="23"/>
      <c r="FO4" s="23"/>
      <c r="FP4" s="23"/>
      <c r="FQ4" s="23"/>
      <c r="FR4" s="23"/>
      <c r="FS4" s="23"/>
    </row>
    <row r="5" spans="1:175" ht="14.5" customHeight="1" x14ac:dyDescent="0.35">
      <c r="A5" s="23"/>
      <c r="B5" s="23"/>
      <c r="C5" s="23"/>
      <c r="D5" s="23"/>
      <c r="E5" s="23"/>
      <c r="F5" s="23"/>
      <c r="G5" s="25"/>
      <c r="H5" s="26"/>
      <c r="I5" s="26"/>
      <c r="J5" s="26"/>
      <c r="K5" s="23"/>
      <c r="L5" s="23"/>
      <c r="M5" s="23"/>
      <c r="N5" s="23"/>
      <c r="O5" s="23"/>
      <c r="P5" s="23"/>
      <c r="Q5" s="23"/>
      <c r="R5" s="23"/>
      <c r="S5" s="23"/>
      <c r="T5" s="23"/>
      <c r="U5" s="23"/>
      <c r="V5" s="23"/>
      <c r="W5" s="23"/>
      <c r="X5" s="23"/>
      <c r="Y5" s="23"/>
      <c r="Z5" s="23"/>
      <c r="AA5" s="23"/>
      <c r="AB5" s="23"/>
      <c r="AC5" s="23"/>
      <c r="AD5" s="23"/>
      <c r="AE5" s="23"/>
      <c r="AF5" s="25"/>
      <c r="AG5" s="26"/>
      <c r="AH5" s="26"/>
      <c r="AI5" s="26"/>
      <c r="AJ5" s="23"/>
      <c r="AK5" s="23"/>
      <c r="AL5" s="23"/>
      <c r="AM5" s="23"/>
      <c r="AN5" s="23"/>
      <c r="AO5" s="23"/>
      <c r="AP5" s="23"/>
      <c r="AQ5" s="23"/>
      <c r="AR5" s="23"/>
      <c r="AS5" s="23"/>
      <c r="AT5" s="23"/>
      <c r="AU5" s="23"/>
      <c r="AV5" s="23"/>
      <c r="AW5" s="23"/>
      <c r="AX5" s="23"/>
      <c r="AY5" s="23"/>
      <c r="AZ5" s="23"/>
      <c r="BA5" s="23"/>
      <c r="BB5" s="23"/>
      <c r="BC5" s="23"/>
      <c r="BD5" s="23"/>
      <c r="BE5" s="25"/>
      <c r="BF5" s="26"/>
      <c r="BG5" s="26"/>
      <c r="BH5" s="26"/>
      <c r="BI5" s="23"/>
      <c r="BJ5" s="23"/>
      <c r="BK5" s="23"/>
      <c r="BL5" s="23"/>
      <c r="BM5" s="23"/>
      <c r="BN5" s="23"/>
      <c r="BO5" s="23"/>
      <c r="BP5" s="23"/>
      <c r="BQ5" s="23"/>
      <c r="BR5" s="23"/>
      <c r="BS5" s="23"/>
      <c r="BT5" s="23"/>
      <c r="BU5" s="23"/>
      <c r="BV5" s="23"/>
      <c r="BW5" s="23"/>
      <c r="BX5" s="23"/>
      <c r="BY5" s="23"/>
      <c r="BZ5" s="23"/>
      <c r="CA5" s="23"/>
      <c r="CB5" s="23"/>
      <c r="CC5" s="23"/>
      <c r="CD5" s="25"/>
      <c r="CE5" s="26"/>
      <c r="CF5" s="26"/>
      <c r="CG5" s="26"/>
      <c r="CH5" s="23"/>
      <c r="CI5" s="23"/>
      <c r="CJ5" s="23"/>
      <c r="CK5" s="23"/>
      <c r="CL5" s="23"/>
      <c r="CM5" s="23"/>
      <c r="CN5" s="23"/>
      <c r="CO5" s="23"/>
      <c r="CP5" s="23"/>
      <c r="CQ5" s="23"/>
      <c r="CR5" s="23"/>
      <c r="CS5" s="23"/>
      <c r="CT5" s="23"/>
      <c r="CU5" s="23"/>
      <c r="CV5" s="23"/>
      <c r="CW5" s="23"/>
      <c r="CX5" s="23"/>
      <c r="CY5" s="23"/>
      <c r="CZ5" s="23"/>
      <c r="DA5" s="23"/>
      <c r="DB5" s="23"/>
      <c r="DC5" s="25"/>
      <c r="DD5" s="26"/>
      <c r="DE5" s="26"/>
      <c r="DF5" s="26"/>
      <c r="DG5" s="23"/>
      <c r="DH5" s="23"/>
      <c r="DI5" s="23"/>
      <c r="DJ5" s="23"/>
      <c r="DK5" s="23"/>
      <c r="DL5" s="23"/>
      <c r="DM5" s="23"/>
      <c r="DN5" s="23"/>
      <c r="DO5" s="23"/>
      <c r="DP5" s="23"/>
      <c r="DQ5" s="23"/>
      <c r="DR5" s="23"/>
      <c r="DS5" s="23"/>
      <c r="DT5" s="23"/>
      <c r="DU5" s="23"/>
      <c r="DV5" s="23"/>
      <c r="DW5" s="23"/>
      <c r="DX5" s="23"/>
      <c r="DY5" s="23"/>
      <c r="DZ5" s="23"/>
      <c r="EA5" s="23"/>
      <c r="EB5" s="25"/>
      <c r="EC5" s="26"/>
      <c r="ED5" s="26"/>
      <c r="EE5" s="26"/>
      <c r="EF5" s="23"/>
      <c r="EG5" s="23"/>
      <c r="EH5" s="23"/>
      <c r="EI5" s="23"/>
      <c r="EJ5" s="23"/>
      <c r="EK5" s="23"/>
      <c r="EL5" s="23"/>
      <c r="EM5" s="23"/>
      <c r="EN5" s="23"/>
      <c r="EO5" s="23"/>
      <c r="EP5" s="23"/>
      <c r="EQ5" s="23"/>
      <c r="ER5" s="23"/>
      <c r="ES5" s="23"/>
      <c r="ET5" s="23"/>
      <c r="EU5" s="23"/>
      <c r="EV5" s="23"/>
      <c r="EW5" s="23"/>
      <c r="EX5" s="23"/>
      <c r="EY5" s="23"/>
      <c r="EZ5" s="23"/>
      <c r="FA5" s="25"/>
      <c r="FB5" s="26"/>
      <c r="FC5" s="26"/>
      <c r="FD5" s="26"/>
      <c r="FE5" s="23"/>
      <c r="FF5" s="23"/>
      <c r="FG5" s="23"/>
      <c r="FH5" s="23"/>
      <c r="FI5" s="23"/>
      <c r="FJ5" s="23"/>
      <c r="FK5" s="23"/>
      <c r="FL5" s="23"/>
      <c r="FM5" s="23"/>
      <c r="FN5" s="23"/>
      <c r="FO5" s="23"/>
      <c r="FP5" s="23"/>
      <c r="FQ5" s="23"/>
      <c r="FR5" s="23"/>
      <c r="FS5" s="23"/>
    </row>
    <row r="6" spans="1:175" x14ac:dyDescent="0.35">
      <c r="A6" s="23"/>
      <c r="B6" s="23"/>
      <c r="C6" s="23"/>
      <c r="D6" s="23"/>
      <c r="E6" s="23"/>
      <c r="F6" s="23"/>
      <c r="G6" s="26"/>
      <c r="H6" s="26"/>
      <c r="I6" s="26"/>
      <c r="J6" s="26"/>
      <c r="K6" s="23"/>
      <c r="L6" s="23"/>
      <c r="M6" s="23"/>
      <c r="N6" s="23"/>
      <c r="O6" s="23"/>
      <c r="P6" s="23"/>
      <c r="Q6" s="23"/>
      <c r="R6" s="23"/>
      <c r="S6" s="23"/>
      <c r="T6" s="23"/>
      <c r="U6" s="23"/>
      <c r="V6" s="23"/>
      <c r="W6" s="23"/>
      <c r="X6" s="23"/>
      <c r="Y6" s="23"/>
      <c r="Z6" s="23"/>
      <c r="AA6" s="23"/>
      <c r="AB6" s="23"/>
      <c r="AC6" s="23"/>
      <c r="AD6" s="23"/>
      <c r="AE6" s="23"/>
      <c r="AF6" s="26"/>
      <c r="AG6" s="26"/>
      <c r="AH6" s="26"/>
      <c r="AI6" s="26"/>
      <c r="AJ6" s="23"/>
      <c r="AK6" s="23"/>
      <c r="AL6" s="23"/>
      <c r="AM6" s="23"/>
      <c r="AN6" s="23"/>
      <c r="AO6" s="23"/>
      <c r="AP6" s="23"/>
      <c r="AQ6" s="23"/>
      <c r="AR6" s="23"/>
      <c r="AS6" s="23"/>
      <c r="AT6" s="23"/>
      <c r="AU6" s="23"/>
      <c r="AV6" s="23"/>
      <c r="AW6" s="23"/>
      <c r="AX6" s="23"/>
      <c r="AY6" s="23"/>
      <c r="AZ6" s="23"/>
      <c r="BA6" s="23"/>
      <c r="BB6" s="23"/>
      <c r="BC6" s="23"/>
      <c r="BD6" s="23"/>
      <c r="BE6" s="26"/>
      <c r="BF6" s="26"/>
      <c r="BG6" s="26"/>
      <c r="BH6" s="26"/>
      <c r="BI6" s="23"/>
      <c r="BJ6" s="23"/>
      <c r="BK6" s="23"/>
      <c r="BL6" s="23"/>
      <c r="BM6" s="23"/>
      <c r="BN6" s="23"/>
      <c r="BO6" s="23"/>
      <c r="BP6" s="23"/>
      <c r="BQ6" s="23"/>
      <c r="BR6" s="23"/>
      <c r="BS6" s="23"/>
      <c r="BT6" s="23"/>
      <c r="BU6" s="23"/>
      <c r="BV6" s="23"/>
      <c r="BW6" s="23"/>
      <c r="BX6" s="23"/>
      <c r="BY6" s="23"/>
      <c r="BZ6" s="23"/>
      <c r="CA6" s="23"/>
      <c r="CB6" s="23"/>
      <c r="CC6" s="23"/>
      <c r="CD6" s="26"/>
      <c r="CE6" s="26"/>
      <c r="CF6" s="26"/>
      <c r="CG6" s="26"/>
      <c r="CH6" s="23"/>
      <c r="CI6" s="23"/>
      <c r="CJ6" s="23"/>
      <c r="CK6" s="23"/>
      <c r="CL6" s="23"/>
      <c r="CM6" s="23"/>
      <c r="CN6" s="23"/>
      <c r="CO6" s="23"/>
      <c r="CP6" s="23"/>
      <c r="CQ6" s="23"/>
      <c r="CR6" s="23"/>
      <c r="CS6" s="23"/>
      <c r="CT6" s="23"/>
      <c r="CU6" s="23"/>
      <c r="CV6" s="23"/>
      <c r="CW6" s="23"/>
      <c r="CX6" s="23"/>
      <c r="CY6" s="23"/>
      <c r="CZ6" s="23"/>
      <c r="DA6" s="23"/>
      <c r="DB6" s="23"/>
      <c r="DC6" s="26"/>
      <c r="DD6" s="26"/>
      <c r="DE6" s="26"/>
      <c r="DF6" s="26"/>
      <c r="DG6" s="23"/>
      <c r="DH6" s="23"/>
      <c r="DI6" s="23"/>
      <c r="DJ6" s="23"/>
      <c r="DK6" s="23"/>
      <c r="DL6" s="23"/>
      <c r="DM6" s="23"/>
      <c r="DN6" s="23"/>
      <c r="DO6" s="23"/>
      <c r="DP6" s="23"/>
      <c r="DQ6" s="23"/>
      <c r="DR6" s="23"/>
      <c r="DS6" s="23"/>
      <c r="DT6" s="23"/>
      <c r="DU6" s="23"/>
      <c r="DV6" s="23"/>
      <c r="DW6" s="23"/>
      <c r="DX6" s="23"/>
      <c r="DY6" s="23"/>
      <c r="DZ6" s="23"/>
      <c r="EA6" s="23"/>
      <c r="EB6" s="26"/>
      <c r="EC6" s="26"/>
      <c r="ED6" s="26"/>
      <c r="EE6" s="26"/>
      <c r="EF6" s="23"/>
      <c r="EG6" s="23"/>
      <c r="EH6" s="23"/>
      <c r="EI6" s="23"/>
      <c r="EJ6" s="23"/>
      <c r="EK6" s="23"/>
      <c r="EL6" s="23"/>
      <c r="EM6" s="23"/>
      <c r="EN6" s="23"/>
      <c r="EO6" s="23"/>
      <c r="EP6" s="23"/>
      <c r="EQ6" s="23"/>
      <c r="ER6" s="23"/>
      <c r="ES6" s="23"/>
      <c r="ET6" s="23"/>
      <c r="EU6" s="23"/>
      <c r="EV6" s="23"/>
      <c r="EW6" s="23"/>
      <c r="EX6" s="23"/>
      <c r="EY6" s="23"/>
      <c r="EZ6" s="23"/>
      <c r="FA6" s="26"/>
      <c r="FB6" s="26"/>
      <c r="FC6" s="26"/>
      <c r="FD6" s="26"/>
      <c r="FE6" s="23"/>
      <c r="FF6" s="23"/>
      <c r="FG6" s="23"/>
      <c r="FH6" s="23"/>
      <c r="FI6" s="23"/>
      <c r="FJ6" s="23"/>
      <c r="FK6" s="23"/>
      <c r="FL6" s="23"/>
      <c r="FM6" s="23"/>
      <c r="FN6" s="23"/>
      <c r="FO6" s="23"/>
      <c r="FP6" s="23"/>
      <c r="FQ6" s="23"/>
      <c r="FR6" s="23"/>
      <c r="FS6" s="23"/>
    </row>
    <row r="7" spans="1:175" x14ac:dyDescent="0.35">
      <c r="A7" s="23"/>
      <c r="B7" s="23"/>
      <c r="C7" s="23"/>
      <c r="D7" s="23"/>
      <c r="E7" s="23"/>
      <c r="F7" s="23"/>
      <c r="G7" s="25"/>
      <c r="H7" s="25"/>
      <c r="I7" s="27"/>
      <c r="J7" s="23"/>
      <c r="K7" s="23"/>
      <c r="L7" s="23"/>
      <c r="M7" s="23"/>
      <c r="N7" s="23"/>
      <c r="O7" s="23"/>
      <c r="P7" s="23"/>
      <c r="Q7" s="23"/>
      <c r="R7" s="23"/>
      <c r="S7" s="23"/>
      <c r="T7" s="23"/>
      <c r="U7" s="23"/>
      <c r="V7" s="23"/>
      <c r="W7" s="23"/>
      <c r="X7" s="23"/>
      <c r="Y7" s="23"/>
      <c r="Z7" s="23"/>
      <c r="AA7" s="23"/>
      <c r="AB7" s="23"/>
      <c r="AC7" s="23"/>
      <c r="AD7" s="23"/>
      <c r="AE7" s="23"/>
      <c r="AF7" s="25"/>
      <c r="AG7" s="25"/>
      <c r="AH7" s="27"/>
      <c r="AI7" s="23"/>
      <c r="AJ7" s="23"/>
      <c r="AK7" s="23"/>
      <c r="AL7" s="23"/>
      <c r="AM7" s="23"/>
      <c r="AN7" s="23"/>
      <c r="AO7" s="23"/>
      <c r="AP7" s="23"/>
      <c r="AQ7" s="23"/>
      <c r="AR7" s="23"/>
      <c r="AS7" s="23"/>
      <c r="AT7" s="23"/>
      <c r="AU7" s="23"/>
      <c r="AV7" s="23"/>
      <c r="AW7" s="23"/>
      <c r="AX7" s="23"/>
      <c r="AY7" s="23"/>
      <c r="AZ7" s="23"/>
      <c r="BA7" s="23"/>
      <c r="BB7" s="23"/>
      <c r="BC7" s="23"/>
      <c r="BD7" s="23"/>
      <c r="BE7" s="25"/>
      <c r="BF7" s="25"/>
      <c r="BG7" s="27"/>
      <c r="BH7" s="23"/>
      <c r="BI7" s="23"/>
      <c r="BJ7" s="23"/>
      <c r="BK7" s="23"/>
      <c r="BL7" s="23"/>
      <c r="BM7" s="23"/>
      <c r="BN7" s="23"/>
      <c r="BO7" s="23"/>
      <c r="BP7" s="23"/>
      <c r="BQ7" s="23"/>
      <c r="BR7" s="23"/>
      <c r="BS7" s="23"/>
      <c r="BT7" s="23"/>
      <c r="BU7" s="23"/>
      <c r="BV7" s="23"/>
      <c r="BW7" s="23"/>
      <c r="BX7" s="23"/>
      <c r="BY7" s="23"/>
      <c r="BZ7" s="23"/>
      <c r="CA7" s="23"/>
      <c r="CB7" s="23"/>
      <c r="CC7" s="23"/>
      <c r="CD7" s="25"/>
      <c r="CE7" s="25"/>
      <c r="CF7" s="27"/>
      <c r="CG7" s="23"/>
      <c r="CH7" s="23"/>
      <c r="CI7" s="23"/>
      <c r="CJ7" s="23"/>
      <c r="CK7" s="23"/>
      <c r="CL7" s="23"/>
      <c r="CM7" s="23"/>
      <c r="CN7" s="23"/>
      <c r="CO7" s="23"/>
      <c r="CP7" s="23"/>
      <c r="CQ7" s="23"/>
      <c r="CR7" s="23"/>
      <c r="CS7" s="23"/>
      <c r="CT7" s="23"/>
      <c r="CU7" s="23"/>
      <c r="CV7" s="23"/>
      <c r="CW7" s="23"/>
      <c r="CX7" s="23"/>
      <c r="CY7" s="23"/>
      <c r="CZ7" s="23"/>
      <c r="DA7" s="23"/>
      <c r="DB7" s="23"/>
      <c r="DC7" s="25"/>
      <c r="DD7" s="25"/>
      <c r="DE7" s="27"/>
      <c r="DF7" s="23"/>
      <c r="DG7" s="23"/>
      <c r="DH7" s="23"/>
      <c r="DI7" s="23"/>
      <c r="DJ7" s="23"/>
      <c r="DK7" s="23"/>
      <c r="DL7" s="23"/>
      <c r="DM7" s="23"/>
      <c r="DN7" s="23"/>
      <c r="DO7" s="23"/>
      <c r="DP7" s="23"/>
      <c r="DQ7" s="23"/>
      <c r="DR7" s="23"/>
      <c r="DS7" s="23"/>
      <c r="DT7" s="23"/>
      <c r="DU7" s="23"/>
      <c r="DV7" s="23"/>
      <c r="DW7" s="23"/>
      <c r="DX7" s="23"/>
      <c r="DY7" s="23"/>
      <c r="DZ7" s="23"/>
      <c r="EA7" s="23"/>
      <c r="EB7" s="25"/>
      <c r="EC7" s="25"/>
      <c r="ED7" s="27"/>
      <c r="EE7" s="23"/>
      <c r="EF7" s="23"/>
      <c r="EG7" s="23"/>
      <c r="EH7" s="23"/>
      <c r="EI7" s="23"/>
      <c r="EJ7" s="23"/>
      <c r="EK7" s="23"/>
      <c r="EL7" s="23"/>
      <c r="EM7" s="23"/>
      <c r="EN7" s="23"/>
      <c r="EO7" s="23"/>
      <c r="EP7" s="23"/>
      <c r="EQ7" s="23"/>
      <c r="ER7" s="23"/>
      <c r="ES7" s="23"/>
      <c r="ET7" s="23"/>
      <c r="EU7" s="23"/>
      <c r="EV7" s="23"/>
      <c r="EW7" s="23"/>
      <c r="EX7" s="23"/>
      <c r="EY7" s="23"/>
      <c r="EZ7" s="23"/>
      <c r="FA7" s="25"/>
      <c r="FB7" s="25"/>
      <c r="FC7" s="27"/>
      <c r="FD7" s="23"/>
      <c r="FE7" s="23"/>
      <c r="FF7" s="23"/>
      <c r="FG7" s="23"/>
      <c r="FH7" s="23"/>
      <c r="FI7" s="23"/>
      <c r="FJ7" s="23"/>
      <c r="FK7" s="23"/>
      <c r="FL7" s="23"/>
      <c r="FM7" s="23"/>
      <c r="FN7" s="23"/>
      <c r="FO7" s="23"/>
      <c r="FP7" s="23"/>
      <c r="FQ7" s="23"/>
      <c r="FR7" s="23"/>
      <c r="FS7" s="23"/>
    </row>
    <row r="8" spans="1:175" ht="15" thickBot="1" x14ac:dyDescent="0.4">
      <c r="A8" s="23"/>
      <c r="B8" s="23"/>
      <c r="C8" s="23"/>
      <c r="D8" s="23"/>
      <c r="E8" s="23"/>
      <c r="F8" s="23"/>
      <c r="G8" s="25"/>
      <c r="H8" s="25"/>
      <c r="I8" s="26"/>
      <c r="J8" s="23"/>
      <c r="K8" s="23"/>
      <c r="L8" s="23"/>
      <c r="M8" s="23"/>
      <c r="N8" s="23"/>
      <c r="O8" s="23"/>
      <c r="P8" s="23"/>
      <c r="Q8" s="23"/>
      <c r="R8" s="23"/>
      <c r="S8" s="23"/>
      <c r="T8" s="23"/>
      <c r="U8" s="23"/>
      <c r="V8" s="23"/>
      <c r="W8" s="23"/>
      <c r="X8" s="23"/>
      <c r="Y8" s="23"/>
      <c r="Z8" s="23"/>
      <c r="AA8" s="23"/>
      <c r="AB8" s="23"/>
      <c r="AC8" s="23"/>
      <c r="AD8" s="23"/>
      <c r="AE8" s="23"/>
      <c r="AF8" s="25"/>
      <c r="AG8" s="25"/>
      <c r="AH8" s="26"/>
      <c r="AI8" s="23"/>
      <c r="AJ8" s="23"/>
      <c r="AK8" s="23"/>
      <c r="AL8" s="23"/>
      <c r="AM8" s="23"/>
      <c r="AN8" s="23"/>
      <c r="AO8" s="23"/>
      <c r="AP8" s="23"/>
      <c r="AQ8" s="23"/>
      <c r="AR8" s="23"/>
      <c r="AS8" s="23"/>
      <c r="AT8" s="23"/>
      <c r="AU8" s="23"/>
      <c r="AV8" s="23"/>
      <c r="AW8" s="23"/>
      <c r="AX8" s="23"/>
      <c r="AY8" s="23"/>
      <c r="AZ8" s="23"/>
      <c r="BA8" s="23"/>
      <c r="BB8" s="23"/>
      <c r="BC8" s="23"/>
      <c r="BD8" s="23"/>
      <c r="BE8" s="25"/>
      <c r="BF8" s="25"/>
      <c r="BG8" s="26"/>
      <c r="BH8" s="23"/>
      <c r="BI8" s="23"/>
      <c r="BJ8" s="23"/>
      <c r="BK8" s="23"/>
      <c r="BL8" s="23"/>
      <c r="BM8" s="23"/>
      <c r="BN8" s="23"/>
      <c r="BO8" s="23"/>
      <c r="BP8" s="23"/>
      <c r="BQ8" s="23"/>
      <c r="BR8" s="23"/>
      <c r="BS8" s="23"/>
      <c r="BT8" s="23"/>
      <c r="BU8" s="23"/>
      <c r="BV8" s="23"/>
      <c r="BW8" s="23"/>
      <c r="BX8" s="23"/>
      <c r="BY8" s="23"/>
      <c r="BZ8" s="23"/>
      <c r="CA8" s="23"/>
      <c r="CB8" s="23"/>
      <c r="CC8" s="23"/>
      <c r="CD8" s="25"/>
      <c r="CE8" s="25"/>
      <c r="CF8" s="26"/>
      <c r="CG8" s="23"/>
      <c r="CH8" s="23"/>
      <c r="CI8" s="23"/>
      <c r="CJ8" s="23"/>
      <c r="CK8" s="23"/>
      <c r="CL8" s="23"/>
      <c r="CM8" s="23"/>
      <c r="CN8" s="23"/>
      <c r="CO8" s="23"/>
      <c r="CP8" s="23"/>
      <c r="CQ8" s="23"/>
      <c r="CR8" s="23"/>
      <c r="CS8" s="23"/>
      <c r="CT8" s="23"/>
      <c r="CU8" s="23"/>
      <c r="CV8" s="23"/>
      <c r="CW8" s="23"/>
      <c r="CX8" s="23"/>
      <c r="CY8" s="23"/>
      <c r="CZ8" s="23"/>
      <c r="DA8" s="23"/>
      <c r="DB8" s="23"/>
      <c r="DC8" s="25"/>
      <c r="DD8" s="25"/>
      <c r="DE8" s="26"/>
      <c r="DF8" s="23"/>
      <c r="DG8" s="23"/>
      <c r="DH8" s="23"/>
      <c r="DI8" s="23"/>
      <c r="DJ8" s="23"/>
      <c r="DK8" s="23"/>
      <c r="DL8" s="23"/>
      <c r="DM8" s="23"/>
      <c r="DN8" s="23"/>
      <c r="DO8" s="23"/>
      <c r="DP8" s="23"/>
      <c r="DQ8" s="23"/>
      <c r="DR8" s="23"/>
      <c r="DS8" s="23"/>
      <c r="DT8" s="23"/>
      <c r="DU8" s="23"/>
      <c r="DV8" s="23"/>
      <c r="DW8" s="23"/>
      <c r="DX8" s="23"/>
      <c r="DY8" s="23"/>
      <c r="DZ8" s="23"/>
      <c r="EA8" s="23"/>
      <c r="EB8" s="25"/>
      <c r="EC8" s="25"/>
      <c r="ED8" s="26"/>
      <c r="EE8" s="23"/>
      <c r="EF8" s="23"/>
      <c r="EG8" s="23"/>
      <c r="EH8" s="23"/>
      <c r="EI8" s="23"/>
      <c r="EJ8" s="23"/>
      <c r="EK8" s="23"/>
      <c r="EL8" s="23"/>
      <c r="EM8" s="23"/>
      <c r="EN8" s="23"/>
      <c r="EO8" s="23"/>
      <c r="EP8" s="23"/>
      <c r="EQ8" s="23"/>
      <c r="ER8" s="23"/>
      <c r="ES8" s="23"/>
      <c r="ET8" s="23"/>
      <c r="EU8" s="23"/>
      <c r="EV8" s="23"/>
      <c r="EW8" s="23"/>
      <c r="EX8" s="23"/>
      <c r="EY8" s="23"/>
      <c r="EZ8" s="23"/>
      <c r="FA8" s="25"/>
      <c r="FB8" s="25"/>
      <c r="FC8" s="26"/>
      <c r="FD8" s="23"/>
      <c r="FE8" s="23"/>
      <c r="FF8" s="23"/>
      <c r="FG8" s="23"/>
      <c r="FH8" s="23"/>
      <c r="FI8" s="23"/>
      <c r="FJ8" s="23"/>
      <c r="FK8" s="23"/>
      <c r="FL8" s="23"/>
      <c r="FM8" s="23"/>
      <c r="FN8" s="23"/>
      <c r="FO8" s="23"/>
      <c r="FP8" s="23"/>
      <c r="FQ8" s="23"/>
      <c r="FR8" s="23"/>
      <c r="FS8" s="23"/>
    </row>
    <row r="9" spans="1:175" ht="15" customHeight="1" x14ac:dyDescent="0.35">
      <c r="A9" s="88" t="s">
        <v>41</v>
      </c>
      <c r="B9" s="89"/>
      <c r="C9" s="89"/>
      <c r="D9" s="89"/>
      <c r="E9" s="89"/>
      <c r="F9" s="90"/>
      <c r="G9" s="25"/>
      <c r="H9" s="25"/>
      <c r="I9" s="82" t="s">
        <v>42</v>
      </c>
      <c r="J9" s="102"/>
      <c r="K9" s="102"/>
      <c r="L9" s="102"/>
      <c r="M9" s="102"/>
      <c r="N9" s="102"/>
      <c r="O9" s="102"/>
      <c r="P9" s="102"/>
      <c r="Q9" s="102"/>
      <c r="R9" s="103"/>
      <c r="S9" s="23"/>
      <c r="T9" s="23"/>
      <c r="U9" s="23"/>
      <c r="V9" s="23"/>
      <c r="W9" s="23"/>
      <c r="X9" s="23"/>
      <c r="Y9" s="23"/>
      <c r="Z9" s="88" t="s">
        <v>43</v>
      </c>
      <c r="AA9" s="89"/>
      <c r="AB9" s="89"/>
      <c r="AC9" s="89"/>
      <c r="AD9" s="89"/>
      <c r="AE9" s="90"/>
      <c r="AF9" s="25"/>
      <c r="AG9" s="25"/>
      <c r="AH9" s="82" t="s">
        <v>44</v>
      </c>
      <c r="AI9" s="102"/>
      <c r="AJ9" s="102"/>
      <c r="AK9" s="102"/>
      <c r="AL9" s="102"/>
      <c r="AM9" s="102"/>
      <c r="AN9" s="102"/>
      <c r="AO9" s="102"/>
      <c r="AP9" s="102"/>
      <c r="AQ9" s="103"/>
      <c r="AR9" s="23"/>
      <c r="AS9" s="23"/>
      <c r="AT9" s="23"/>
      <c r="AU9" s="23"/>
      <c r="AV9" s="23"/>
      <c r="AW9" s="23"/>
      <c r="AX9" s="23"/>
      <c r="AY9" s="88" t="s">
        <v>45</v>
      </c>
      <c r="AZ9" s="89"/>
      <c r="BA9" s="89"/>
      <c r="BB9" s="89"/>
      <c r="BC9" s="89"/>
      <c r="BD9" s="90"/>
      <c r="BE9" s="25"/>
      <c r="BF9" s="25"/>
      <c r="BG9" s="82" t="s">
        <v>46</v>
      </c>
      <c r="BH9" s="102"/>
      <c r="BI9" s="102"/>
      <c r="BJ9" s="102"/>
      <c r="BK9" s="102"/>
      <c r="BL9" s="102"/>
      <c r="BM9" s="102"/>
      <c r="BN9" s="102"/>
      <c r="BO9" s="102"/>
      <c r="BP9" s="103"/>
      <c r="BQ9" s="23"/>
      <c r="BR9" s="23"/>
      <c r="BS9" s="23"/>
      <c r="BT9" s="23"/>
      <c r="BU9" s="23"/>
      <c r="BV9" s="23"/>
      <c r="BW9" s="23"/>
      <c r="BX9" s="88" t="s">
        <v>47</v>
      </c>
      <c r="BY9" s="89"/>
      <c r="BZ9" s="89"/>
      <c r="CA9" s="89"/>
      <c r="CB9" s="89"/>
      <c r="CC9" s="90"/>
      <c r="CD9" s="25"/>
      <c r="CE9" s="25"/>
      <c r="CF9" s="82" t="s">
        <v>48</v>
      </c>
      <c r="CG9" s="102"/>
      <c r="CH9" s="102"/>
      <c r="CI9" s="102"/>
      <c r="CJ9" s="102"/>
      <c r="CK9" s="102"/>
      <c r="CL9" s="102"/>
      <c r="CM9" s="102"/>
      <c r="CN9" s="102"/>
      <c r="CO9" s="103"/>
      <c r="CP9" s="23"/>
      <c r="CQ9" s="23"/>
      <c r="CR9" s="23"/>
      <c r="CS9" s="23"/>
      <c r="CT9" s="23"/>
      <c r="CU9" s="23"/>
      <c r="CV9" s="23"/>
      <c r="CW9" s="88" t="s">
        <v>49</v>
      </c>
      <c r="CX9" s="89"/>
      <c r="CY9" s="89"/>
      <c r="CZ9" s="89"/>
      <c r="DA9" s="89"/>
      <c r="DB9" s="90"/>
      <c r="DC9" s="25"/>
      <c r="DD9" s="25"/>
      <c r="DE9" s="82" t="s">
        <v>50</v>
      </c>
      <c r="DF9" s="102"/>
      <c r="DG9" s="102"/>
      <c r="DH9" s="102"/>
      <c r="DI9" s="102"/>
      <c r="DJ9" s="102"/>
      <c r="DK9" s="102"/>
      <c r="DL9" s="102"/>
      <c r="DM9" s="102"/>
      <c r="DN9" s="103"/>
      <c r="DO9" s="23"/>
      <c r="DP9" s="23"/>
      <c r="DQ9" s="23"/>
      <c r="DR9" s="23"/>
      <c r="DS9" s="23"/>
      <c r="DT9" s="23"/>
      <c r="DU9" s="23"/>
      <c r="DV9" s="88" t="s">
        <v>51</v>
      </c>
      <c r="DW9" s="89"/>
      <c r="DX9" s="89"/>
      <c r="DY9" s="89"/>
      <c r="DZ9" s="89"/>
      <c r="EA9" s="90"/>
      <c r="EB9" s="25"/>
      <c r="EC9" s="25"/>
      <c r="ED9" s="82" t="s">
        <v>52</v>
      </c>
      <c r="EE9" s="102"/>
      <c r="EF9" s="102"/>
      <c r="EG9" s="102"/>
      <c r="EH9" s="102"/>
      <c r="EI9" s="102"/>
      <c r="EJ9" s="102"/>
      <c r="EK9" s="102"/>
      <c r="EL9" s="102"/>
      <c r="EM9" s="103"/>
      <c r="EN9" s="23"/>
      <c r="EO9" s="23"/>
      <c r="EP9" s="23"/>
      <c r="EQ9" s="23"/>
      <c r="ER9" s="23"/>
      <c r="ES9" s="23"/>
      <c r="ET9" s="23"/>
      <c r="EU9" s="88" t="s">
        <v>53</v>
      </c>
      <c r="EV9" s="89"/>
      <c r="EW9" s="89"/>
      <c r="EX9" s="89"/>
      <c r="EY9" s="89"/>
      <c r="EZ9" s="90"/>
      <c r="FA9" s="25"/>
      <c r="FB9" s="25"/>
      <c r="FC9" s="82" t="s">
        <v>54</v>
      </c>
      <c r="FD9" s="102"/>
      <c r="FE9" s="102"/>
      <c r="FF9" s="102"/>
      <c r="FG9" s="102"/>
      <c r="FH9" s="102"/>
      <c r="FI9" s="102"/>
      <c r="FJ9" s="102"/>
      <c r="FK9" s="102"/>
      <c r="FL9" s="103"/>
      <c r="FM9" s="23"/>
      <c r="FN9" s="23"/>
      <c r="FO9" s="23"/>
      <c r="FP9" s="23"/>
      <c r="FQ9" s="23"/>
      <c r="FR9" s="23"/>
      <c r="FS9" s="23"/>
    </row>
    <row r="10" spans="1:175" ht="15.75" customHeight="1" thickBot="1" x14ac:dyDescent="0.4">
      <c r="A10" s="91"/>
      <c r="B10" s="92"/>
      <c r="C10" s="92"/>
      <c r="D10" s="92"/>
      <c r="E10" s="92"/>
      <c r="F10" s="93"/>
      <c r="G10" s="25"/>
      <c r="H10" s="25"/>
      <c r="I10" s="104"/>
      <c r="J10" s="105"/>
      <c r="K10" s="105"/>
      <c r="L10" s="105"/>
      <c r="M10" s="105"/>
      <c r="N10" s="105"/>
      <c r="O10" s="105"/>
      <c r="P10" s="105"/>
      <c r="Q10" s="105"/>
      <c r="R10" s="106"/>
      <c r="S10" s="23"/>
      <c r="T10" s="23"/>
      <c r="U10" s="23"/>
      <c r="V10" s="23"/>
      <c r="W10" s="23"/>
      <c r="X10" s="23"/>
      <c r="Y10" s="23"/>
      <c r="Z10" s="91"/>
      <c r="AA10" s="92"/>
      <c r="AB10" s="92"/>
      <c r="AC10" s="92"/>
      <c r="AD10" s="92"/>
      <c r="AE10" s="93"/>
      <c r="AF10" s="25"/>
      <c r="AG10" s="25"/>
      <c r="AH10" s="104"/>
      <c r="AI10" s="105"/>
      <c r="AJ10" s="105"/>
      <c r="AK10" s="105"/>
      <c r="AL10" s="105"/>
      <c r="AM10" s="105"/>
      <c r="AN10" s="105"/>
      <c r="AO10" s="105"/>
      <c r="AP10" s="105"/>
      <c r="AQ10" s="106"/>
      <c r="AR10" s="23"/>
      <c r="AS10" s="23"/>
      <c r="AT10" s="23"/>
      <c r="AU10" s="23"/>
      <c r="AV10" s="23"/>
      <c r="AW10" s="23"/>
      <c r="AX10" s="23"/>
      <c r="AY10" s="91"/>
      <c r="AZ10" s="92"/>
      <c r="BA10" s="92"/>
      <c r="BB10" s="92"/>
      <c r="BC10" s="92"/>
      <c r="BD10" s="93"/>
      <c r="BE10" s="25"/>
      <c r="BF10" s="25"/>
      <c r="BG10" s="104"/>
      <c r="BH10" s="105"/>
      <c r="BI10" s="105"/>
      <c r="BJ10" s="105"/>
      <c r="BK10" s="105"/>
      <c r="BL10" s="105"/>
      <c r="BM10" s="105"/>
      <c r="BN10" s="105"/>
      <c r="BO10" s="105"/>
      <c r="BP10" s="106"/>
      <c r="BQ10" s="23"/>
      <c r="BR10" s="23"/>
      <c r="BS10" s="23"/>
      <c r="BT10" s="23"/>
      <c r="BU10" s="23"/>
      <c r="BV10" s="23"/>
      <c r="BW10" s="23"/>
      <c r="BX10" s="91"/>
      <c r="BY10" s="92"/>
      <c r="BZ10" s="92"/>
      <c r="CA10" s="92"/>
      <c r="CB10" s="92"/>
      <c r="CC10" s="93"/>
      <c r="CD10" s="25"/>
      <c r="CE10" s="25"/>
      <c r="CF10" s="104"/>
      <c r="CG10" s="105"/>
      <c r="CH10" s="105"/>
      <c r="CI10" s="105"/>
      <c r="CJ10" s="105"/>
      <c r="CK10" s="105"/>
      <c r="CL10" s="105"/>
      <c r="CM10" s="105"/>
      <c r="CN10" s="105"/>
      <c r="CO10" s="106"/>
      <c r="CP10" s="23"/>
      <c r="CQ10" s="23"/>
      <c r="CR10" s="23"/>
      <c r="CS10" s="23"/>
      <c r="CT10" s="23"/>
      <c r="CU10" s="23"/>
      <c r="CV10" s="23"/>
      <c r="CW10" s="91"/>
      <c r="CX10" s="92"/>
      <c r="CY10" s="92"/>
      <c r="CZ10" s="92"/>
      <c r="DA10" s="92"/>
      <c r="DB10" s="93"/>
      <c r="DC10" s="25"/>
      <c r="DD10" s="25"/>
      <c r="DE10" s="104"/>
      <c r="DF10" s="105"/>
      <c r="DG10" s="105"/>
      <c r="DH10" s="105"/>
      <c r="DI10" s="105"/>
      <c r="DJ10" s="105"/>
      <c r="DK10" s="105"/>
      <c r="DL10" s="105"/>
      <c r="DM10" s="105"/>
      <c r="DN10" s="106"/>
      <c r="DO10" s="23"/>
      <c r="DP10" s="23"/>
      <c r="DQ10" s="23"/>
      <c r="DR10" s="23"/>
      <c r="DS10" s="23"/>
      <c r="DT10" s="23"/>
      <c r="DU10" s="23"/>
      <c r="DV10" s="91"/>
      <c r="DW10" s="92"/>
      <c r="DX10" s="92"/>
      <c r="DY10" s="92"/>
      <c r="DZ10" s="92"/>
      <c r="EA10" s="93"/>
      <c r="EB10" s="25"/>
      <c r="EC10" s="25"/>
      <c r="ED10" s="104"/>
      <c r="EE10" s="105"/>
      <c r="EF10" s="105"/>
      <c r="EG10" s="105"/>
      <c r="EH10" s="105"/>
      <c r="EI10" s="105"/>
      <c r="EJ10" s="105"/>
      <c r="EK10" s="105"/>
      <c r="EL10" s="105"/>
      <c r="EM10" s="106"/>
      <c r="EN10" s="23"/>
      <c r="EO10" s="23"/>
      <c r="EP10" s="23"/>
      <c r="EQ10" s="23"/>
      <c r="ER10" s="23"/>
      <c r="ES10" s="23"/>
      <c r="ET10" s="23"/>
      <c r="EU10" s="91"/>
      <c r="EV10" s="92"/>
      <c r="EW10" s="92"/>
      <c r="EX10" s="92"/>
      <c r="EY10" s="92"/>
      <c r="EZ10" s="93"/>
      <c r="FA10" s="25"/>
      <c r="FB10" s="25"/>
      <c r="FC10" s="104"/>
      <c r="FD10" s="105"/>
      <c r="FE10" s="105"/>
      <c r="FF10" s="105"/>
      <c r="FG10" s="105"/>
      <c r="FH10" s="105"/>
      <c r="FI10" s="105"/>
      <c r="FJ10" s="105"/>
      <c r="FK10" s="105"/>
      <c r="FL10" s="106"/>
      <c r="FM10" s="23"/>
      <c r="FN10" s="23"/>
      <c r="FO10" s="23"/>
      <c r="FP10" s="23"/>
      <c r="FQ10" s="23"/>
      <c r="FR10" s="23"/>
      <c r="FS10" s="23"/>
    </row>
    <row r="11" spans="1:175" ht="15" customHeight="1" x14ac:dyDescent="0.35">
      <c r="A11" s="107" t="s">
        <v>1</v>
      </c>
      <c r="B11" s="108"/>
      <c r="C11" s="113" t="s">
        <v>6</v>
      </c>
      <c r="D11" s="107" t="s">
        <v>55</v>
      </c>
      <c r="E11" s="108"/>
      <c r="F11" s="116">
        <f>VLOOKUP(C11,BREAKFASTTABLE,2,FALSE)</f>
        <v>310</v>
      </c>
      <c r="G11" s="23"/>
      <c r="H11" s="23"/>
      <c r="I11" s="17" t="s">
        <v>56</v>
      </c>
      <c r="J11" s="28"/>
      <c r="K11" s="17" t="s">
        <v>4</v>
      </c>
      <c r="L11" s="28"/>
      <c r="M11" s="17" t="s">
        <v>57</v>
      </c>
      <c r="N11" s="28"/>
      <c r="O11" s="17" t="s">
        <v>58</v>
      </c>
      <c r="P11" s="28"/>
      <c r="Q11" s="17" t="s">
        <v>59</v>
      </c>
      <c r="R11" s="28"/>
      <c r="S11" s="23"/>
      <c r="T11" s="23"/>
      <c r="U11" s="23"/>
      <c r="V11" s="23"/>
      <c r="W11" s="23"/>
      <c r="X11" s="23"/>
      <c r="Y11" s="23"/>
      <c r="Z11" s="107" t="s">
        <v>1</v>
      </c>
      <c r="AA11" s="108"/>
      <c r="AB11" s="113" t="s">
        <v>7</v>
      </c>
      <c r="AC11" s="107" t="s">
        <v>55</v>
      </c>
      <c r="AD11" s="108"/>
      <c r="AE11" s="116">
        <f>VLOOKUP(AB11,BREAKFASTTABLE,2,FALSE)</f>
        <v>265</v>
      </c>
      <c r="AF11" s="23"/>
      <c r="AG11" s="23"/>
      <c r="AH11" s="17" t="s">
        <v>56</v>
      </c>
      <c r="AI11" s="28"/>
      <c r="AJ11" s="17" t="s">
        <v>4</v>
      </c>
      <c r="AK11" s="28"/>
      <c r="AL11" s="17" t="s">
        <v>57</v>
      </c>
      <c r="AM11" s="28"/>
      <c r="AN11" s="17" t="s">
        <v>58</v>
      </c>
      <c r="AO11" s="28"/>
      <c r="AP11" s="17" t="s">
        <v>59</v>
      </c>
      <c r="AQ11" s="28"/>
      <c r="AR11" s="23"/>
      <c r="AS11" s="23"/>
      <c r="AT11" s="23"/>
      <c r="AU11" s="23"/>
      <c r="AV11" s="23"/>
      <c r="AW11" s="23"/>
      <c r="AX11" s="23"/>
      <c r="AY11" s="107" t="s">
        <v>1</v>
      </c>
      <c r="AZ11" s="108"/>
      <c r="BA11" s="113" t="s">
        <v>9</v>
      </c>
      <c r="BB11" s="107" t="s">
        <v>55</v>
      </c>
      <c r="BC11" s="108"/>
      <c r="BD11" s="116">
        <f>VLOOKUP(BA11,BREAKFASTTABLE,2,FALSE)</f>
        <v>340</v>
      </c>
      <c r="BE11" s="23"/>
      <c r="BF11" s="23"/>
      <c r="BG11" s="17" t="s">
        <v>56</v>
      </c>
      <c r="BH11" s="28"/>
      <c r="BI11" s="17" t="s">
        <v>4</v>
      </c>
      <c r="BJ11" s="28"/>
      <c r="BK11" s="17" t="s">
        <v>57</v>
      </c>
      <c r="BL11" s="28"/>
      <c r="BM11" s="17" t="s">
        <v>58</v>
      </c>
      <c r="BN11" s="28"/>
      <c r="BO11" s="17" t="s">
        <v>59</v>
      </c>
      <c r="BP11" s="28"/>
      <c r="BQ11" s="23"/>
      <c r="BR11" s="23"/>
      <c r="BS11" s="23"/>
      <c r="BT11" s="23"/>
      <c r="BU11" s="23"/>
      <c r="BV11" s="23"/>
      <c r="BW11" s="23"/>
      <c r="BX11" s="107" t="s">
        <v>1</v>
      </c>
      <c r="BY11" s="108"/>
      <c r="BZ11" s="113" t="s">
        <v>11</v>
      </c>
      <c r="CA11" s="107" t="s">
        <v>55</v>
      </c>
      <c r="CB11" s="108"/>
      <c r="CC11" s="116">
        <f>VLOOKUP(BZ11,BREAKFASTTABLE,2,FALSE)</f>
        <v>300</v>
      </c>
      <c r="CD11" s="23"/>
      <c r="CE11" s="23"/>
      <c r="CF11" s="17" t="s">
        <v>56</v>
      </c>
      <c r="CG11" s="28"/>
      <c r="CH11" s="17" t="s">
        <v>4</v>
      </c>
      <c r="CI11" s="28"/>
      <c r="CJ11" s="17" t="s">
        <v>57</v>
      </c>
      <c r="CK11" s="28"/>
      <c r="CL11" s="17" t="s">
        <v>58</v>
      </c>
      <c r="CM11" s="28"/>
      <c r="CN11" s="17" t="s">
        <v>59</v>
      </c>
      <c r="CO11" s="28"/>
      <c r="CP11" s="23"/>
      <c r="CQ11" s="23"/>
      <c r="CR11" s="23"/>
      <c r="CS11" s="23"/>
      <c r="CT11" s="23"/>
      <c r="CU11" s="23"/>
      <c r="CV11" s="23"/>
      <c r="CW11" s="107" t="s">
        <v>1</v>
      </c>
      <c r="CX11" s="108"/>
      <c r="CY11" s="113" t="s">
        <v>13</v>
      </c>
      <c r="CZ11" s="107" t="s">
        <v>55</v>
      </c>
      <c r="DA11" s="108"/>
      <c r="DB11" s="116">
        <f>VLOOKUP(CY11,BREAKFASTTABLE,2,FALSE)</f>
        <v>250</v>
      </c>
      <c r="DC11" s="23"/>
      <c r="DD11" s="23"/>
      <c r="DE11" s="17" t="s">
        <v>56</v>
      </c>
      <c r="DF11" s="28"/>
      <c r="DG11" s="17" t="s">
        <v>4</v>
      </c>
      <c r="DH11" s="28"/>
      <c r="DI11" s="17" t="s">
        <v>57</v>
      </c>
      <c r="DJ11" s="28"/>
      <c r="DK11" s="17" t="s">
        <v>58</v>
      </c>
      <c r="DL11" s="28"/>
      <c r="DM11" s="17" t="s">
        <v>59</v>
      </c>
      <c r="DN11" s="28"/>
      <c r="DO11" s="23"/>
      <c r="DP11" s="23"/>
      <c r="DQ11" s="23"/>
      <c r="DR11" s="23"/>
      <c r="DS11" s="23"/>
      <c r="DT11" s="23"/>
      <c r="DU11" s="23"/>
      <c r="DV11" s="107" t="s">
        <v>1</v>
      </c>
      <c r="DW11" s="108"/>
      <c r="DX11" s="113" t="s">
        <v>7</v>
      </c>
      <c r="DY11" s="107" t="s">
        <v>55</v>
      </c>
      <c r="DZ11" s="108"/>
      <c r="EA11" s="116">
        <f>VLOOKUP(DX11,BREAKFASTTABLE,2,FALSE)</f>
        <v>265</v>
      </c>
      <c r="EB11" s="23"/>
      <c r="EC11" s="23"/>
      <c r="ED11" s="17" t="s">
        <v>56</v>
      </c>
      <c r="EE11" s="28"/>
      <c r="EF11" s="17" t="s">
        <v>4</v>
      </c>
      <c r="EG11" s="28"/>
      <c r="EH11" s="17" t="s">
        <v>57</v>
      </c>
      <c r="EI11" s="28"/>
      <c r="EJ11" s="17" t="s">
        <v>58</v>
      </c>
      <c r="EK11" s="28"/>
      <c r="EL11" s="17" t="s">
        <v>59</v>
      </c>
      <c r="EM11" s="28"/>
      <c r="EN11" s="23"/>
      <c r="EO11" s="23"/>
      <c r="EP11" s="23"/>
      <c r="EQ11" s="23"/>
      <c r="ER11" s="23"/>
      <c r="ES11" s="23"/>
      <c r="ET11" s="23"/>
      <c r="EU11" s="107" t="s">
        <v>1</v>
      </c>
      <c r="EV11" s="108"/>
      <c r="EW11" s="113" t="s">
        <v>7</v>
      </c>
      <c r="EX11" s="107" t="s">
        <v>55</v>
      </c>
      <c r="EY11" s="108"/>
      <c r="EZ11" s="116">
        <f>VLOOKUP(EW11,BREAKFASTTABLE,2,FALSE)</f>
        <v>265</v>
      </c>
      <c r="FA11" s="23"/>
      <c r="FB11" s="23"/>
      <c r="FC11" s="17" t="s">
        <v>56</v>
      </c>
      <c r="FD11" s="28"/>
      <c r="FE11" s="17" t="s">
        <v>4</v>
      </c>
      <c r="FF11" s="28"/>
      <c r="FG11" s="17" t="s">
        <v>57</v>
      </c>
      <c r="FH11" s="28"/>
      <c r="FI11" s="17" t="s">
        <v>58</v>
      </c>
      <c r="FJ11" s="28"/>
      <c r="FK11" s="17" t="s">
        <v>59</v>
      </c>
      <c r="FL11" s="28"/>
      <c r="FM11" s="23"/>
      <c r="FN11" s="23"/>
      <c r="FO11" s="23"/>
      <c r="FP11" s="23"/>
      <c r="FQ11" s="23"/>
      <c r="FR11" s="23"/>
      <c r="FS11" s="23"/>
    </row>
    <row r="12" spans="1:175" ht="15" customHeight="1" thickBot="1" x14ac:dyDescent="0.4">
      <c r="A12" s="109"/>
      <c r="B12" s="110"/>
      <c r="C12" s="114"/>
      <c r="D12" s="109"/>
      <c r="E12" s="110"/>
      <c r="F12" s="117"/>
      <c r="G12" s="23"/>
      <c r="H12" s="23"/>
      <c r="I12" s="19"/>
      <c r="J12" s="29"/>
      <c r="K12" s="19"/>
      <c r="L12" s="29"/>
      <c r="M12" s="19"/>
      <c r="N12" s="29"/>
      <c r="O12" s="19"/>
      <c r="P12" s="29"/>
      <c r="Q12" s="19"/>
      <c r="R12" s="29"/>
      <c r="S12" s="23"/>
      <c r="T12" s="23"/>
      <c r="U12" s="23"/>
      <c r="V12" s="23"/>
      <c r="W12" s="23"/>
      <c r="X12" s="23"/>
      <c r="Y12" s="23"/>
      <c r="Z12" s="109"/>
      <c r="AA12" s="110"/>
      <c r="AB12" s="114"/>
      <c r="AC12" s="109"/>
      <c r="AD12" s="110"/>
      <c r="AE12" s="117"/>
      <c r="AF12" s="23"/>
      <c r="AG12" s="23"/>
      <c r="AH12" s="19"/>
      <c r="AI12" s="29"/>
      <c r="AJ12" s="19"/>
      <c r="AK12" s="29"/>
      <c r="AL12" s="19"/>
      <c r="AM12" s="29"/>
      <c r="AN12" s="19"/>
      <c r="AO12" s="29"/>
      <c r="AP12" s="19"/>
      <c r="AQ12" s="29"/>
      <c r="AR12" s="23"/>
      <c r="AS12" s="23"/>
      <c r="AT12" s="23"/>
      <c r="AU12" s="23"/>
      <c r="AV12" s="23"/>
      <c r="AW12" s="23"/>
      <c r="AX12" s="23"/>
      <c r="AY12" s="109"/>
      <c r="AZ12" s="110"/>
      <c r="BA12" s="114"/>
      <c r="BB12" s="109"/>
      <c r="BC12" s="110"/>
      <c r="BD12" s="117"/>
      <c r="BE12" s="23"/>
      <c r="BF12" s="23"/>
      <c r="BG12" s="19"/>
      <c r="BH12" s="29"/>
      <c r="BI12" s="19"/>
      <c r="BJ12" s="29"/>
      <c r="BK12" s="19"/>
      <c r="BL12" s="29"/>
      <c r="BM12" s="19"/>
      <c r="BN12" s="29"/>
      <c r="BO12" s="19"/>
      <c r="BP12" s="29"/>
      <c r="BQ12" s="23"/>
      <c r="BR12" s="23"/>
      <c r="BS12" s="23"/>
      <c r="BT12" s="23"/>
      <c r="BU12" s="23"/>
      <c r="BV12" s="23"/>
      <c r="BW12" s="23"/>
      <c r="BX12" s="109"/>
      <c r="BY12" s="110"/>
      <c r="BZ12" s="114"/>
      <c r="CA12" s="109"/>
      <c r="CB12" s="110"/>
      <c r="CC12" s="117"/>
      <c r="CD12" s="23"/>
      <c r="CE12" s="23"/>
      <c r="CF12" s="19"/>
      <c r="CG12" s="29"/>
      <c r="CH12" s="19"/>
      <c r="CI12" s="29"/>
      <c r="CJ12" s="19"/>
      <c r="CK12" s="29"/>
      <c r="CL12" s="19"/>
      <c r="CM12" s="29"/>
      <c r="CN12" s="19"/>
      <c r="CO12" s="29"/>
      <c r="CP12" s="23"/>
      <c r="CQ12" s="23"/>
      <c r="CR12" s="23"/>
      <c r="CS12" s="23"/>
      <c r="CT12" s="23"/>
      <c r="CU12" s="23"/>
      <c r="CV12" s="23"/>
      <c r="CW12" s="109"/>
      <c r="CX12" s="110"/>
      <c r="CY12" s="114"/>
      <c r="CZ12" s="109"/>
      <c r="DA12" s="110"/>
      <c r="DB12" s="117"/>
      <c r="DC12" s="23"/>
      <c r="DD12" s="23"/>
      <c r="DE12" s="19"/>
      <c r="DF12" s="29"/>
      <c r="DG12" s="19"/>
      <c r="DH12" s="29"/>
      <c r="DI12" s="19"/>
      <c r="DJ12" s="29"/>
      <c r="DK12" s="19"/>
      <c r="DL12" s="29"/>
      <c r="DM12" s="19"/>
      <c r="DN12" s="29"/>
      <c r="DO12" s="23"/>
      <c r="DP12" s="23"/>
      <c r="DQ12" s="23"/>
      <c r="DR12" s="23"/>
      <c r="DS12" s="23"/>
      <c r="DT12" s="23"/>
      <c r="DU12" s="23"/>
      <c r="DV12" s="109"/>
      <c r="DW12" s="110"/>
      <c r="DX12" s="114"/>
      <c r="DY12" s="109"/>
      <c r="DZ12" s="110"/>
      <c r="EA12" s="117"/>
      <c r="EB12" s="23"/>
      <c r="EC12" s="23"/>
      <c r="ED12" s="19"/>
      <c r="EE12" s="29"/>
      <c r="EF12" s="19"/>
      <c r="EG12" s="29"/>
      <c r="EH12" s="19"/>
      <c r="EI12" s="29"/>
      <c r="EJ12" s="19"/>
      <c r="EK12" s="29"/>
      <c r="EL12" s="19"/>
      <c r="EM12" s="29"/>
      <c r="EN12" s="23"/>
      <c r="EO12" s="23"/>
      <c r="EP12" s="23"/>
      <c r="EQ12" s="23"/>
      <c r="ER12" s="23"/>
      <c r="ES12" s="23"/>
      <c r="ET12" s="23"/>
      <c r="EU12" s="109"/>
      <c r="EV12" s="110"/>
      <c r="EW12" s="114"/>
      <c r="EX12" s="109"/>
      <c r="EY12" s="110"/>
      <c r="EZ12" s="117"/>
      <c r="FA12" s="23"/>
      <c r="FB12" s="23"/>
      <c r="FC12" s="19"/>
      <c r="FD12" s="29"/>
      <c r="FE12" s="19"/>
      <c r="FF12" s="29"/>
      <c r="FG12" s="19"/>
      <c r="FH12" s="29"/>
      <c r="FI12" s="19"/>
      <c r="FJ12" s="29"/>
      <c r="FK12" s="19"/>
      <c r="FL12" s="29"/>
      <c r="FM12" s="23"/>
      <c r="FN12" s="23"/>
      <c r="FO12" s="23"/>
      <c r="FP12" s="23"/>
      <c r="FQ12" s="23"/>
      <c r="FR12" s="23"/>
      <c r="FS12" s="23"/>
    </row>
    <row r="13" spans="1:175" ht="60.75" customHeight="1" x14ac:dyDescent="0.35">
      <c r="A13" s="109"/>
      <c r="B13" s="110"/>
      <c r="C13" s="114"/>
      <c r="D13" s="109"/>
      <c r="E13" s="110"/>
      <c r="F13" s="117"/>
      <c r="G13" s="23"/>
      <c r="H13" s="23"/>
      <c r="I13" s="30" t="s">
        <v>8</v>
      </c>
      <c r="J13" s="31"/>
      <c r="K13" s="17">
        <f>VLOOKUP(I13,METVALUE,2,FALSE)</f>
        <v>5.5</v>
      </c>
      <c r="L13" s="18"/>
      <c r="M13" s="17">
        <v>0.5</v>
      </c>
      <c r="N13" s="18"/>
      <c r="O13" s="17">
        <f>K13*D3</f>
        <v>1100</v>
      </c>
      <c r="P13" s="18"/>
      <c r="Q13" s="17">
        <f>M13*O13</f>
        <v>550</v>
      </c>
      <c r="R13" s="18"/>
      <c r="S13" s="23"/>
      <c r="T13" s="23"/>
      <c r="U13" s="23"/>
      <c r="V13" s="23"/>
      <c r="W13" s="23"/>
      <c r="X13" s="23"/>
      <c r="Y13" s="23"/>
      <c r="Z13" s="109"/>
      <c r="AA13" s="110"/>
      <c r="AB13" s="114"/>
      <c r="AC13" s="109"/>
      <c r="AD13" s="110"/>
      <c r="AE13" s="117"/>
      <c r="AF13" s="23"/>
      <c r="AG13" s="23"/>
      <c r="AH13" s="30" t="s">
        <v>8</v>
      </c>
      <c r="AI13" s="31"/>
      <c r="AJ13" s="17">
        <f>VLOOKUP(AH13,METVALUE,2,FALSE)</f>
        <v>5.5</v>
      </c>
      <c r="AK13" s="18"/>
      <c r="AL13" s="17">
        <v>2</v>
      </c>
      <c r="AM13" s="18"/>
      <c r="AN13" s="17">
        <f>AJ13*AC3</f>
        <v>1100</v>
      </c>
      <c r="AO13" s="18"/>
      <c r="AP13" s="17">
        <f>AL13*AN13</f>
        <v>2200</v>
      </c>
      <c r="AQ13" s="18"/>
      <c r="AR13" s="23"/>
      <c r="AS13" s="23"/>
      <c r="AT13" s="23"/>
      <c r="AU13" s="23"/>
      <c r="AV13" s="23"/>
      <c r="AW13" s="23"/>
      <c r="AX13" s="23"/>
      <c r="AY13" s="109"/>
      <c r="AZ13" s="110"/>
      <c r="BA13" s="114"/>
      <c r="BB13" s="109"/>
      <c r="BC13" s="110"/>
      <c r="BD13" s="117"/>
      <c r="BE13" s="23"/>
      <c r="BF13" s="23"/>
      <c r="BG13" s="30" t="s">
        <v>8</v>
      </c>
      <c r="BH13" s="31"/>
      <c r="BI13" s="17">
        <f>VLOOKUP(BG13,METVALUE,2,FALSE)</f>
        <v>5.5</v>
      </c>
      <c r="BJ13" s="18"/>
      <c r="BK13" s="17">
        <v>2</v>
      </c>
      <c r="BL13" s="18"/>
      <c r="BM13" s="17">
        <f>BI13*BB3</f>
        <v>1100</v>
      </c>
      <c r="BN13" s="18"/>
      <c r="BO13" s="17">
        <f>BK13*BM13</f>
        <v>2200</v>
      </c>
      <c r="BP13" s="18"/>
      <c r="BQ13" s="23"/>
      <c r="BR13" s="23"/>
      <c r="BS13" s="23"/>
      <c r="BT13" s="23"/>
      <c r="BU13" s="23"/>
      <c r="BV13" s="23"/>
      <c r="BW13" s="23"/>
      <c r="BX13" s="109"/>
      <c r="BY13" s="110"/>
      <c r="BZ13" s="114"/>
      <c r="CA13" s="109"/>
      <c r="CB13" s="110"/>
      <c r="CC13" s="117"/>
      <c r="CD13" s="23"/>
      <c r="CE13" s="23"/>
      <c r="CF13" s="30" t="s">
        <v>8</v>
      </c>
      <c r="CG13" s="31"/>
      <c r="CH13" s="17">
        <f>VLOOKUP(CF13,METVALUE,2,FALSE)</f>
        <v>5.5</v>
      </c>
      <c r="CI13" s="18"/>
      <c r="CJ13" s="17">
        <v>0.5</v>
      </c>
      <c r="CK13" s="18"/>
      <c r="CL13" s="17">
        <f>CH13*CA3</f>
        <v>1100</v>
      </c>
      <c r="CM13" s="18"/>
      <c r="CN13" s="17">
        <f>CJ13*CL13</f>
        <v>550</v>
      </c>
      <c r="CO13" s="18"/>
      <c r="CP13" s="23"/>
      <c r="CQ13" s="23"/>
      <c r="CR13" s="23"/>
      <c r="CS13" s="23"/>
      <c r="CT13" s="23"/>
      <c r="CU13" s="23"/>
      <c r="CV13" s="23"/>
      <c r="CW13" s="109"/>
      <c r="CX13" s="110"/>
      <c r="CY13" s="114"/>
      <c r="CZ13" s="109"/>
      <c r="DA13" s="110"/>
      <c r="DB13" s="117"/>
      <c r="DC13" s="23"/>
      <c r="DD13" s="23"/>
      <c r="DE13" s="30" t="s">
        <v>8</v>
      </c>
      <c r="DF13" s="31"/>
      <c r="DG13" s="17">
        <f>VLOOKUP(DE13,METVALUE,2,FALSE)</f>
        <v>5.5</v>
      </c>
      <c r="DH13" s="18"/>
      <c r="DI13" s="17">
        <v>2</v>
      </c>
      <c r="DJ13" s="18"/>
      <c r="DK13" s="17">
        <f>DG13*CZ3</f>
        <v>1100</v>
      </c>
      <c r="DL13" s="18"/>
      <c r="DM13" s="17">
        <f>DI13*DK13</f>
        <v>2200</v>
      </c>
      <c r="DN13" s="18"/>
      <c r="DO13" s="23"/>
      <c r="DP13" s="23"/>
      <c r="DQ13" s="23"/>
      <c r="DR13" s="23"/>
      <c r="DS13" s="23"/>
      <c r="DT13" s="23"/>
      <c r="DU13" s="23"/>
      <c r="DV13" s="109"/>
      <c r="DW13" s="110"/>
      <c r="DX13" s="114"/>
      <c r="DY13" s="109"/>
      <c r="DZ13" s="110"/>
      <c r="EA13" s="117"/>
      <c r="EB13" s="23"/>
      <c r="EC13" s="23"/>
      <c r="ED13" s="30" t="s">
        <v>8</v>
      </c>
      <c r="EE13" s="31"/>
      <c r="EF13" s="17">
        <f>VLOOKUP(ED13,METVALUE,2,FALSE)</f>
        <v>5.5</v>
      </c>
      <c r="EG13" s="18"/>
      <c r="EH13" s="17">
        <v>0.25</v>
      </c>
      <c r="EI13" s="18"/>
      <c r="EJ13" s="17">
        <f>EF13*DY3</f>
        <v>1100</v>
      </c>
      <c r="EK13" s="18"/>
      <c r="EL13" s="17">
        <f>EH13*EJ13</f>
        <v>275</v>
      </c>
      <c r="EM13" s="18"/>
      <c r="EN13" s="23"/>
      <c r="EO13" s="23"/>
      <c r="EP13" s="23"/>
      <c r="EQ13" s="23"/>
      <c r="ER13" s="23"/>
      <c r="ES13" s="23"/>
      <c r="ET13" s="23"/>
      <c r="EU13" s="109"/>
      <c r="EV13" s="110"/>
      <c r="EW13" s="114"/>
      <c r="EX13" s="109"/>
      <c r="EY13" s="110"/>
      <c r="EZ13" s="117"/>
      <c r="FA13" s="23"/>
      <c r="FB13" s="23"/>
      <c r="FC13" s="30" t="s">
        <v>8</v>
      </c>
      <c r="FD13" s="31"/>
      <c r="FE13" s="17">
        <f>VLOOKUP(FC13,METVALUE,2,FALSE)</f>
        <v>5.5</v>
      </c>
      <c r="FF13" s="18"/>
      <c r="FG13" s="17">
        <v>0.5</v>
      </c>
      <c r="FH13" s="18"/>
      <c r="FI13" s="17">
        <f>FE13*EX3</f>
        <v>1100</v>
      </c>
      <c r="FJ13" s="18"/>
      <c r="FK13" s="17">
        <f>FG13*FI13</f>
        <v>550</v>
      </c>
      <c r="FL13" s="18"/>
      <c r="FM13" s="23"/>
      <c r="FN13" s="23"/>
      <c r="FO13" s="23"/>
      <c r="FP13" s="23"/>
      <c r="FQ13" s="23"/>
      <c r="FR13" s="23"/>
      <c r="FS13" s="23"/>
    </row>
    <row r="14" spans="1:175" ht="15.75" customHeight="1" thickBot="1" x14ac:dyDescent="0.4">
      <c r="A14" s="111"/>
      <c r="B14" s="112"/>
      <c r="C14" s="115"/>
      <c r="D14" s="111"/>
      <c r="E14" s="112"/>
      <c r="F14" s="118"/>
      <c r="G14" s="23"/>
      <c r="H14" s="23"/>
      <c r="I14" s="32"/>
      <c r="J14" s="33"/>
      <c r="K14" s="19"/>
      <c r="L14" s="20"/>
      <c r="M14" s="19"/>
      <c r="N14" s="20"/>
      <c r="O14" s="19"/>
      <c r="P14" s="20"/>
      <c r="Q14" s="19"/>
      <c r="R14" s="20"/>
      <c r="S14" s="23"/>
      <c r="T14" s="23"/>
      <c r="U14" s="23"/>
      <c r="V14" s="23"/>
      <c r="W14" s="23"/>
      <c r="X14" s="23"/>
      <c r="Y14" s="23"/>
      <c r="Z14" s="111"/>
      <c r="AA14" s="112"/>
      <c r="AB14" s="115"/>
      <c r="AC14" s="111"/>
      <c r="AD14" s="112"/>
      <c r="AE14" s="118"/>
      <c r="AF14" s="23"/>
      <c r="AG14" s="23"/>
      <c r="AH14" s="32"/>
      <c r="AI14" s="33"/>
      <c r="AJ14" s="19"/>
      <c r="AK14" s="20"/>
      <c r="AL14" s="19"/>
      <c r="AM14" s="20"/>
      <c r="AN14" s="19"/>
      <c r="AO14" s="20"/>
      <c r="AP14" s="19"/>
      <c r="AQ14" s="20"/>
      <c r="AR14" s="23"/>
      <c r="AS14" s="23"/>
      <c r="AT14" s="23"/>
      <c r="AU14" s="23"/>
      <c r="AV14" s="23"/>
      <c r="AW14" s="23"/>
      <c r="AX14" s="23"/>
      <c r="AY14" s="111"/>
      <c r="AZ14" s="112"/>
      <c r="BA14" s="115"/>
      <c r="BB14" s="111"/>
      <c r="BC14" s="112"/>
      <c r="BD14" s="118"/>
      <c r="BE14" s="23"/>
      <c r="BF14" s="23"/>
      <c r="BG14" s="32"/>
      <c r="BH14" s="33"/>
      <c r="BI14" s="19"/>
      <c r="BJ14" s="20"/>
      <c r="BK14" s="19"/>
      <c r="BL14" s="20"/>
      <c r="BM14" s="19"/>
      <c r="BN14" s="20"/>
      <c r="BO14" s="19"/>
      <c r="BP14" s="20"/>
      <c r="BQ14" s="23"/>
      <c r="BR14" s="23"/>
      <c r="BS14" s="23"/>
      <c r="BT14" s="23"/>
      <c r="BU14" s="23"/>
      <c r="BV14" s="23"/>
      <c r="BW14" s="23"/>
      <c r="BX14" s="111"/>
      <c r="BY14" s="112"/>
      <c r="BZ14" s="115"/>
      <c r="CA14" s="111"/>
      <c r="CB14" s="112"/>
      <c r="CC14" s="118"/>
      <c r="CD14" s="23"/>
      <c r="CE14" s="23"/>
      <c r="CF14" s="32"/>
      <c r="CG14" s="33"/>
      <c r="CH14" s="19"/>
      <c r="CI14" s="20"/>
      <c r="CJ14" s="19"/>
      <c r="CK14" s="20"/>
      <c r="CL14" s="19"/>
      <c r="CM14" s="20"/>
      <c r="CN14" s="19"/>
      <c r="CO14" s="20"/>
      <c r="CP14" s="23"/>
      <c r="CQ14" s="23"/>
      <c r="CR14" s="23"/>
      <c r="CS14" s="23"/>
      <c r="CT14" s="23"/>
      <c r="CU14" s="23"/>
      <c r="CV14" s="23"/>
      <c r="CW14" s="111"/>
      <c r="CX14" s="112"/>
      <c r="CY14" s="115"/>
      <c r="CZ14" s="111"/>
      <c r="DA14" s="112"/>
      <c r="DB14" s="118"/>
      <c r="DC14" s="23"/>
      <c r="DD14" s="23"/>
      <c r="DE14" s="32"/>
      <c r="DF14" s="33"/>
      <c r="DG14" s="19"/>
      <c r="DH14" s="20"/>
      <c r="DI14" s="19"/>
      <c r="DJ14" s="20"/>
      <c r="DK14" s="19"/>
      <c r="DL14" s="20"/>
      <c r="DM14" s="19"/>
      <c r="DN14" s="20"/>
      <c r="DO14" s="23"/>
      <c r="DP14" s="23"/>
      <c r="DQ14" s="23"/>
      <c r="DR14" s="23"/>
      <c r="DS14" s="23"/>
      <c r="DT14" s="23"/>
      <c r="DU14" s="23"/>
      <c r="DV14" s="111"/>
      <c r="DW14" s="112"/>
      <c r="DX14" s="115"/>
      <c r="DY14" s="111"/>
      <c r="DZ14" s="112"/>
      <c r="EA14" s="118"/>
      <c r="EB14" s="23"/>
      <c r="EC14" s="23"/>
      <c r="ED14" s="32"/>
      <c r="EE14" s="33"/>
      <c r="EF14" s="19"/>
      <c r="EG14" s="20"/>
      <c r="EH14" s="19"/>
      <c r="EI14" s="20"/>
      <c r="EJ14" s="19"/>
      <c r="EK14" s="20"/>
      <c r="EL14" s="19"/>
      <c r="EM14" s="20"/>
      <c r="EN14" s="23"/>
      <c r="EO14" s="23"/>
      <c r="EP14" s="23"/>
      <c r="EQ14" s="23"/>
      <c r="ER14" s="23"/>
      <c r="ES14" s="23"/>
      <c r="ET14" s="23"/>
      <c r="EU14" s="111"/>
      <c r="EV14" s="112"/>
      <c r="EW14" s="115"/>
      <c r="EX14" s="111"/>
      <c r="EY14" s="112"/>
      <c r="EZ14" s="118"/>
      <c r="FA14" s="23"/>
      <c r="FB14" s="23"/>
      <c r="FC14" s="32"/>
      <c r="FD14" s="33"/>
      <c r="FE14" s="19"/>
      <c r="FF14" s="20"/>
      <c r="FG14" s="19"/>
      <c r="FH14" s="20"/>
      <c r="FI14" s="19"/>
      <c r="FJ14" s="20"/>
      <c r="FK14" s="19"/>
      <c r="FL14" s="20"/>
      <c r="FM14" s="23"/>
      <c r="FN14" s="23"/>
      <c r="FO14" s="23"/>
      <c r="FP14" s="23"/>
      <c r="FQ14" s="23"/>
      <c r="FR14" s="23"/>
      <c r="FS14" s="23"/>
    </row>
    <row r="15" spans="1:175" ht="15.75" customHeight="1" thickBot="1" x14ac:dyDescent="0.4">
      <c r="A15" s="107" t="s">
        <v>15</v>
      </c>
      <c r="B15" s="108"/>
      <c r="C15" s="113" t="s">
        <v>18</v>
      </c>
      <c r="D15" s="107" t="s">
        <v>55</v>
      </c>
      <c r="E15" s="108"/>
      <c r="F15" s="116">
        <f>VLOOKUP(C15,LUNCHTABLE,2,FALSE)</f>
        <v>350</v>
      </c>
      <c r="G15" s="23"/>
      <c r="H15" s="23"/>
      <c r="I15" s="34"/>
      <c r="J15" s="35"/>
      <c r="K15" s="21"/>
      <c r="L15" s="22"/>
      <c r="M15" s="21"/>
      <c r="N15" s="22"/>
      <c r="O15" s="21"/>
      <c r="P15" s="22"/>
      <c r="Q15" s="21"/>
      <c r="R15" s="22"/>
      <c r="S15" s="23"/>
      <c r="T15" s="23"/>
      <c r="U15" s="23"/>
      <c r="V15" s="23"/>
      <c r="W15" s="23"/>
      <c r="X15" s="23"/>
      <c r="Y15" s="23"/>
      <c r="Z15" s="107" t="s">
        <v>15</v>
      </c>
      <c r="AA15" s="108"/>
      <c r="AB15" s="113" t="s">
        <v>20</v>
      </c>
      <c r="AC15" s="107" t="s">
        <v>55</v>
      </c>
      <c r="AD15" s="108"/>
      <c r="AE15" s="116">
        <f>VLOOKUP(AB15,LUNCHTABLE,2,FALSE)</f>
        <v>400</v>
      </c>
      <c r="AF15" s="23"/>
      <c r="AG15" s="23"/>
      <c r="AH15" s="34"/>
      <c r="AI15" s="35"/>
      <c r="AJ15" s="21"/>
      <c r="AK15" s="22"/>
      <c r="AL15" s="21"/>
      <c r="AM15" s="22"/>
      <c r="AN15" s="21"/>
      <c r="AO15" s="22"/>
      <c r="AP15" s="21"/>
      <c r="AQ15" s="22"/>
      <c r="AR15" s="23"/>
      <c r="AS15" s="23"/>
      <c r="AT15" s="23"/>
      <c r="AU15" s="23"/>
      <c r="AV15" s="23"/>
      <c r="AW15" s="23"/>
      <c r="AX15" s="23"/>
      <c r="AY15" s="107" t="s">
        <v>15</v>
      </c>
      <c r="AZ15" s="108"/>
      <c r="BA15" s="113" t="s">
        <v>22</v>
      </c>
      <c r="BB15" s="107" t="s">
        <v>55</v>
      </c>
      <c r="BC15" s="108"/>
      <c r="BD15" s="116">
        <f>VLOOKUP(BA15,LUNCHTABLE,2,FALSE)</f>
        <v>450</v>
      </c>
      <c r="BE15" s="23"/>
      <c r="BF15" s="23"/>
      <c r="BG15" s="34"/>
      <c r="BH15" s="35"/>
      <c r="BI15" s="21"/>
      <c r="BJ15" s="22"/>
      <c r="BK15" s="21"/>
      <c r="BL15" s="22"/>
      <c r="BM15" s="21"/>
      <c r="BN15" s="22"/>
      <c r="BO15" s="21"/>
      <c r="BP15" s="22"/>
      <c r="BQ15" s="23"/>
      <c r="BR15" s="23"/>
      <c r="BS15" s="23"/>
      <c r="BT15" s="23"/>
      <c r="BU15" s="23"/>
      <c r="BV15" s="23"/>
      <c r="BW15" s="23"/>
      <c r="BX15" s="107" t="s">
        <v>15</v>
      </c>
      <c r="BY15" s="108"/>
      <c r="BZ15" s="113" t="s">
        <v>24</v>
      </c>
      <c r="CA15" s="107" t="s">
        <v>55</v>
      </c>
      <c r="CB15" s="108"/>
      <c r="CC15" s="116">
        <f>VLOOKUP(BZ15,LUNCHTABLE,2,FALSE)</f>
        <v>400</v>
      </c>
      <c r="CD15" s="23"/>
      <c r="CE15" s="23"/>
      <c r="CF15" s="34"/>
      <c r="CG15" s="35"/>
      <c r="CH15" s="21"/>
      <c r="CI15" s="22"/>
      <c r="CJ15" s="21"/>
      <c r="CK15" s="22"/>
      <c r="CL15" s="21"/>
      <c r="CM15" s="22"/>
      <c r="CN15" s="21"/>
      <c r="CO15" s="22"/>
      <c r="CP15" s="23"/>
      <c r="CQ15" s="23"/>
      <c r="CR15" s="23"/>
      <c r="CS15" s="23"/>
      <c r="CT15" s="23"/>
      <c r="CU15" s="23"/>
      <c r="CV15" s="23"/>
      <c r="CW15" s="107" t="s">
        <v>15</v>
      </c>
      <c r="CX15" s="108"/>
      <c r="CY15" s="113" t="s">
        <v>26</v>
      </c>
      <c r="CZ15" s="107" t="s">
        <v>55</v>
      </c>
      <c r="DA15" s="108"/>
      <c r="DB15" s="116">
        <f>VLOOKUP(CY15,LUNCHTABLE,2,FALSE)</f>
        <v>350</v>
      </c>
      <c r="DC15" s="23"/>
      <c r="DD15" s="23"/>
      <c r="DE15" s="34"/>
      <c r="DF15" s="35"/>
      <c r="DG15" s="21"/>
      <c r="DH15" s="22"/>
      <c r="DI15" s="21"/>
      <c r="DJ15" s="22"/>
      <c r="DK15" s="21"/>
      <c r="DL15" s="22"/>
      <c r="DM15" s="21"/>
      <c r="DN15" s="22"/>
      <c r="DO15" s="23"/>
      <c r="DP15" s="23"/>
      <c r="DQ15" s="23"/>
      <c r="DR15" s="23"/>
      <c r="DS15" s="23"/>
      <c r="DT15" s="23"/>
      <c r="DU15" s="23"/>
      <c r="DV15" s="107" t="s">
        <v>15</v>
      </c>
      <c r="DW15" s="108"/>
      <c r="DX15" s="113" t="s">
        <v>20</v>
      </c>
      <c r="DY15" s="107" t="s">
        <v>55</v>
      </c>
      <c r="DZ15" s="108"/>
      <c r="EA15" s="116">
        <f>VLOOKUP(DX15,LUNCHTABLE,2,FALSE)</f>
        <v>400</v>
      </c>
      <c r="EB15" s="23"/>
      <c r="EC15" s="23"/>
      <c r="ED15" s="34"/>
      <c r="EE15" s="35"/>
      <c r="EF15" s="21"/>
      <c r="EG15" s="22"/>
      <c r="EH15" s="21"/>
      <c r="EI15" s="22"/>
      <c r="EJ15" s="21"/>
      <c r="EK15" s="22"/>
      <c r="EL15" s="21"/>
      <c r="EM15" s="22"/>
      <c r="EN15" s="23"/>
      <c r="EO15" s="23"/>
      <c r="EP15" s="23"/>
      <c r="EQ15" s="23"/>
      <c r="ER15" s="23"/>
      <c r="ES15" s="23"/>
      <c r="ET15" s="23"/>
      <c r="EU15" s="107" t="s">
        <v>15</v>
      </c>
      <c r="EV15" s="108"/>
      <c r="EW15" s="113" t="s">
        <v>20</v>
      </c>
      <c r="EX15" s="107" t="s">
        <v>55</v>
      </c>
      <c r="EY15" s="108"/>
      <c r="EZ15" s="116">
        <f>VLOOKUP(EW15,LUNCHTABLE,2,FALSE)</f>
        <v>400</v>
      </c>
      <c r="FA15" s="23"/>
      <c r="FB15" s="23"/>
      <c r="FC15" s="34"/>
      <c r="FD15" s="35"/>
      <c r="FE15" s="21"/>
      <c r="FF15" s="22"/>
      <c r="FG15" s="21"/>
      <c r="FH15" s="22"/>
      <c r="FI15" s="21"/>
      <c r="FJ15" s="22"/>
      <c r="FK15" s="21"/>
      <c r="FL15" s="22"/>
      <c r="FM15" s="23"/>
      <c r="FN15" s="23"/>
      <c r="FO15" s="23"/>
      <c r="FP15" s="23"/>
      <c r="FQ15" s="23"/>
      <c r="FR15" s="23"/>
      <c r="FS15" s="23"/>
    </row>
    <row r="16" spans="1:175" ht="43.5" customHeight="1" x14ac:dyDescent="0.35">
      <c r="A16" s="109"/>
      <c r="B16" s="110"/>
      <c r="C16" s="114"/>
      <c r="D16" s="109"/>
      <c r="E16" s="110"/>
      <c r="F16" s="117"/>
      <c r="G16" s="23"/>
      <c r="H16" s="23"/>
      <c r="I16" s="30" t="s">
        <v>10</v>
      </c>
      <c r="J16" s="31"/>
      <c r="K16" s="17">
        <f>VLOOKUP(I16,METVALUE,2,FALSE)</f>
        <v>8</v>
      </c>
      <c r="L16" s="18"/>
      <c r="M16" s="17">
        <v>1</v>
      </c>
      <c r="N16" s="18"/>
      <c r="O16" s="17">
        <f>D3*K16</f>
        <v>1600</v>
      </c>
      <c r="P16" s="18"/>
      <c r="Q16" s="17">
        <f>M16*O16</f>
        <v>1600</v>
      </c>
      <c r="R16" s="18"/>
      <c r="S16" s="23"/>
      <c r="T16" s="23"/>
      <c r="U16" s="23"/>
      <c r="V16" s="23"/>
      <c r="W16" s="23"/>
      <c r="X16" s="23"/>
      <c r="Y16" s="23"/>
      <c r="Z16" s="109"/>
      <c r="AA16" s="110"/>
      <c r="AB16" s="114"/>
      <c r="AC16" s="109"/>
      <c r="AD16" s="110"/>
      <c r="AE16" s="117"/>
      <c r="AF16" s="23"/>
      <c r="AG16" s="23"/>
      <c r="AH16" s="30" t="s">
        <v>10</v>
      </c>
      <c r="AI16" s="31"/>
      <c r="AJ16" s="17">
        <f>VLOOKUP(AH16,METVALUE,2,FALSE)</f>
        <v>8</v>
      </c>
      <c r="AK16" s="18"/>
      <c r="AL16" s="17">
        <v>1</v>
      </c>
      <c r="AM16" s="18"/>
      <c r="AN16" s="17">
        <f>AC3*AJ16</f>
        <v>1600</v>
      </c>
      <c r="AO16" s="18"/>
      <c r="AP16" s="17">
        <f>AL16*AN16</f>
        <v>1600</v>
      </c>
      <c r="AQ16" s="18"/>
      <c r="AR16" s="23"/>
      <c r="AS16" s="23"/>
      <c r="AT16" s="23"/>
      <c r="AU16" s="23"/>
      <c r="AV16" s="23"/>
      <c r="AW16" s="23"/>
      <c r="AX16" s="23"/>
      <c r="AY16" s="109"/>
      <c r="AZ16" s="110"/>
      <c r="BA16" s="114"/>
      <c r="BB16" s="109"/>
      <c r="BC16" s="110"/>
      <c r="BD16" s="117"/>
      <c r="BE16" s="23"/>
      <c r="BF16" s="23"/>
      <c r="BG16" s="30" t="s">
        <v>10</v>
      </c>
      <c r="BH16" s="31"/>
      <c r="BI16" s="17">
        <f>VLOOKUP(BG16,METVALUE,2,FALSE)</f>
        <v>8</v>
      </c>
      <c r="BJ16" s="18"/>
      <c r="BK16" s="17">
        <v>0.25</v>
      </c>
      <c r="BL16" s="18"/>
      <c r="BM16" s="17">
        <f>BB3*BI16</f>
        <v>1600</v>
      </c>
      <c r="BN16" s="18"/>
      <c r="BO16" s="17">
        <f>BK16*BM16</f>
        <v>400</v>
      </c>
      <c r="BP16" s="18"/>
      <c r="BQ16" s="23"/>
      <c r="BR16" s="23"/>
      <c r="BS16" s="23"/>
      <c r="BT16" s="23"/>
      <c r="BU16" s="23"/>
      <c r="BV16" s="23"/>
      <c r="BW16" s="23"/>
      <c r="BX16" s="109"/>
      <c r="BY16" s="110"/>
      <c r="BZ16" s="114"/>
      <c r="CA16" s="109"/>
      <c r="CB16" s="110"/>
      <c r="CC16" s="117"/>
      <c r="CD16" s="23"/>
      <c r="CE16" s="23"/>
      <c r="CF16" s="30" t="s">
        <v>10</v>
      </c>
      <c r="CG16" s="31"/>
      <c r="CH16" s="17">
        <f>VLOOKUP(CF16,METVALUE,2,FALSE)</f>
        <v>8</v>
      </c>
      <c r="CI16" s="18"/>
      <c r="CJ16" s="17">
        <v>0.25</v>
      </c>
      <c r="CK16" s="18"/>
      <c r="CL16" s="17">
        <f>CA3*CH16</f>
        <v>1600</v>
      </c>
      <c r="CM16" s="18"/>
      <c r="CN16" s="17">
        <f>CJ16*CL16</f>
        <v>400</v>
      </c>
      <c r="CO16" s="18"/>
      <c r="CP16" s="23"/>
      <c r="CQ16" s="23"/>
      <c r="CR16" s="23"/>
      <c r="CS16" s="23"/>
      <c r="CT16" s="23"/>
      <c r="CU16" s="23"/>
      <c r="CV16" s="23"/>
      <c r="CW16" s="109"/>
      <c r="CX16" s="110"/>
      <c r="CY16" s="114"/>
      <c r="CZ16" s="109"/>
      <c r="DA16" s="110"/>
      <c r="DB16" s="117"/>
      <c r="DC16" s="23"/>
      <c r="DD16" s="23"/>
      <c r="DE16" s="30" t="s">
        <v>10</v>
      </c>
      <c r="DF16" s="31"/>
      <c r="DG16" s="17">
        <f>VLOOKUP(DE16,METVALUE,2,FALSE)</f>
        <v>8</v>
      </c>
      <c r="DH16" s="18"/>
      <c r="DI16" s="17">
        <v>0.25</v>
      </c>
      <c r="DJ16" s="18"/>
      <c r="DK16" s="17">
        <f>CZ3*DG16</f>
        <v>1600</v>
      </c>
      <c r="DL16" s="18"/>
      <c r="DM16" s="17">
        <f>DI16*DK16</f>
        <v>400</v>
      </c>
      <c r="DN16" s="18"/>
      <c r="DO16" s="23"/>
      <c r="DP16" s="23"/>
      <c r="DQ16" s="23"/>
      <c r="DR16" s="23"/>
      <c r="DS16" s="23"/>
      <c r="DT16" s="23"/>
      <c r="DU16" s="23"/>
      <c r="DV16" s="109"/>
      <c r="DW16" s="110"/>
      <c r="DX16" s="114"/>
      <c r="DY16" s="109"/>
      <c r="DZ16" s="110"/>
      <c r="EA16" s="117"/>
      <c r="EB16" s="23"/>
      <c r="EC16" s="23"/>
      <c r="ED16" s="30" t="s">
        <v>10</v>
      </c>
      <c r="EE16" s="31"/>
      <c r="EF16" s="17">
        <f>VLOOKUP(ED16,METVALUE,2,FALSE)</f>
        <v>8</v>
      </c>
      <c r="EG16" s="18"/>
      <c r="EH16" s="17">
        <v>1</v>
      </c>
      <c r="EI16" s="18"/>
      <c r="EJ16" s="17">
        <f>DY3*EF16</f>
        <v>1600</v>
      </c>
      <c r="EK16" s="18"/>
      <c r="EL16" s="17">
        <f>EH16*EJ16</f>
        <v>1600</v>
      </c>
      <c r="EM16" s="18"/>
      <c r="EN16" s="23"/>
      <c r="EO16" s="23"/>
      <c r="EP16" s="23"/>
      <c r="EQ16" s="23"/>
      <c r="ER16" s="23"/>
      <c r="ES16" s="23"/>
      <c r="ET16" s="23"/>
      <c r="EU16" s="109"/>
      <c r="EV16" s="110"/>
      <c r="EW16" s="114"/>
      <c r="EX16" s="109"/>
      <c r="EY16" s="110"/>
      <c r="EZ16" s="117"/>
      <c r="FA16" s="23"/>
      <c r="FB16" s="23"/>
      <c r="FC16" s="30" t="s">
        <v>10</v>
      </c>
      <c r="FD16" s="31"/>
      <c r="FE16" s="17">
        <f>VLOOKUP(FC16,METVALUE,2,FALSE)</f>
        <v>8</v>
      </c>
      <c r="FF16" s="18"/>
      <c r="FG16" s="17">
        <v>1.25</v>
      </c>
      <c r="FH16" s="18"/>
      <c r="FI16" s="17">
        <f>EX3*FE16</f>
        <v>1600</v>
      </c>
      <c r="FJ16" s="18"/>
      <c r="FK16" s="17">
        <f>FG16*FI16</f>
        <v>2000</v>
      </c>
      <c r="FL16" s="18"/>
      <c r="FM16" s="23"/>
      <c r="FN16" s="23"/>
      <c r="FO16" s="23"/>
      <c r="FP16" s="23"/>
      <c r="FQ16" s="23"/>
      <c r="FR16" s="23"/>
      <c r="FS16" s="23"/>
    </row>
    <row r="17" spans="1:175" ht="15" customHeight="1" x14ac:dyDescent="0.35">
      <c r="A17" s="109"/>
      <c r="B17" s="110"/>
      <c r="C17" s="114"/>
      <c r="D17" s="109"/>
      <c r="E17" s="110"/>
      <c r="F17" s="117"/>
      <c r="G17" s="23"/>
      <c r="H17" s="23"/>
      <c r="I17" s="32"/>
      <c r="J17" s="33"/>
      <c r="K17" s="19"/>
      <c r="L17" s="20"/>
      <c r="M17" s="19"/>
      <c r="N17" s="20"/>
      <c r="O17" s="19"/>
      <c r="P17" s="20"/>
      <c r="Q17" s="19"/>
      <c r="R17" s="20"/>
      <c r="S17" s="23"/>
      <c r="T17" s="23"/>
      <c r="U17" s="23"/>
      <c r="V17" s="23"/>
      <c r="W17" s="23"/>
      <c r="X17" s="23"/>
      <c r="Y17" s="23"/>
      <c r="Z17" s="109"/>
      <c r="AA17" s="110"/>
      <c r="AB17" s="114"/>
      <c r="AC17" s="109"/>
      <c r="AD17" s="110"/>
      <c r="AE17" s="117"/>
      <c r="AF17" s="23"/>
      <c r="AG17" s="23"/>
      <c r="AH17" s="32"/>
      <c r="AI17" s="33"/>
      <c r="AJ17" s="19"/>
      <c r="AK17" s="20"/>
      <c r="AL17" s="19"/>
      <c r="AM17" s="20"/>
      <c r="AN17" s="19"/>
      <c r="AO17" s="20"/>
      <c r="AP17" s="19"/>
      <c r="AQ17" s="20"/>
      <c r="AR17" s="23"/>
      <c r="AS17" s="23"/>
      <c r="AT17" s="23"/>
      <c r="AU17" s="23"/>
      <c r="AV17" s="23"/>
      <c r="AW17" s="23"/>
      <c r="AX17" s="23"/>
      <c r="AY17" s="109"/>
      <c r="AZ17" s="110"/>
      <c r="BA17" s="114"/>
      <c r="BB17" s="109"/>
      <c r="BC17" s="110"/>
      <c r="BD17" s="117"/>
      <c r="BE17" s="23"/>
      <c r="BF17" s="23"/>
      <c r="BG17" s="32"/>
      <c r="BH17" s="33"/>
      <c r="BI17" s="19"/>
      <c r="BJ17" s="20"/>
      <c r="BK17" s="19"/>
      <c r="BL17" s="20"/>
      <c r="BM17" s="19"/>
      <c r="BN17" s="20"/>
      <c r="BO17" s="19"/>
      <c r="BP17" s="20"/>
      <c r="BQ17" s="23"/>
      <c r="BR17" s="23"/>
      <c r="BS17" s="23"/>
      <c r="BT17" s="23"/>
      <c r="BU17" s="23"/>
      <c r="BV17" s="23"/>
      <c r="BW17" s="23"/>
      <c r="BX17" s="109"/>
      <c r="BY17" s="110"/>
      <c r="BZ17" s="114"/>
      <c r="CA17" s="109"/>
      <c r="CB17" s="110"/>
      <c r="CC17" s="117"/>
      <c r="CD17" s="23"/>
      <c r="CE17" s="23"/>
      <c r="CF17" s="32"/>
      <c r="CG17" s="33"/>
      <c r="CH17" s="19"/>
      <c r="CI17" s="20"/>
      <c r="CJ17" s="19"/>
      <c r="CK17" s="20"/>
      <c r="CL17" s="19"/>
      <c r="CM17" s="20"/>
      <c r="CN17" s="19"/>
      <c r="CO17" s="20"/>
      <c r="CP17" s="23"/>
      <c r="CQ17" s="23"/>
      <c r="CR17" s="23"/>
      <c r="CS17" s="23"/>
      <c r="CT17" s="23"/>
      <c r="CU17" s="23"/>
      <c r="CV17" s="23"/>
      <c r="CW17" s="109"/>
      <c r="CX17" s="110"/>
      <c r="CY17" s="114"/>
      <c r="CZ17" s="109"/>
      <c r="DA17" s="110"/>
      <c r="DB17" s="117"/>
      <c r="DC17" s="23"/>
      <c r="DD17" s="23"/>
      <c r="DE17" s="32"/>
      <c r="DF17" s="33"/>
      <c r="DG17" s="19"/>
      <c r="DH17" s="20"/>
      <c r="DI17" s="19"/>
      <c r="DJ17" s="20"/>
      <c r="DK17" s="19"/>
      <c r="DL17" s="20"/>
      <c r="DM17" s="19"/>
      <c r="DN17" s="20"/>
      <c r="DO17" s="23"/>
      <c r="DP17" s="23"/>
      <c r="DQ17" s="23"/>
      <c r="DR17" s="23"/>
      <c r="DS17" s="23"/>
      <c r="DT17" s="23"/>
      <c r="DU17" s="23"/>
      <c r="DV17" s="109"/>
      <c r="DW17" s="110"/>
      <c r="DX17" s="114"/>
      <c r="DY17" s="109"/>
      <c r="DZ17" s="110"/>
      <c r="EA17" s="117"/>
      <c r="EB17" s="23"/>
      <c r="EC17" s="23"/>
      <c r="ED17" s="32"/>
      <c r="EE17" s="33"/>
      <c r="EF17" s="19"/>
      <c r="EG17" s="20"/>
      <c r="EH17" s="19"/>
      <c r="EI17" s="20"/>
      <c r="EJ17" s="19"/>
      <c r="EK17" s="20"/>
      <c r="EL17" s="19"/>
      <c r="EM17" s="20"/>
      <c r="EN17" s="23"/>
      <c r="EO17" s="23"/>
      <c r="EP17" s="23"/>
      <c r="EQ17" s="23"/>
      <c r="ER17" s="23"/>
      <c r="ES17" s="23"/>
      <c r="ET17" s="23"/>
      <c r="EU17" s="109"/>
      <c r="EV17" s="110"/>
      <c r="EW17" s="114"/>
      <c r="EX17" s="109"/>
      <c r="EY17" s="110"/>
      <c r="EZ17" s="117"/>
      <c r="FA17" s="23"/>
      <c r="FB17" s="23"/>
      <c r="FC17" s="32"/>
      <c r="FD17" s="33"/>
      <c r="FE17" s="19"/>
      <c r="FF17" s="20"/>
      <c r="FG17" s="19"/>
      <c r="FH17" s="20"/>
      <c r="FI17" s="19"/>
      <c r="FJ17" s="20"/>
      <c r="FK17" s="19"/>
      <c r="FL17" s="20"/>
      <c r="FM17" s="23"/>
      <c r="FN17" s="23"/>
      <c r="FO17" s="23"/>
      <c r="FP17" s="23"/>
      <c r="FQ17" s="23"/>
      <c r="FR17" s="23"/>
      <c r="FS17" s="23"/>
    </row>
    <row r="18" spans="1:175" ht="15.75" customHeight="1" thickBot="1" x14ac:dyDescent="0.4">
      <c r="A18" s="111"/>
      <c r="B18" s="112"/>
      <c r="C18" s="115"/>
      <c r="D18" s="111"/>
      <c r="E18" s="112"/>
      <c r="F18" s="118"/>
      <c r="G18" s="23"/>
      <c r="H18" s="23"/>
      <c r="I18" s="34"/>
      <c r="J18" s="35"/>
      <c r="K18" s="21"/>
      <c r="L18" s="22"/>
      <c r="M18" s="21"/>
      <c r="N18" s="22"/>
      <c r="O18" s="21"/>
      <c r="P18" s="22"/>
      <c r="Q18" s="21"/>
      <c r="R18" s="22"/>
      <c r="S18" s="23"/>
      <c r="T18" s="23"/>
      <c r="U18" s="23"/>
      <c r="V18" s="23"/>
      <c r="W18" s="23"/>
      <c r="X18" s="23"/>
      <c r="Y18" s="23"/>
      <c r="Z18" s="111"/>
      <c r="AA18" s="112"/>
      <c r="AB18" s="115"/>
      <c r="AC18" s="111"/>
      <c r="AD18" s="112"/>
      <c r="AE18" s="118"/>
      <c r="AF18" s="23"/>
      <c r="AG18" s="23"/>
      <c r="AH18" s="34"/>
      <c r="AI18" s="35"/>
      <c r="AJ18" s="21"/>
      <c r="AK18" s="22"/>
      <c r="AL18" s="21"/>
      <c r="AM18" s="22"/>
      <c r="AN18" s="21"/>
      <c r="AO18" s="22"/>
      <c r="AP18" s="21"/>
      <c r="AQ18" s="22"/>
      <c r="AR18" s="23"/>
      <c r="AS18" s="23"/>
      <c r="AT18" s="23"/>
      <c r="AU18" s="23"/>
      <c r="AV18" s="23"/>
      <c r="AW18" s="23"/>
      <c r="AX18" s="23"/>
      <c r="AY18" s="111"/>
      <c r="AZ18" s="112"/>
      <c r="BA18" s="115"/>
      <c r="BB18" s="111"/>
      <c r="BC18" s="112"/>
      <c r="BD18" s="118"/>
      <c r="BE18" s="23"/>
      <c r="BF18" s="23"/>
      <c r="BG18" s="34"/>
      <c r="BH18" s="35"/>
      <c r="BI18" s="21"/>
      <c r="BJ18" s="22"/>
      <c r="BK18" s="21"/>
      <c r="BL18" s="22"/>
      <c r="BM18" s="21"/>
      <c r="BN18" s="22"/>
      <c r="BO18" s="21"/>
      <c r="BP18" s="22"/>
      <c r="BQ18" s="23"/>
      <c r="BR18" s="23"/>
      <c r="BS18" s="23"/>
      <c r="BT18" s="23"/>
      <c r="BU18" s="23"/>
      <c r="BV18" s="23"/>
      <c r="BW18" s="23"/>
      <c r="BX18" s="111"/>
      <c r="BY18" s="112"/>
      <c r="BZ18" s="115"/>
      <c r="CA18" s="111"/>
      <c r="CB18" s="112"/>
      <c r="CC18" s="118"/>
      <c r="CD18" s="23"/>
      <c r="CE18" s="23"/>
      <c r="CF18" s="34"/>
      <c r="CG18" s="35"/>
      <c r="CH18" s="21"/>
      <c r="CI18" s="22"/>
      <c r="CJ18" s="21"/>
      <c r="CK18" s="22"/>
      <c r="CL18" s="21"/>
      <c r="CM18" s="22"/>
      <c r="CN18" s="21"/>
      <c r="CO18" s="22"/>
      <c r="CP18" s="23"/>
      <c r="CQ18" s="23"/>
      <c r="CR18" s="23"/>
      <c r="CS18" s="23"/>
      <c r="CT18" s="23"/>
      <c r="CU18" s="23"/>
      <c r="CV18" s="23"/>
      <c r="CW18" s="111"/>
      <c r="CX18" s="112"/>
      <c r="CY18" s="115"/>
      <c r="CZ18" s="111"/>
      <c r="DA18" s="112"/>
      <c r="DB18" s="118"/>
      <c r="DC18" s="23"/>
      <c r="DD18" s="23"/>
      <c r="DE18" s="34"/>
      <c r="DF18" s="35"/>
      <c r="DG18" s="21"/>
      <c r="DH18" s="22"/>
      <c r="DI18" s="21"/>
      <c r="DJ18" s="22"/>
      <c r="DK18" s="21"/>
      <c r="DL18" s="22"/>
      <c r="DM18" s="21"/>
      <c r="DN18" s="22"/>
      <c r="DO18" s="23"/>
      <c r="DP18" s="23"/>
      <c r="DQ18" s="23"/>
      <c r="DR18" s="23"/>
      <c r="DS18" s="23"/>
      <c r="DT18" s="23"/>
      <c r="DU18" s="23"/>
      <c r="DV18" s="111"/>
      <c r="DW18" s="112"/>
      <c r="DX18" s="115"/>
      <c r="DY18" s="111"/>
      <c r="DZ18" s="112"/>
      <c r="EA18" s="118"/>
      <c r="EB18" s="23"/>
      <c r="EC18" s="23"/>
      <c r="ED18" s="34"/>
      <c r="EE18" s="35"/>
      <c r="EF18" s="21"/>
      <c r="EG18" s="22"/>
      <c r="EH18" s="21"/>
      <c r="EI18" s="22"/>
      <c r="EJ18" s="21"/>
      <c r="EK18" s="22"/>
      <c r="EL18" s="21"/>
      <c r="EM18" s="22"/>
      <c r="EN18" s="23"/>
      <c r="EO18" s="23"/>
      <c r="EP18" s="23"/>
      <c r="EQ18" s="23"/>
      <c r="ER18" s="23"/>
      <c r="ES18" s="23"/>
      <c r="ET18" s="23"/>
      <c r="EU18" s="111"/>
      <c r="EV18" s="112"/>
      <c r="EW18" s="115"/>
      <c r="EX18" s="111"/>
      <c r="EY18" s="112"/>
      <c r="EZ18" s="118"/>
      <c r="FA18" s="23"/>
      <c r="FB18" s="23"/>
      <c r="FC18" s="34"/>
      <c r="FD18" s="35"/>
      <c r="FE18" s="21"/>
      <c r="FF18" s="22"/>
      <c r="FG18" s="21"/>
      <c r="FH18" s="22"/>
      <c r="FI18" s="21"/>
      <c r="FJ18" s="22"/>
      <c r="FK18" s="21"/>
      <c r="FL18" s="22"/>
      <c r="FM18" s="23"/>
      <c r="FN18" s="23"/>
      <c r="FO18" s="23"/>
      <c r="FP18" s="23"/>
      <c r="FQ18" s="23"/>
      <c r="FR18" s="23"/>
      <c r="FS18" s="23"/>
    </row>
    <row r="19" spans="1:175" ht="38.25" customHeight="1" x14ac:dyDescent="0.35">
      <c r="A19" s="107" t="s">
        <v>27</v>
      </c>
      <c r="B19" s="108"/>
      <c r="C19" s="113" t="s">
        <v>28</v>
      </c>
      <c r="D19" s="107" t="s">
        <v>55</v>
      </c>
      <c r="E19" s="108"/>
      <c r="F19" s="116">
        <f>VLOOKUP(C19,DINNERTABLE,2,FALSE)</f>
        <v>450</v>
      </c>
      <c r="G19" s="23"/>
      <c r="H19" s="23"/>
      <c r="I19" s="30" t="s">
        <v>12</v>
      </c>
      <c r="J19" s="31"/>
      <c r="K19" s="17">
        <f>VLOOKUP(I19,METVALUE,2,FALSE)</f>
        <v>4</v>
      </c>
      <c r="L19" s="18"/>
      <c r="M19" s="17">
        <v>0.5</v>
      </c>
      <c r="N19" s="18"/>
      <c r="O19" s="17">
        <f>D3*K19</f>
        <v>800</v>
      </c>
      <c r="P19" s="18"/>
      <c r="Q19" s="17">
        <f>M19*O19</f>
        <v>400</v>
      </c>
      <c r="R19" s="18"/>
      <c r="S19" s="23"/>
      <c r="T19" s="23"/>
      <c r="U19" s="23"/>
      <c r="V19" s="23"/>
      <c r="W19" s="23"/>
      <c r="X19" s="23"/>
      <c r="Y19" s="23"/>
      <c r="Z19" s="107" t="s">
        <v>27</v>
      </c>
      <c r="AA19" s="108"/>
      <c r="AB19" s="113" t="s">
        <v>29</v>
      </c>
      <c r="AC19" s="107" t="s">
        <v>55</v>
      </c>
      <c r="AD19" s="108"/>
      <c r="AE19" s="116">
        <f>VLOOKUP(AB19,DINNERTABLE,2,FALSE)</f>
        <v>500</v>
      </c>
      <c r="AF19" s="23"/>
      <c r="AG19" s="23"/>
      <c r="AH19" s="30" t="s">
        <v>12</v>
      </c>
      <c r="AI19" s="31"/>
      <c r="AJ19" s="17">
        <f>VLOOKUP(AH19,METVALUE,2,FALSE)</f>
        <v>4</v>
      </c>
      <c r="AK19" s="18"/>
      <c r="AL19" s="17">
        <v>1</v>
      </c>
      <c r="AM19" s="18"/>
      <c r="AN19" s="17">
        <f>AC3*AJ19</f>
        <v>800</v>
      </c>
      <c r="AO19" s="18"/>
      <c r="AP19" s="17">
        <f>AL19*AN19</f>
        <v>800</v>
      </c>
      <c r="AQ19" s="18"/>
      <c r="AR19" s="23"/>
      <c r="AS19" s="23"/>
      <c r="AT19" s="23"/>
      <c r="AU19" s="23"/>
      <c r="AV19" s="23"/>
      <c r="AW19" s="23"/>
      <c r="AX19" s="23"/>
      <c r="AY19" s="107" t="s">
        <v>27</v>
      </c>
      <c r="AZ19" s="108"/>
      <c r="BA19" s="113" t="s">
        <v>30</v>
      </c>
      <c r="BB19" s="107" t="s">
        <v>55</v>
      </c>
      <c r="BC19" s="108"/>
      <c r="BD19" s="116">
        <f>VLOOKUP(BA19,DINNERTABLE,2,FALSE)</f>
        <v>480</v>
      </c>
      <c r="BE19" s="23"/>
      <c r="BF19" s="23"/>
      <c r="BG19" s="30" t="s">
        <v>12</v>
      </c>
      <c r="BH19" s="31"/>
      <c r="BI19" s="17">
        <f>VLOOKUP(BG19,METVALUE,2,FALSE)</f>
        <v>4</v>
      </c>
      <c r="BJ19" s="18"/>
      <c r="BK19" s="17">
        <v>0.5</v>
      </c>
      <c r="BL19" s="18"/>
      <c r="BM19" s="17">
        <f>BB3*BI19</f>
        <v>800</v>
      </c>
      <c r="BN19" s="18"/>
      <c r="BO19" s="17">
        <f>BK19*BM19</f>
        <v>400</v>
      </c>
      <c r="BP19" s="18"/>
      <c r="BQ19" s="23"/>
      <c r="BR19" s="23"/>
      <c r="BS19" s="23"/>
      <c r="BT19" s="23"/>
      <c r="BU19" s="23"/>
      <c r="BV19" s="23"/>
      <c r="BW19" s="23"/>
      <c r="BX19" s="107" t="s">
        <v>27</v>
      </c>
      <c r="BY19" s="108"/>
      <c r="BZ19" s="113" t="s">
        <v>31</v>
      </c>
      <c r="CA19" s="107" t="s">
        <v>55</v>
      </c>
      <c r="CB19" s="108"/>
      <c r="CC19" s="116">
        <f>VLOOKUP(BZ19,DINNERTABLE,2,FALSE)</f>
        <v>470</v>
      </c>
      <c r="CD19" s="23"/>
      <c r="CE19" s="23"/>
      <c r="CF19" s="30" t="s">
        <v>12</v>
      </c>
      <c r="CG19" s="31"/>
      <c r="CH19" s="17">
        <f>VLOOKUP(CF19,METVALUE,2,FALSE)</f>
        <v>4</v>
      </c>
      <c r="CI19" s="18"/>
      <c r="CJ19" s="17">
        <v>0.5</v>
      </c>
      <c r="CK19" s="18"/>
      <c r="CL19" s="17">
        <f>CA3*CH19</f>
        <v>800</v>
      </c>
      <c r="CM19" s="18"/>
      <c r="CN19" s="17">
        <f>CJ19*CL19</f>
        <v>400</v>
      </c>
      <c r="CO19" s="18"/>
      <c r="CP19" s="23"/>
      <c r="CQ19" s="23"/>
      <c r="CR19" s="23"/>
      <c r="CS19" s="23"/>
      <c r="CT19" s="23"/>
      <c r="CU19" s="23"/>
      <c r="CV19" s="23"/>
      <c r="CW19" s="107" t="s">
        <v>27</v>
      </c>
      <c r="CX19" s="108"/>
      <c r="CY19" s="113" t="s">
        <v>32</v>
      </c>
      <c r="CZ19" s="107" t="s">
        <v>55</v>
      </c>
      <c r="DA19" s="108"/>
      <c r="DB19" s="116">
        <f>VLOOKUP(CY19,DINNERTABLE,2,FALSE)</f>
        <v>520</v>
      </c>
      <c r="DC19" s="23"/>
      <c r="DD19" s="23"/>
      <c r="DE19" s="30" t="s">
        <v>12</v>
      </c>
      <c r="DF19" s="31"/>
      <c r="DG19" s="17">
        <f>VLOOKUP(DE19,METVALUE,2,FALSE)</f>
        <v>4</v>
      </c>
      <c r="DH19" s="18"/>
      <c r="DI19" s="17">
        <v>1.5</v>
      </c>
      <c r="DJ19" s="18"/>
      <c r="DK19" s="17">
        <f>CZ3*DG19</f>
        <v>800</v>
      </c>
      <c r="DL19" s="18"/>
      <c r="DM19" s="17">
        <f>DI19*DK19</f>
        <v>1200</v>
      </c>
      <c r="DN19" s="18"/>
      <c r="DO19" s="23"/>
      <c r="DP19" s="23"/>
      <c r="DQ19" s="23"/>
      <c r="DR19" s="23"/>
      <c r="DS19" s="23"/>
      <c r="DT19" s="23"/>
      <c r="DU19" s="23"/>
      <c r="DV19" s="107" t="s">
        <v>27</v>
      </c>
      <c r="DW19" s="108"/>
      <c r="DX19" s="113" t="s">
        <v>29</v>
      </c>
      <c r="DY19" s="107" t="s">
        <v>55</v>
      </c>
      <c r="DZ19" s="108"/>
      <c r="EA19" s="116">
        <f>VLOOKUP(DX19,DINNERTABLE,2,FALSE)</f>
        <v>500</v>
      </c>
      <c r="EB19" s="23"/>
      <c r="EC19" s="23"/>
      <c r="ED19" s="30" t="s">
        <v>12</v>
      </c>
      <c r="EE19" s="31"/>
      <c r="EF19" s="17">
        <f>VLOOKUP(ED19,METVALUE,2,FALSE)</f>
        <v>4</v>
      </c>
      <c r="EG19" s="18"/>
      <c r="EH19" s="17">
        <v>1</v>
      </c>
      <c r="EI19" s="18"/>
      <c r="EJ19" s="17">
        <f>DY3*EF19</f>
        <v>800</v>
      </c>
      <c r="EK19" s="18"/>
      <c r="EL19" s="17">
        <f>EH19*EJ19</f>
        <v>800</v>
      </c>
      <c r="EM19" s="18"/>
      <c r="EN19" s="23"/>
      <c r="EO19" s="23"/>
      <c r="EP19" s="23"/>
      <c r="EQ19" s="23"/>
      <c r="ER19" s="23"/>
      <c r="ES19" s="23"/>
      <c r="ET19" s="23"/>
      <c r="EU19" s="107" t="s">
        <v>27</v>
      </c>
      <c r="EV19" s="108"/>
      <c r="EW19" s="113" t="s">
        <v>29</v>
      </c>
      <c r="EX19" s="107" t="s">
        <v>55</v>
      </c>
      <c r="EY19" s="108"/>
      <c r="EZ19" s="116">
        <f>VLOOKUP(EW19,DINNERTABLE,2,FALSE)</f>
        <v>500</v>
      </c>
      <c r="FA19" s="23"/>
      <c r="FB19" s="23"/>
      <c r="FC19" s="30" t="s">
        <v>12</v>
      </c>
      <c r="FD19" s="31"/>
      <c r="FE19" s="17">
        <f>VLOOKUP(FC19,METVALUE,2,FALSE)</f>
        <v>4</v>
      </c>
      <c r="FF19" s="18"/>
      <c r="FG19" s="17">
        <v>0.75</v>
      </c>
      <c r="FH19" s="18"/>
      <c r="FI19" s="17">
        <f>EX3*FE19</f>
        <v>800</v>
      </c>
      <c r="FJ19" s="18"/>
      <c r="FK19" s="17">
        <f>FG19*FI19</f>
        <v>600</v>
      </c>
      <c r="FL19" s="18"/>
      <c r="FM19" s="23"/>
      <c r="FN19" s="23"/>
      <c r="FO19" s="23"/>
      <c r="FP19" s="23"/>
      <c r="FQ19" s="23"/>
      <c r="FR19" s="23"/>
      <c r="FS19" s="23"/>
    </row>
    <row r="20" spans="1:175" ht="15" customHeight="1" x14ac:dyDescent="0.35">
      <c r="A20" s="109"/>
      <c r="B20" s="110"/>
      <c r="C20" s="114"/>
      <c r="D20" s="109"/>
      <c r="E20" s="110"/>
      <c r="F20" s="117"/>
      <c r="G20" s="23"/>
      <c r="H20" s="23"/>
      <c r="I20" s="32"/>
      <c r="J20" s="33"/>
      <c r="K20" s="19"/>
      <c r="L20" s="20"/>
      <c r="M20" s="19"/>
      <c r="N20" s="20"/>
      <c r="O20" s="19"/>
      <c r="P20" s="20"/>
      <c r="Q20" s="19"/>
      <c r="R20" s="20"/>
      <c r="S20" s="23"/>
      <c r="T20" s="23"/>
      <c r="U20" s="23"/>
      <c r="V20" s="23"/>
      <c r="W20" s="23"/>
      <c r="X20" s="23"/>
      <c r="Y20" s="23"/>
      <c r="Z20" s="109"/>
      <c r="AA20" s="110"/>
      <c r="AB20" s="114"/>
      <c r="AC20" s="109"/>
      <c r="AD20" s="110"/>
      <c r="AE20" s="117"/>
      <c r="AF20" s="23"/>
      <c r="AG20" s="23"/>
      <c r="AH20" s="32"/>
      <c r="AI20" s="33"/>
      <c r="AJ20" s="19"/>
      <c r="AK20" s="20"/>
      <c r="AL20" s="19"/>
      <c r="AM20" s="20"/>
      <c r="AN20" s="19"/>
      <c r="AO20" s="20"/>
      <c r="AP20" s="19"/>
      <c r="AQ20" s="20"/>
      <c r="AR20" s="23"/>
      <c r="AS20" s="23"/>
      <c r="AT20" s="23"/>
      <c r="AU20" s="23"/>
      <c r="AV20" s="23"/>
      <c r="AW20" s="23"/>
      <c r="AX20" s="23"/>
      <c r="AY20" s="109"/>
      <c r="AZ20" s="110"/>
      <c r="BA20" s="114"/>
      <c r="BB20" s="109"/>
      <c r="BC20" s="110"/>
      <c r="BD20" s="117"/>
      <c r="BE20" s="23"/>
      <c r="BF20" s="23"/>
      <c r="BG20" s="32"/>
      <c r="BH20" s="33"/>
      <c r="BI20" s="19"/>
      <c r="BJ20" s="20"/>
      <c r="BK20" s="19"/>
      <c r="BL20" s="20"/>
      <c r="BM20" s="19"/>
      <c r="BN20" s="20"/>
      <c r="BO20" s="19"/>
      <c r="BP20" s="20"/>
      <c r="BQ20" s="23"/>
      <c r="BR20" s="23"/>
      <c r="BS20" s="23"/>
      <c r="BT20" s="23"/>
      <c r="BU20" s="23"/>
      <c r="BV20" s="23"/>
      <c r="BW20" s="23"/>
      <c r="BX20" s="109"/>
      <c r="BY20" s="110"/>
      <c r="BZ20" s="114"/>
      <c r="CA20" s="109"/>
      <c r="CB20" s="110"/>
      <c r="CC20" s="117"/>
      <c r="CD20" s="23"/>
      <c r="CE20" s="23"/>
      <c r="CF20" s="32"/>
      <c r="CG20" s="33"/>
      <c r="CH20" s="19"/>
      <c r="CI20" s="20"/>
      <c r="CJ20" s="19"/>
      <c r="CK20" s="20"/>
      <c r="CL20" s="19"/>
      <c r="CM20" s="20"/>
      <c r="CN20" s="19"/>
      <c r="CO20" s="20"/>
      <c r="CP20" s="23"/>
      <c r="CQ20" s="23"/>
      <c r="CR20" s="23"/>
      <c r="CS20" s="23"/>
      <c r="CT20" s="23"/>
      <c r="CU20" s="23"/>
      <c r="CV20" s="23"/>
      <c r="CW20" s="109"/>
      <c r="CX20" s="110"/>
      <c r="CY20" s="114"/>
      <c r="CZ20" s="109"/>
      <c r="DA20" s="110"/>
      <c r="DB20" s="117"/>
      <c r="DC20" s="23"/>
      <c r="DD20" s="23"/>
      <c r="DE20" s="32"/>
      <c r="DF20" s="33"/>
      <c r="DG20" s="19"/>
      <c r="DH20" s="20"/>
      <c r="DI20" s="19"/>
      <c r="DJ20" s="20"/>
      <c r="DK20" s="19"/>
      <c r="DL20" s="20"/>
      <c r="DM20" s="19"/>
      <c r="DN20" s="20"/>
      <c r="DO20" s="23"/>
      <c r="DP20" s="23"/>
      <c r="DQ20" s="23"/>
      <c r="DR20" s="23"/>
      <c r="DS20" s="23"/>
      <c r="DT20" s="23"/>
      <c r="DU20" s="23"/>
      <c r="DV20" s="109"/>
      <c r="DW20" s="110"/>
      <c r="DX20" s="114"/>
      <c r="DY20" s="109"/>
      <c r="DZ20" s="110"/>
      <c r="EA20" s="117"/>
      <c r="EB20" s="23"/>
      <c r="EC20" s="23"/>
      <c r="ED20" s="32"/>
      <c r="EE20" s="33"/>
      <c r="EF20" s="19"/>
      <c r="EG20" s="20"/>
      <c r="EH20" s="19"/>
      <c r="EI20" s="20"/>
      <c r="EJ20" s="19"/>
      <c r="EK20" s="20"/>
      <c r="EL20" s="19"/>
      <c r="EM20" s="20"/>
      <c r="EN20" s="23"/>
      <c r="EO20" s="23"/>
      <c r="EP20" s="23"/>
      <c r="EQ20" s="23"/>
      <c r="ER20" s="23"/>
      <c r="ES20" s="23"/>
      <c r="ET20" s="23"/>
      <c r="EU20" s="109"/>
      <c r="EV20" s="110"/>
      <c r="EW20" s="114"/>
      <c r="EX20" s="109"/>
      <c r="EY20" s="110"/>
      <c r="EZ20" s="117"/>
      <c r="FA20" s="23"/>
      <c r="FB20" s="23"/>
      <c r="FC20" s="32"/>
      <c r="FD20" s="33"/>
      <c r="FE20" s="19"/>
      <c r="FF20" s="20"/>
      <c r="FG20" s="19"/>
      <c r="FH20" s="20"/>
      <c r="FI20" s="19"/>
      <c r="FJ20" s="20"/>
      <c r="FK20" s="19"/>
      <c r="FL20" s="20"/>
      <c r="FM20" s="23"/>
      <c r="FN20" s="23"/>
      <c r="FO20" s="23"/>
      <c r="FP20" s="23"/>
      <c r="FQ20" s="23"/>
      <c r="FR20" s="23"/>
      <c r="FS20" s="23"/>
    </row>
    <row r="21" spans="1:175" ht="15.75" customHeight="1" thickBot="1" x14ac:dyDescent="0.4">
      <c r="A21" s="109"/>
      <c r="B21" s="110"/>
      <c r="C21" s="114"/>
      <c r="D21" s="109"/>
      <c r="E21" s="110"/>
      <c r="F21" s="117"/>
      <c r="G21" s="23"/>
      <c r="H21" s="23"/>
      <c r="I21" s="34"/>
      <c r="J21" s="35"/>
      <c r="K21" s="21"/>
      <c r="L21" s="22"/>
      <c r="M21" s="21"/>
      <c r="N21" s="22"/>
      <c r="O21" s="21"/>
      <c r="P21" s="22"/>
      <c r="Q21" s="21"/>
      <c r="R21" s="22"/>
      <c r="S21" s="23"/>
      <c r="T21" s="23"/>
      <c r="U21" s="23"/>
      <c r="V21" s="23"/>
      <c r="W21" s="23"/>
      <c r="X21" s="23"/>
      <c r="Y21" s="23"/>
      <c r="Z21" s="109"/>
      <c r="AA21" s="110"/>
      <c r="AB21" s="114"/>
      <c r="AC21" s="109"/>
      <c r="AD21" s="110"/>
      <c r="AE21" s="117"/>
      <c r="AF21" s="23"/>
      <c r="AG21" s="23"/>
      <c r="AH21" s="34"/>
      <c r="AI21" s="35"/>
      <c r="AJ21" s="21"/>
      <c r="AK21" s="22"/>
      <c r="AL21" s="21"/>
      <c r="AM21" s="22"/>
      <c r="AN21" s="21"/>
      <c r="AO21" s="22"/>
      <c r="AP21" s="21"/>
      <c r="AQ21" s="22"/>
      <c r="AR21" s="23"/>
      <c r="AS21" s="23"/>
      <c r="AT21" s="23"/>
      <c r="AU21" s="23"/>
      <c r="AV21" s="23"/>
      <c r="AW21" s="23"/>
      <c r="AX21" s="23"/>
      <c r="AY21" s="109"/>
      <c r="AZ21" s="110"/>
      <c r="BA21" s="114"/>
      <c r="BB21" s="109"/>
      <c r="BC21" s="110"/>
      <c r="BD21" s="117"/>
      <c r="BE21" s="23"/>
      <c r="BF21" s="23"/>
      <c r="BG21" s="34"/>
      <c r="BH21" s="35"/>
      <c r="BI21" s="21"/>
      <c r="BJ21" s="22"/>
      <c r="BK21" s="21"/>
      <c r="BL21" s="22"/>
      <c r="BM21" s="21"/>
      <c r="BN21" s="22"/>
      <c r="BO21" s="21"/>
      <c r="BP21" s="22"/>
      <c r="BQ21" s="23"/>
      <c r="BR21" s="23"/>
      <c r="BS21" s="23"/>
      <c r="BT21" s="23"/>
      <c r="BU21" s="23"/>
      <c r="BV21" s="23"/>
      <c r="BW21" s="23"/>
      <c r="BX21" s="109"/>
      <c r="BY21" s="110"/>
      <c r="BZ21" s="114"/>
      <c r="CA21" s="109"/>
      <c r="CB21" s="110"/>
      <c r="CC21" s="117"/>
      <c r="CD21" s="23"/>
      <c r="CE21" s="23"/>
      <c r="CF21" s="34"/>
      <c r="CG21" s="35"/>
      <c r="CH21" s="21"/>
      <c r="CI21" s="22"/>
      <c r="CJ21" s="21"/>
      <c r="CK21" s="22"/>
      <c r="CL21" s="21"/>
      <c r="CM21" s="22"/>
      <c r="CN21" s="21"/>
      <c r="CO21" s="22"/>
      <c r="CP21" s="23"/>
      <c r="CQ21" s="23"/>
      <c r="CR21" s="23"/>
      <c r="CS21" s="23"/>
      <c r="CT21" s="23"/>
      <c r="CU21" s="23"/>
      <c r="CV21" s="23"/>
      <c r="CW21" s="109"/>
      <c r="CX21" s="110"/>
      <c r="CY21" s="114"/>
      <c r="CZ21" s="109"/>
      <c r="DA21" s="110"/>
      <c r="DB21" s="117"/>
      <c r="DC21" s="23"/>
      <c r="DD21" s="23"/>
      <c r="DE21" s="34"/>
      <c r="DF21" s="35"/>
      <c r="DG21" s="21"/>
      <c r="DH21" s="22"/>
      <c r="DI21" s="21"/>
      <c r="DJ21" s="22"/>
      <c r="DK21" s="21"/>
      <c r="DL21" s="22"/>
      <c r="DM21" s="21"/>
      <c r="DN21" s="22"/>
      <c r="DO21" s="23"/>
      <c r="DP21" s="23"/>
      <c r="DQ21" s="23"/>
      <c r="DR21" s="23"/>
      <c r="DS21" s="23"/>
      <c r="DT21" s="23"/>
      <c r="DU21" s="23"/>
      <c r="DV21" s="109"/>
      <c r="DW21" s="110"/>
      <c r="DX21" s="114"/>
      <c r="DY21" s="109"/>
      <c r="DZ21" s="110"/>
      <c r="EA21" s="117"/>
      <c r="EB21" s="23"/>
      <c r="EC21" s="23"/>
      <c r="ED21" s="34"/>
      <c r="EE21" s="35"/>
      <c r="EF21" s="21"/>
      <c r="EG21" s="22"/>
      <c r="EH21" s="21"/>
      <c r="EI21" s="22"/>
      <c r="EJ21" s="21"/>
      <c r="EK21" s="22"/>
      <c r="EL21" s="21"/>
      <c r="EM21" s="22"/>
      <c r="EN21" s="23"/>
      <c r="EO21" s="23"/>
      <c r="EP21" s="23"/>
      <c r="EQ21" s="23"/>
      <c r="ER21" s="23"/>
      <c r="ES21" s="23"/>
      <c r="ET21" s="23"/>
      <c r="EU21" s="109"/>
      <c r="EV21" s="110"/>
      <c r="EW21" s="114"/>
      <c r="EX21" s="109"/>
      <c r="EY21" s="110"/>
      <c r="EZ21" s="117"/>
      <c r="FA21" s="23"/>
      <c r="FB21" s="23"/>
      <c r="FC21" s="34"/>
      <c r="FD21" s="35"/>
      <c r="FE21" s="21"/>
      <c r="FF21" s="22"/>
      <c r="FG21" s="21"/>
      <c r="FH21" s="22"/>
      <c r="FI21" s="21"/>
      <c r="FJ21" s="22"/>
      <c r="FK21" s="21"/>
      <c r="FL21" s="22"/>
      <c r="FM21" s="23"/>
      <c r="FN21" s="23"/>
      <c r="FO21" s="23"/>
      <c r="FP21" s="23"/>
      <c r="FQ21" s="23"/>
      <c r="FR21" s="23"/>
      <c r="FS21" s="23"/>
    </row>
    <row r="22" spans="1:175" ht="15.75" customHeight="1" thickBot="1" x14ac:dyDescent="0.4">
      <c r="A22" s="111"/>
      <c r="B22" s="112"/>
      <c r="C22" s="115"/>
      <c r="D22" s="111"/>
      <c r="E22" s="112"/>
      <c r="F22" s="118"/>
      <c r="G22" s="23"/>
      <c r="H22" s="23"/>
      <c r="I22" s="30" t="s">
        <v>14</v>
      </c>
      <c r="J22" s="31"/>
      <c r="K22" s="17">
        <f>VLOOKUP(I22,METVALUE,2,FALSE)</f>
        <v>9.8000000000000007</v>
      </c>
      <c r="L22" s="18"/>
      <c r="M22" s="17">
        <v>0.5</v>
      </c>
      <c r="N22" s="18"/>
      <c r="O22" s="17">
        <f>D3*K22</f>
        <v>1960.0000000000002</v>
      </c>
      <c r="P22" s="18"/>
      <c r="Q22" s="17">
        <f>M22*O22</f>
        <v>980.00000000000011</v>
      </c>
      <c r="R22" s="18"/>
      <c r="S22" s="23"/>
      <c r="T22" s="23"/>
      <c r="U22" s="23"/>
      <c r="V22" s="23"/>
      <c r="W22" s="23"/>
      <c r="X22" s="23"/>
      <c r="Y22" s="23"/>
      <c r="Z22" s="111"/>
      <c r="AA22" s="112"/>
      <c r="AB22" s="115"/>
      <c r="AC22" s="111"/>
      <c r="AD22" s="112"/>
      <c r="AE22" s="118"/>
      <c r="AF22" s="23"/>
      <c r="AG22" s="23"/>
      <c r="AH22" s="30" t="s">
        <v>14</v>
      </c>
      <c r="AI22" s="31"/>
      <c r="AJ22" s="17">
        <f>VLOOKUP(AH22,METVALUE,2,FALSE)</f>
        <v>9.8000000000000007</v>
      </c>
      <c r="AK22" s="18"/>
      <c r="AL22" s="17">
        <v>1</v>
      </c>
      <c r="AM22" s="18"/>
      <c r="AN22" s="17">
        <f>AC3*AJ22</f>
        <v>1960.0000000000002</v>
      </c>
      <c r="AO22" s="18"/>
      <c r="AP22" s="17">
        <f>AL22*AN22</f>
        <v>1960.0000000000002</v>
      </c>
      <c r="AQ22" s="18"/>
      <c r="AR22" s="23"/>
      <c r="AS22" s="23"/>
      <c r="AT22" s="23"/>
      <c r="AU22" s="23"/>
      <c r="AV22" s="23"/>
      <c r="AW22" s="23"/>
      <c r="AX22" s="23"/>
      <c r="AY22" s="111"/>
      <c r="AZ22" s="112"/>
      <c r="BA22" s="115"/>
      <c r="BB22" s="111"/>
      <c r="BC22" s="112"/>
      <c r="BD22" s="118"/>
      <c r="BE22" s="23"/>
      <c r="BF22" s="23"/>
      <c r="BG22" s="30" t="s">
        <v>14</v>
      </c>
      <c r="BH22" s="31"/>
      <c r="BI22" s="17">
        <f>VLOOKUP(BG22,METVALUE,2,FALSE)</f>
        <v>9.8000000000000007</v>
      </c>
      <c r="BJ22" s="18"/>
      <c r="BK22" s="17">
        <v>1</v>
      </c>
      <c r="BL22" s="18"/>
      <c r="BM22" s="17">
        <f>BB3*BI22</f>
        <v>1960.0000000000002</v>
      </c>
      <c r="BN22" s="18"/>
      <c r="BO22" s="17">
        <f>BK22*BM22</f>
        <v>1960.0000000000002</v>
      </c>
      <c r="BP22" s="18"/>
      <c r="BQ22" s="23"/>
      <c r="BR22" s="23"/>
      <c r="BS22" s="23"/>
      <c r="BT22" s="23"/>
      <c r="BU22" s="23"/>
      <c r="BV22" s="23"/>
      <c r="BW22" s="23"/>
      <c r="BX22" s="111"/>
      <c r="BY22" s="112"/>
      <c r="BZ22" s="115"/>
      <c r="CA22" s="111"/>
      <c r="CB22" s="112"/>
      <c r="CC22" s="118"/>
      <c r="CD22" s="23"/>
      <c r="CE22" s="23"/>
      <c r="CF22" s="30" t="s">
        <v>14</v>
      </c>
      <c r="CG22" s="31"/>
      <c r="CH22" s="17">
        <f>VLOOKUP(CF22,METVALUE,2,FALSE)</f>
        <v>9.8000000000000007</v>
      </c>
      <c r="CI22" s="18"/>
      <c r="CJ22" s="17">
        <v>1</v>
      </c>
      <c r="CK22" s="18"/>
      <c r="CL22" s="17">
        <f>CA3*CH22</f>
        <v>1960.0000000000002</v>
      </c>
      <c r="CM22" s="18"/>
      <c r="CN22" s="17">
        <f>CJ22*CL22</f>
        <v>1960.0000000000002</v>
      </c>
      <c r="CO22" s="18"/>
      <c r="CP22" s="23"/>
      <c r="CQ22" s="23"/>
      <c r="CR22" s="23"/>
      <c r="CS22" s="23"/>
      <c r="CT22" s="23"/>
      <c r="CU22" s="23"/>
      <c r="CV22" s="23"/>
      <c r="CW22" s="111"/>
      <c r="CX22" s="112"/>
      <c r="CY22" s="115"/>
      <c r="CZ22" s="111"/>
      <c r="DA22" s="112"/>
      <c r="DB22" s="118"/>
      <c r="DC22" s="23"/>
      <c r="DD22" s="23"/>
      <c r="DE22" s="30" t="s">
        <v>14</v>
      </c>
      <c r="DF22" s="31"/>
      <c r="DG22" s="17">
        <f>VLOOKUP(DE22,METVALUE,2,FALSE)</f>
        <v>9.8000000000000007</v>
      </c>
      <c r="DH22" s="18"/>
      <c r="DI22" s="17">
        <v>1</v>
      </c>
      <c r="DJ22" s="18"/>
      <c r="DK22" s="17">
        <f>CZ3*DG22</f>
        <v>1960.0000000000002</v>
      </c>
      <c r="DL22" s="18"/>
      <c r="DM22" s="17">
        <f>DI22*DK22</f>
        <v>1960.0000000000002</v>
      </c>
      <c r="DN22" s="18"/>
      <c r="DO22" s="23"/>
      <c r="DP22" s="23"/>
      <c r="DQ22" s="23"/>
      <c r="DR22" s="23"/>
      <c r="DS22" s="23"/>
      <c r="DT22" s="23"/>
      <c r="DU22" s="23"/>
      <c r="DV22" s="111"/>
      <c r="DW22" s="112"/>
      <c r="DX22" s="115"/>
      <c r="DY22" s="111"/>
      <c r="DZ22" s="112"/>
      <c r="EA22" s="118"/>
      <c r="EB22" s="23"/>
      <c r="EC22" s="23"/>
      <c r="ED22" s="30" t="s">
        <v>14</v>
      </c>
      <c r="EE22" s="31"/>
      <c r="EF22" s="17">
        <f>VLOOKUP(ED22,METVALUE,2,FALSE)</f>
        <v>9.8000000000000007</v>
      </c>
      <c r="EG22" s="18"/>
      <c r="EH22" s="17">
        <v>0.25</v>
      </c>
      <c r="EI22" s="18"/>
      <c r="EJ22" s="17">
        <f>DY3*EF22</f>
        <v>1960.0000000000002</v>
      </c>
      <c r="EK22" s="18"/>
      <c r="EL22" s="17">
        <f>EH22*EJ22</f>
        <v>490.00000000000006</v>
      </c>
      <c r="EM22" s="18"/>
      <c r="EN22" s="23"/>
      <c r="EO22" s="23"/>
      <c r="EP22" s="23"/>
      <c r="EQ22" s="23"/>
      <c r="ER22" s="23"/>
      <c r="ES22" s="23"/>
      <c r="ET22" s="23"/>
      <c r="EU22" s="111"/>
      <c r="EV22" s="112"/>
      <c r="EW22" s="115"/>
      <c r="EX22" s="111"/>
      <c r="EY22" s="112"/>
      <c r="EZ22" s="118"/>
      <c r="FA22" s="23"/>
      <c r="FB22" s="23"/>
      <c r="FC22" s="30" t="s">
        <v>14</v>
      </c>
      <c r="FD22" s="31"/>
      <c r="FE22" s="17">
        <f>VLOOKUP(FC22,METVALUE,2,FALSE)</f>
        <v>9.8000000000000007</v>
      </c>
      <c r="FF22" s="18"/>
      <c r="FG22" s="17">
        <v>1.5</v>
      </c>
      <c r="FH22" s="18"/>
      <c r="FI22" s="17">
        <f>EX3*FE22</f>
        <v>1960.0000000000002</v>
      </c>
      <c r="FJ22" s="18"/>
      <c r="FK22" s="17">
        <f>FG22*FI22</f>
        <v>2940.0000000000005</v>
      </c>
      <c r="FL22" s="18"/>
      <c r="FM22" s="23"/>
      <c r="FN22" s="23"/>
      <c r="FO22" s="23"/>
      <c r="FP22" s="23"/>
      <c r="FQ22" s="23"/>
      <c r="FR22" s="23"/>
      <c r="FS22" s="23"/>
    </row>
    <row r="23" spans="1:175" ht="15" customHeight="1" x14ac:dyDescent="0.35">
      <c r="A23" s="23"/>
      <c r="B23" s="23"/>
      <c r="C23" s="23"/>
      <c r="D23" s="23"/>
      <c r="E23" s="23"/>
      <c r="F23" s="23"/>
      <c r="G23" s="23"/>
      <c r="H23" s="23"/>
      <c r="I23" s="32"/>
      <c r="J23" s="33"/>
      <c r="K23" s="19"/>
      <c r="L23" s="20"/>
      <c r="M23" s="19"/>
      <c r="N23" s="20"/>
      <c r="O23" s="19"/>
      <c r="P23" s="20"/>
      <c r="Q23" s="19"/>
      <c r="R23" s="20"/>
      <c r="S23" s="23"/>
      <c r="T23" s="23"/>
      <c r="U23" s="23"/>
      <c r="V23" s="23"/>
      <c r="W23" s="23"/>
      <c r="X23" s="23"/>
      <c r="Y23" s="23"/>
      <c r="Z23" s="23"/>
      <c r="AA23" s="23"/>
      <c r="AB23" s="23"/>
      <c r="AC23" s="23"/>
      <c r="AD23" s="23"/>
      <c r="AE23" s="23"/>
      <c r="AF23" s="23"/>
      <c r="AG23" s="23"/>
      <c r="AH23" s="32"/>
      <c r="AI23" s="33"/>
      <c r="AJ23" s="19"/>
      <c r="AK23" s="20"/>
      <c r="AL23" s="19"/>
      <c r="AM23" s="20"/>
      <c r="AN23" s="19"/>
      <c r="AO23" s="20"/>
      <c r="AP23" s="19"/>
      <c r="AQ23" s="20"/>
      <c r="AR23" s="23"/>
      <c r="AS23" s="23"/>
      <c r="AT23" s="23"/>
      <c r="AU23" s="23"/>
      <c r="AV23" s="23"/>
      <c r="AW23" s="23"/>
      <c r="AX23" s="23"/>
      <c r="AY23" s="23"/>
      <c r="AZ23" s="23"/>
      <c r="BA23" s="23"/>
      <c r="BB23" s="23"/>
      <c r="BC23" s="23"/>
      <c r="BD23" s="23"/>
      <c r="BE23" s="23"/>
      <c r="BF23" s="23"/>
      <c r="BG23" s="32"/>
      <c r="BH23" s="33"/>
      <c r="BI23" s="19"/>
      <c r="BJ23" s="20"/>
      <c r="BK23" s="19"/>
      <c r="BL23" s="20"/>
      <c r="BM23" s="19"/>
      <c r="BN23" s="20"/>
      <c r="BO23" s="19"/>
      <c r="BP23" s="20"/>
      <c r="BQ23" s="23"/>
      <c r="BR23" s="23"/>
      <c r="BS23" s="23"/>
      <c r="BT23" s="23"/>
      <c r="BU23" s="23"/>
      <c r="BV23" s="23"/>
      <c r="BW23" s="23"/>
      <c r="BX23" s="23"/>
      <c r="BY23" s="23"/>
      <c r="BZ23" s="23"/>
      <c r="CA23" s="23"/>
      <c r="CB23" s="23"/>
      <c r="CC23" s="23"/>
      <c r="CD23" s="23"/>
      <c r="CE23" s="23"/>
      <c r="CF23" s="32"/>
      <c r="CG23" s="33"/>
      <c r="CH23" s="19"/>
      <c r="CI23" s="20"/>
      <c r="CJ23" s="19"/>
      <c r="CK23" s="20"/>
      <c r="CL23" s="19"/>
      <c r="CM23" s="20"/>
      <c r="CN23" s="19"/>
      <c r="CO23" s="20"/>
      <c r="CP23" s="23"/>
      <c r="CQ23" s="23"/>
      <c r="CR23" s="23"/>
      <c r="CS23" s="23"/>
      <c r="CT23" s="23"/>
      <c r="CU23" s="23"/>
      <c r="CV23" s="23"/>
      <c r="CW23" s="23"/>
      <c r="CX23" s="23"/>
      <c r="CY23" s="23"/>
      <c r="CZ23" s="23"/>
      <c r="DA23" s="23"/>
      <c r="DB23" s="23"/>
      <c r="DC23" s="23"/>
      <c r="DD23" s="23"/>
      <c r="DE23" s="32"/>
      <c r="DF23" s="33"/>
      <c r="DG23" s="19"/>
      <c r="DH23" s="20"/>
      <c r="DI23" s="19"/>
      <c r="DJ23" s="20"/>
      <c r="DK23" s="19"/>
      <c r="DL23" s="20"/>
      <c r="DM23" s="19"/>
      <c r="DN23" s="20"/>
      <c r="DO23" s="23"/>
      <c r="DP23" s="23"/>
      <c r="DQ23" s="23"/>
      <c r="DR23" s="23"/>
      <c r="DS23" s="23"/>
      <c r="DT23" s="23"/>
      <c r="DU23" s="23"/>
      <c r="DV23" s="23"/>
      <c r="DW23" s="23"/>
      <c r="DX23" s="23"/>
      <c r="DY23" s="23"/>
      <c r="DZ23" s="23"/>
      <c r="EA23" s="23"/>
      <c r="EB23" s="23"/>
      <c r="EC23" s="23"/>
      <c r="ED23" s="32"/>
      <c r="EE23" s="33"/>
      <c r="EF23" s="19"/>
      <c r="EG23" s="20"/>
      <c r="EH23" s="19"/>
      <c r="EI23" s="20"/>
      <c r="EJ23" s="19"/>
      <c r="EK23" s="20"/>
      <c r="EL23" s="19"/>
      <c r="EM23" s="20"/>
      <c r="EN23" s="23"/>
      <c r="EO23" s="23"/>
      <c r="EP23" s="23"/>
      <c r="EQ23" s="23"/>
      <c r="ER23" s="23"/>
      <c r="ES23" s="23"/>
      <c r="ET23" s="23"/>
      <c r="EU23" s="23"/>
      <c r="EV23" s="23"/>
      <c r="EW23" s="23"/>
      <c r="EX23" s="23"/>
      <c r="EY23" s="23"/>
      <c r="EZ23" s="23"/>
      <c r="FA23" s="23"/>
      <c r="FB23" s="23"/>
      <c r="FC23" s="32"/>
      <c r="FD23" s="33"/>
      <c r="FE23" s="19"/>
      <c r="FF23" s="20"/>
      <c r="FG23" s="19"/>
      <c r="FH23" s="20"/>
      <c r="FI23" s="19"/>
      <c r="FJ23" s="20"/>
      <c r="FK23" s="19"/>
      <c r="FL23" s="20"/>
      <c r="FM23" s="23"/>
      <c r="FN23" s="23"/>
      <c r="FO23" s="23"/>
      <c r="FP23" s="23"/>
      <c r="FQ23" s="23"/>
      <c r="FR23" s="23"/>
      <c r="FS23" s="23"/>
    </row>
    <row r="24" spans="1:175" ht="15.75" customHeight="1" thickBot="1" x14ac:dyDescent="0.4">
      <c r="A24" s="23"/>
      <c r="B24" s="23"/>
      <c r="C24" s="23"/>
      <c r="D24" s="23"/>
      <c r="E24" s="23"/>
      <c r="F24" s="23"/>
      <c r="G24" s="23"/>
      <c r="H24" s="23"/>
      <c r="I24" s="34"/>
      <c r="J24" s="35"/>
      <c r="K24" s="21"/>
      <c r="L24" s="22"/>
      <c r="M24" s="21"/>
      <c r="N24" s="22"/>
      <c r="O24" s="21"/>
      <c r="P24" s="22"/>
      <c r="Q24" s="21"/>
      <c r="R24" s="22"/>
      <c r="S24" s="23"/>
      <c r="T24" s="23"/>
      <c r="U24" s="23"/>
      <c r="V24" s="23"/>
      <c r="W24" s="23"/>
      <c r="X24" s="23"/>
      <c r="Y24" s="23"/>
      <c r="Z24" s="23"/>
      <c r="AA24" s="23"/>
      <c r="AB24" s="23"/>
      <c r="AC24" s="23"/>
      <c r="AD24" s="23"/>
      <c r="AE24" s="23"/>
      <c r="AF24" s="23"/>
      <c r="AG24" s="23"/>
      <c r="AH24" s="34"/>
      <c r="AI24" s="35"/>
      <c r="AJ24" s="21"/>
      <c r="AK24" s="22"/>
      <c r="AL24" s="21"/>
      <c r="AM24" s="22"/>
      <c r="AN24" s="21"/>
      <c r="AO24" s="22"/>
      <c r="AP24" s="21"/>
      <c r="AQ24" s="22"/>
      <c r="AR24" s="23"/>
      <c r="AS24" s="23"/>
      <c r="AT24" s="23"/>
      <c r="AU24" s="23"/>
      <c r="AV24" s="23"/>
      <c r="AW24" s="23"/>
      <c r="AX24" s="23"/>
      <c r="AY24" s="23"/>
      <c r="AZ24" s="23"/>
      <c r="BA24" s="23"/>
      <c r="BB24" s="23"/>
      <c r="BC24" s="23"/>
      <c r="BD24" s="23"/>
      <c r="BE24" s="23"/>
      <c r="BF24" s="23"/>
      <c r="BG24" s="34"/>
      <c r="BH24" s="35"/>
      <c r="BI24" s="21"/>
      <c r="BJ24" s="22"/>
      <c r="BK24" s="21"/>
      <c r="BL24" s="22"/>
      <c r="BM24" s="21"/>
      <c r="BN24" s="22"/>
      <c r="BO24" s="21"/>
      <c r="BP24" s="22"/>
      <c r="BQ24" s="23"/>
      <c r="BR24" s="23"/>
      <c r="BS24" s="23"/>
      <c r="BT24" s="23"/>
      <c r="BU24" s="23"/>
      <c r="BV24" s="23"/>
      <c r="BW24" s="23"/>
      <c r="BX24" s="23"/>
      <c r="BY24" s="23"/>
      <c r="BZ24" s="23"/>
      <c r="CA24" s="23"/>
      <c r="CB24" s="23"/>
      <c r="CC24" s="23"/>
      <c r="CD24" s="23"/>
      <c r="CE24" s="23"/>
      <c r="CF24" s="34"/>
      <c r="CG24" s="35"/>
      <c r="CH24" s="21"/>
      <c r="CI24" s="22"/>
      <c r="CJ24" s="21"/>
      <c r="CK24" s="22"/>
      <c r="CL24" s="21"/>
      <c r="CM24" s="22"/>
      <c r="CN24" s="21"/>
      <c r="CO24" s="22"/>
      <c r="CP24" s="23"/>
      <c r="CQ24" s="23"/>
      <c r="CR24" s="23"/>
      <c r="CS24" s="23"/>
      <c r="CT24" s="23"/>
      <c r="CU24" s="23"/>
      <c r="CV24" s="23"/>
      <c r="CW24" s="23"/>
      <c r="CX24" s="23"/>
      <c r="CY24" s="23"/>
      <c r="CZ24" s="23"/>
      <c r="DA24" s="23"/>
      <c r="DB24" s="23"/>
      <c r="DC24" s="23"/>
      <c r="DD24" s="23"/>
      <c r="DE24" s="34"/>
      <c r="DF24" s="35"/>
      <c r="DG24" s="21"/>
      <c r="DH24" s="22"/>
      <c r="DI24" s="21"/>
      <c r="DJ24" s="22"/>
      <c r="DK24" s="21"/>
      <c r="DL24" s="22"/>
      <c r="DM24" s="21"/>
      <c r="DN24" s="22"/>
      <c r="DO24" s="23"/>
      <c r="DP24" s="23"/>
      <c r="DQ24" s="23"/>
      <c r="DR24" s="23"/>
      <c r="DS24" s="23"/>
      <c r="DT24" s="23"/>
      <c r="DU24" s="23"/>
      <c r="DV24" s="23"/>
      <c r="DW24" s="23"/>
      <c r="DX24" s="23"/>
      <c r="DY24" s="23"/>
      <c r="DZ24" s="23"/>
      <c r="EA24" s="23"/>
      <c r="EB24" s="23"/>
      <c r="EC24" s="23"/>
      <c r="ED24" s="34"/>
      <c r="EE24" s="35"/>
      <c r="EF24" s="21"/>
      <c r="EG24" s="22"/>
      <c r="EH24" s="21"/>
      <c r="EI24" s="22"/>
      <c r="EJ24" s="21"/>
      <c r="EK24" s="22"/>
      <c r="EL24" s="21"/>
      <c r="EM24" s="22"/>
      <c r="EN24" s="23"/>
      <c r="EO24" s="23"/>
      <c r="EP24" s="23"/>
      <c r="EQ24" s="23"/>
      <c r="ER24" s="23"/>
      <c r="ES24" s="23"/>
      <c r="ET24" s="23"/>
      <c r="EU24" s="23"/>
      <c r="EV24" s="23"/>
      <c r="EW24" s="23"/>
      <c r="EX24" s="23"/>
      <c r="EY24" s="23"/>
      <c r="EZ24" s="23"/>
      <c r="FA24" s="23"/>
      <c r="FB24" s="23"/>
      <c r="FC24" s="34"/>
      <c r="FD24" s="35"/>
      <c r="FE24" s="21"/>
      <c r="FF24" s="22"/>
      <c r="FG24" s="21"/>
      <c r="FH24" s="22"/>
      <c r="FI24" s="21"/>
      <c r="FJ24" s="22"/>
      <c r="FK24" s="21"/>
      <c r="FL24" s="22"/>
      <c r="FM24" s="23"/>
      <c r="FN24" s="23"/>
      <c r="FO24" s="23"/>
      <c r="FP24" s="23"/>
      <c r="FQ24" s="23"/>
      <c r="FR24" s="23"/>
      <c r="FS24" s="23"/>
    </row>
    <row r="25" spans="1:175" ht="15" customHeight="1" x14ac:dyDescent="0.35">
      <c r="A25" s="23"/>
      <c r="B25" s="23"/>
      <c r="C25" s="23"/>
      <c r="D25" s="23"/>
      <c r="E25" s="23"/>
      <c r="F25" s="23"/>
      <c r="G25" s="23"/>
      <c r="H25" s="23"/>
      <c r="I25" s="30" t="s">
        <v>21</v>
      </c>
      <c r="J25" s="31"/>
      <c r="K25" s="17">
        <f>VLOOKUP(I25,METVALUE,2,FALSE)</f>
        <v>10</v>
      </c>
      <c r="L25" s="18"/>
      <c r="M25" s="17">
        <v>0.75</v>
      </c>
      <c r="N25" s="18"/>
      <c r="O25" s="17">
        <f>D3*K25</f>
        <v>2000</v>
      </c>
      <c r="P25" s="18"/>
      <c r="Q25" s="17">
        <f>M25*O25</f>
        <v>1500</v>
      </c>
      <c r="R25" s="18"/>
      <c r="S25" s="23"/>
      <c r="T25" s="23"/>
      <c r="U25" s="23"/>
      <c r="V25" s="23"/>
      <c r="W25" s="23"/>
      <c r="X25" s="23"/>
      <c r="Y25" s="23"/>
      <c r="Z25" s="23"/>
      <c r="AA25" s="23"/>
      <c r="AB25" s="23"/>
      <c r="AC25" s="23"/>
      <c r="AD25" s="23"/>
      <c r="AE25" s="23"/>
      <c r="AF25" s="23"/>
      <c r="AG25" s="23"/>
      <c r="AH25" s="30" t="s">
        <v>21</v>
      </c>
      <c r="AI25" s="31"/>
      <c r="AJ25" s="17">
        <f>VLOOKUP(AH25,METVALUE,2,FALSE)</f>
        <v>10</v>
      </c>
      <c r="AK25" s="18"/>
      <c r="AL25" s="17">
        <v>2</v>
      </c>
      <c r="AM25" s="18"/>
      <c r="AN25" s="17">
        <f>AC3*AJ25</f>
        <v>2000</v>
      </c>
      <c r="AO25" s="18"/>
      <c r="AP25" s="17">
        <f>AL25*AN25</f>
        <v>4000</v>
      </c>
      <c r="AQ25" s="18"/>
      <c r="AR25" s="23"/>
      <c r="AS25" s="23"/>
      <c r="AT25" s="23"/>
      <c r="AU25" s="23"/>
      <c r="AV25" s="23"/>
      <c r="AW25" s="23"/>
      <c r="AX25" s="23"/>
      <c r="AY25" s="23"/>
      <c r="AZ25" s="23"/>
      <c r="BA25" s="23"/>
      <c r="BB25" s="23"/>
      <c r="BC25" s="23"/>
      <c r="BD25" s="23"/>
      <c r="BE25" s="23"/>
      <c r="BF25" s="23"/>
      <c r="BG25" s="30" t="s">
        <v>21</v>
      </c>
      <c r="BH25" s="31"/>
      <c r="BI25" s="17">
        <f>VLOOKUP(BG25,METVALUE,2,FALSE)</f>
        <v>10</v>
      </c>
      <c r="BJ25" s="18"/>
      <c r="BK25" s="17">
        <v>2</v>
      </c>
      <c r="BL25" s="18"/>
      <c r="BM25" s="17">
        <f>BB3*BI25</f>
        <v>2000</v>
      </c>
      <c r="BN25" s="18"/>
      <c r="BO25" s="17">
        <f>BK25*BM25</f>
        <v>4000</v>
      </c>
      <c r="BP25" s="18"/>
      <c r="BQ25" s="23"/>
      <c r="BR25" s="23"/>
      <c r="BS25" s="23"/>
      <c r="BT25" s="23"/>
      <c r="BU25" s="23"/>
      <c r="BV25" s="23"/>
      <c r="BW25" s="23"/>
      <c r="BX25" s="23"/>
      <c r="BY25" s="23"/>
      <c r="BZ25" s="23"/>
      <c r="CA25" s="23"/>
      <c r="CB25" s="23"/>
      <c r="CC25" s="23"/>
      <c r="CD25" s="23"/>
      <c r="CE25" s="23"/>
      <c r="CF25" s="30" t="s">
        <v>21</v>
      </c>
      <c r="CG25" s="31"/>
      <c r="CH25" s="17">
        <f>VLOOKUP(CF25,METVALUE,2,FALSE)</f>
        <v>10</v>
      </c>
      <c r="CI25" s="18"/>
      <c r="CJ25" s="17">
        <v>2</v>
      </c>
      <c r="CK25" s="18"/>
      <c r="CL25" s="17">
        <f>CA3*CH25</f>
        <v>2000</v>
      </c>
      <c r="CM25" s="18"/>
      <c r="CN25" s="17">
        <f>CJ25*CL25</f>
        <v>4000</v>
      </c>
      <c r="CO25" s="18"/>
      <c r="CP25" s="23"/>
      <c r="CQ25" s="23"/>
      <c r="CR25" s="23"/>
      <c r="CS25" s="23"/>
      <c r="CT25" s="23"/>
      <c r="CU25" s="23"/>
      <c r="CV25" s="23"/>
      <c r="CW25" s="23"/>
      <c r="CX25" s="23"/>
      <c r="CY25" s="23"/>
      <c r="CZ25" s="23"/>
      <c r="DA25" s="23"/>
      <c r="DB25" s="23"/>
      <c r="DC25" s="23"/>
      <c r="DD25" s="23"/>
      <c r="DE25" s="30" t="s">
        <v>21</v>
      </c>
      <c r="DF25" s="31"/>
      <c r="DG25" s="17">
        <f>VLOOKUP(DE25,METVALUE,2,FALSE)</f>
        <v>10</v>
      </c>
      <c r="DH25" s="18"/>
      <c r="DI25" s="17">
        <v>2</v>
      </c>
      <c r="DJ25" s="18"/>
      <c r="DK25" s="17">
        <f>CZ3*DG25</f>
        <v>2000</v>
      </c>
      <c r="DL25" s="18"/>
      <c r="DM25" s="17">
        <f>DI25*DK25</f>
        <v>4000</v>
      </c>
      <c r="DN25" s="18"/>
      <c r="DO25" s="23"/>
      <c r="DP25" s="23"/>
      <c r="DQ25" s="23"/>
      <c r="DR25" s="23"/>
      <c r="DS25" s="23"/>
      <c r="DT25" s="23"/>
      <c r="DU25" s="23"/>
      <c r="DV25" s="23"/>
      <c r="DW25" s="23"/>
      <c r="DX25" s="23"/>
      <c r="DY25" s="23"/>
      <c r="DZ25" s="23"/>
      <c r="EA25" s="23"/>
      <c r="EB25" s="23"/>
      <c r="EC25" s="23"/>
      <c r="ED25" s="30" t="s">
        <v>21</v>
      </c>
      <c r="EE25" s="31"/>
      <c r="EF25" s="17">
        <f>VLOOKUP(ED25,METVALUE,2,FALSE)</f>
        <v>10</v>
      </c>
      <c r="EG25" s="18"/>
      <c r="EH25" s="17">
        <v>0.5</v>
      </c>
      <c r="EI25" s="18"/>
      <c r="EJ25" s="17">
        <f>DY3*EF25</f>
        <v>2000</v>
      </c>
      <c r="EK25" s="18"/>
      <c r="EL25" s="17">
        <f>EH25*EJ25</f>
        <v>1000</v>
      </c>
      <c r="EM25" s="18"/>
      <c r="EN25" s="23"/>
      <c r="EO25" s="23"/>
      <c r="EP25" s="23"/>
      <c r="EQ25" s="23"/>
      <c r="ER25" s="23"/>
      <c r="ES25" s="23"/>
      <c r="ET25" s="23"/>
      <c r="EU25" s="23"/>
      <c r="EV25" s="23"/>
      <c r="EW25" s="23"/>
      <c r="EX25" s="23"/>
      <c r="EY25" s="23"/>
      <c r="EZ25" s="23"/>
      <c r="FA25" s="23"/>
      <c r="FB25" s="23"/>
      <c r="FC25" s="30" t="s">
        <v>21</v>
      </c>
      <c r="FD25" s="31"/>
      <c r="FE25" s="17">
        <f>VLOOKUP(FC25,METVALUE,2,FALSE)</f>
        <v>10</v>
      </c>
      <c r="FF25" s="18"/>
      <c r="FG25" s="17">
        <v>2</v>
      </c>
      <c r="FH25" s="18"/>
      <c r="FI25" s="17">
        <f>EX3*FE25</f>
        <v>2000</v>
      </c>
      <c r="FJ25" s="18"/>
      <c r="FK25" s="17">
        <f>FG25*FI25</f>
        <v>4000</v>
      </c>
      <c r="FL25" s="18"/>
      <c r="FM25" s="23"/>
      <c r="FN25" s="23"/>
      <c r="FO25" s="23"/>
      <c r="FP25" s="23"/>
      <c r="FQ25" s="23"/>
      <c r="FR25" s="23"/>
      <c r="FS25" s="23"/>
    </row>
    <row r="26" spans="1:175" ht="15" customHeight="1" x14ac:dyDescent="0.35">
      <c r="A26" s="23"/>
      <c r="B26" s="23"/>
      <c r="C26" s="23"/>
      <c r="D26" s="23"/>
      <c r="E26" s="23"/>
      <c r="F26" s="23"/>
      <c r="G26" s="23"/>
      <c r="H26" s="23"/>
      <c r="I26" s="32"/>
      <c r="J26" s="33"/>
      <c r="K26" s="19"/>
      <c r="L26" s="20"/>
      <c r="M26" s="19"/>
      <c r="N26" s="20"/>
      <c r="O26" s="19"/>
      <c r="P26" s="20"/>
      <c r="Q26" s="19"/>
      <c r="R26" s="20"/>
      <c r="S26" s="23"/>
      <c r="T26" s="23"/>
      <c r="U26" s="23"/>
      <c r="V26" s="23"/>
      <c r="W26" s="23"/>
      <c r="X26" s="23"/>
      <c r="Y26" s="23"/>
      <c r="Z26" s="23"/>
      <c r="AA26" s="23"/>
      <c r="AB26" s="23"/>
      <c r="AC26" s="23"/>
      <c r="AD26" s="23"/>
      <c r="AE26" s="23"/>
      <c r="AF26" s="23"/>
      <c r="AG26" s="23"/>
      <c r="AH26" s="32"/>
      <c r="AI26" s="33"/>
      <c r="AJ26" s="19"/>
      <c r="AK26" s="20"/>
      <c r="AL26" s="19"/>
      <c r="AM26" s="20"/>
      <c r="AN26" s="19"/>
      <c r="AO26" s="20"/>
      <c r="AP26" s="19"/>
      <c r="AQ26" s="20"/>
      <c r="AR26" s="23"/>
      <c r="AS26" s="23"/>
      <c r="AT26" s="23"/>
      <c r="AU26" s="23"/>
      <c r="AV26" s="23"/>
      <c r="AW26" s="23"/>
      <c r="AX26" s="23"/>
      <c r="AY26" s="23"/>
      <c r="AZ26" s="23"/>
      <c r="BA26" s="23"/>
      <c r="BB26" s="23"/>
      <c r="BC26" s="23"/>
      <c r="BD26" s="23"/>
      <c r="BE26" s="23"/>
      <c r="BF26" s="23"/>
      <c r="BG26" s="32"/>
      <c r="BH26" s="33"/>
      <c r="BI26" s="19"/>
      <c r="BJ26" s="20"/>
      <c r="BK26" s="19"/>
      <c r="BL26" s="20"/>
      <c r="BM26" s="19"/>
      <c r="BN26" s="20"/>
      <c r="BO26" s="19"/>
      <c r="BP26" s="20"/>
      <c r="BQ26" s="23"/>
      <c r="BR26" s="23"/>
      <c r="BS26" s="23"/>
      <c r="BT26" s="23"/>
      <c r="BU26" s="23"/>
      <c r="BV26" s="23"/>
      <c r="BW26" s="23"/>
      <c r="BX26" s="23"/>
      <c r="BY26" s="23"/>
      <c r="BZ26" s="23"/>
      <c r="CA26" s="23"/>
      <c r="CB26" s="23"/>
      <c r="CC26" s="23"/>
      <c r="CD26" s="23"/>
      <c r="CE26" s="23"/>
      <c r="CF26" s="32"/>
      <c r="CG26" s="33"/>
      <c r="CH26" s="19"/>
      <c r="CI26" s="20"/>
      <c r="CJ26" s="19"/>
      <c r="CK26" s="20"/>
      <c r="CL26" s="19"/>
      <c r="CM26" s="20"/>
      <c r="CN26" s="19"/>
      <c r="CO26" s="20"/>
      <c r="CP26" s="23"/>
      <c r="CQ26" s="23"/>
      <c r="CR26" s="23"/>
      <c r="CS26" s="23"/>
      <c r="CT26" s="23"/>
      <c r="CU26" s="23"/>
      <c r="CV26" s="23"/>
      <c r="CW26" s="23"/>
      <c r="CX26" s="23"/>
      <c r="CY26" s="23"/>
      <c r="CZ26" s="23"/>
      <c r="DA26" s="23"/>
      <c r="DB26" s="23"/>
      <c r="DC26" s="23"/>
      <c r="DD26" s="23"/>
      <c r="DE26" s="32"/>
      <c r="DF26" s="33"/>
      <c r="DG26" s="19"/>
      <c r="DH26" s="20"/>
      <c r="DI26" s="19"/>
      <c r="DJ26" s="20"/>
      <c r="DK26" s="19"/>
      <c r="DL26" s="20"/>
      <c r="DM26" s="19"/>
      <c r="DN26" s="20"/>
      <c r="DO26" s="23"/>
      <c r="DP26" s="23"/>
      <c r="DQ26" s="23"/>
      <c r="DR26" s="23"/>
      <c r="DS26" s="23"/>
      <c r="DT26" s="23"/>
      <c r="DU26" s="23"/>
      <c r="DV26" s="23"/>
      <c r="DW26" s="23"/>
      <c r="DX26" s="23"/>
      <c r="DY26" s="23"/>
      <c r="DZ26" s="23"/>
      <c r="EA26" s="23"/>
      <c r="EB26" s="23"/>
      <c r="EC26" s="23"/>
      <c r="ED26" s="32"/>
      <c r="EE26" s="33"/>
      <c r="EF26" s="19"/>
      <c r="EG26" s="20"/>
      <c r="EH26" s="19"/>
      <c r="EI26" s="20"/>
      <c r="EJ26" s="19"/>
      <c r="EK26" s="20"/>
      <c r="EL26" s="19"/>
      <c r="EM26" s="20"/>
      <c r="EN26" s="23"/>
      <c r="EO26" s="23"/>
      <c r="EP26" s="23"/>
      <c r="EQ26" s="23"/>
      <c r="ER26" s="23"/>
      <c r="ES26" s="23"/>
      <c r="ET26" s="23"/>
      <c r="EU26" s="23"/>
      <c r="EV26" s="23"/>
      <c r="EW26" s="23"/>
      <c r="EX26" s="23"/>
      <c r="EY26" s="23"/>
      <c r="EZ26" s="23"/>
      <c r="FA26" s="23"/>
      <c r="FB26" s="23"/>
      <c r="FC26" s="32"/>
      <c r="FD26" s="33"/>
      <c r="FE26" s="19"/>
      <c r="FF26" s="20"/>
      <c r="FG26" s="19"/>
      <c r="FH26" s="20"/>
      <c r="FI26" s="19"/>
      <c r="FJ26" s="20"/>
      <c r="FK26" s="19"/>
      <c r="FL26" s="20"/>
      <c r="FM26" s="23"/>
      <c r="FN26" s="23"/>
      <c r="FO26" s="23"/>
      <c r="FP26" s="23"/>
      <c r="FQ26" s="23"/>
      <c r="FR26" s="23"/>
      <c r="FS26" s="23"/>
    </row>
    <row r="27" spans="1:175" ht="15.75" customHeight="1" thickBot="1" x14ac:dyDescent="0.4">
      <c r="A27" s="23"/>
      <c r="B27" s="23"/>
      <c r="C27" s="23"/>
      <c r="D27" s="23"/>
      <c r="E27" s="23"/>
      <c r="F27" s="23"/>
      <c r="G27" s="23"/>
      <c r="H27" s="23"/>
      <c r="I27" s="34"/>
      <c r="J27" s="35"/>
      <c r="K27" s="21"/>
      <c r="L27" s="22"/>
      <c r="M27" s="21"/>
      <c r="N27" s="22"/>
      <c r="O27" s="21"/>
      <c r="P27" s="22"/>
      <c r="Q27" s="21"/>
      <c r="R27" s="22"/>
      <c r="S27" s="23"/>
      <c r="T27" s="23"/>
      <c r="U27" s="23"/>
      <c r="V27" s="23"/>
      <c r="W27" s="23"/>
      <c r="X27" s="23"/>
      <c r="Y27" s="23"/>
      <c r="Z27" s="23"/>
      <c r="AA27" s="23"/>
      <c r="AB27" s="23"/>
      <c r="AC27" s="23"/>
      <c r="AD27" s="23"/>
      <c r="AE27" s="23"/>
      <c r="AF27" s="23"/>
      <c r="AG27" s="23"/>
      <c r="AH27" s="34"/>
      <c r="AI27" s="35"/>
      <c r="AJ27" s="21"/>
      <c r="AK27" s="22"/>
      <c r="AL27" s="21"/>
      <c r="AM27" s="22"/>
      <c r="AN27" s="21"/>
      <c r="AO27" s="22"/>
      <c r="AP27" s="21"/>
      <c r="AQ27" s="22"/>
      <c r="AR27" s="23"/>
      <c r="AS27" s="23"/>
      <c r="AT27" s="23"/>
      <c r="AU27" s="23"/>
      <c r="AV27" s="23"/>
      <c r="AW27" s="23"/>
      <c r="AX27" s="23"/>
      <c r="AY27" s="23"/>
      <c r="AZ27" s="23"/>
      <c r="BA27" s="23"/>
      <c r="BB27" s="23"/>
      <c r="BC27" s="23"/>
      <c r="BD27" s="23"/>
      <c r="BE27" s="23"/>
      <c r="BF27" s="23"/>
      <c r="BG27" s="34"/>
      <c r="BH27" s="35"/>
      <c r="BI27" s="21"/>
      <c r="BJ27" s="22"/>
      <c r="BK27" s="21"/>
      <c r="BL27" s="22"/>
      <c r="BM27" s="21"/>
      <c r="BN27" s="22"/>
      <c r="BO27" s="21"/>
      <c r="BP27" s="22"/>
      <c r="BQ27" s="23"/>
      <c r="BR27" s="23"/>
      <c r="BS27" s="23"/>
      <c r="BT27" s="23"/>
      <c r="BU27" s="23"/>
      <c r="BV27" s="23"/>
      <c r="BW27" s="23"/>
      <c r="BX27" s="23"/>
      <c r="BY27" s="23"/>
      <c r="BZ27" s="23"/>
      <c r="CA27" s="23"/>
      <c r="CB27" s="23"/>
      <c r="CC27" s="23"/>
      <c r="CD27" s="23"/>
      <c r="CE27" s="23"/>
      <c r="CF27" s="34"/>
      <c r="CG27" s="35"/>
      <c r="CH27" s="21"/>
      <c r="CI27" s="22"/>
      <c r="CJ27" s="21"/>
      <c r="CK27" s="22"/>
      <c r="CL27" s="21"/>
      <c r="CM27" s="22"/>
      <c r="CN27" s="21"/>
      <c r="CO27" s="22"/>
      <c r="CP27" s="23"/>
      <c r="CQ27" s="23"/>
      <c r="CR27" s="23"/>
      <c r="CS27" s="23"/>
      <c r="CT27" s="23"/>
      <c r="CU27" s="23"/>
      <c r="CV27" s="23"/>
      <c r="CW27" s="23"/>
      <c r="CX27" s="23"/>
      <c r="CY27" s="23"/>
      <c r="CZ27" s="23"/>
      <c r="DA27" s="23"/>
      <c r="DB27" s="23"/>
      <c r="DC27" s="23"/>
      <c r="DD27" s="23"/>
      <c r="DE27" s="34"/>
      <c r="DF27" s="35"/>
      <c r="DG27" s="21"/>
      <c r="DH27" s="22"/>
      <c r="DI27" s="21"/>
      <c r="DJ27" s="22"/>
      <c r="DK27" s="21"/>
      <c r="DL27" s="22"/>
      <c r="DM27" s="21"/>
      <c r="DN27" s="22"/>
      <c r="DO27" s="23"/>
      <c r="DP27" s="23"/>
      <c r="DQ27" s="23"/>
      <c r="DR27" s="23"/>
      <c r="DS27" s="23"/>
      <c r="DT27" s="23"/>
      <c r="DU27" s="23"/>
      <c r="DV27" s="23"/>
      <c r="DW27" s="23"/>
      <c r="DX27" s="23"/>
      <c r="DY27" s="23"/>
      <c r="DZ27" s="23"/>
      <c r="EA27" s="23"/>
      <c r="EB27" s="23"/>
      <c r="EC27" s="23"/>
      <c r="ED27" s="34"/>
      <c r="EE27" s="35"/>
      <c r="EF27" s="21"/>
      <c r="EG27" s="22"/>
      <c r="EH27" s="21"/>
      <c r="EI27" s="22"/>
      <c r="EJ27" s="21"/>
      <c r="EK27" s="22"/>
      <c r="EL27" s="21"/>
      <c r="EM27" s="22"/>
      <c r="EN27" s="23"/>
      <c r="EO27" s="23"/>
      <c r="EP27" s="23"/>
      <c r="EQ27" s="23"/>
      <c r="ER27" s="23"/>
      <c r="ES27" s="23"/>
      <c r="ET27" s="23"/>
      <c r="EU27" s="23"/>
      <c r="EV27" s="23"/>
      <c r="EW27" s="23"/>
      <c r="EX27" s="23"/>
      <c r="EY27" s="23"/>
      <c r="EZ27" s="23"/>
      <c r="FA27" s="23"/>
      <c r="FB27" s="23"/>
      <c r="FC27" s="34"/>
      <c r="FD27" s="35"/>
      <c r="FE27" s="21"/>
      <c r="FF27" s="22"/>
      <c r="FG27" s="21"/>
      <c r="FH27" s="22"/>
      <c r="FI27" s="21"/>
      <c r="FJ27" s="22"/>
      <c r="FK27" s="21"/>
      <c r="FL27" s="22"/>
      <c r="FM27" s="23"/>
      <c r="FN27" s="23"/>
      <c r="FO27" s="23"/>
      <c r="FP27" s="23"/>
      <c r="FQ27" s="23"/>
      <c r="FR27" s="23"/>
      <c r="FS27" s="23"/>
    </row>
    <row r="28" spans="1:175" ht="15" customHeight="1" x14ac:dyDescent="0.35">
      <c r="A28" s="23"/>
      <c r="B28" s="23"/>
      <c r="C28" s="23"/>
      <c r="D28" s="23"/>
      <c r="E28" s="23"/>
      <c r="F28" s="23"/>
      <c r="G28" s="23"/>
      <c r="H28" s="23"/>
      <c r="I28" s="30" t="s">
        <v>60</v>
      </c>
      <c r="J28" s="31"/>
      <c r="K28" s="17">
        <f>VLOOKUP(I25,METVALUE,2,FALSE)</f>
        <v>10</v>
      </c>
      <c r="L28" s="18"/>
      <c r="M28" s="17">
        <v>0</v>
      </c>
      <c r="N28" s="18"/>
      <c r="O28" s="17">
        <f>D3*K28</f>
        <v>2000</v>
      </c>
      <c r="P28" s="18"/>
      <c r="Q28" s="17">
        <f>M28*O28</f>
        <v>0</v>
      </c>
      <c r="R28" s="18"/>
      <c r="S28" s="23"/>
      <c r="T28" s="23"/>
      <c r="U28" s="23"/>
      <c r="V28" s="23"/>
      <c r="W28" s="23"/>
      <c r="X28" s="23"/>
      <c r="Y28" s="23"/>
      <c r="Z28" s="23"/>
      <c r="AA28" s="23"/>
      <c r="AB28" s="23"/>
      <c r="AC28" s="23"/>
      <c r="AD28" s="23"/>
      <c r="AE28" s="23"/>
      <c r="AF28" s="23"/>
      <c r="AG28" s="23"/>
      <c r="AH28" s="30" t="s">
        <v>60</v>
      </c>
      <c r="AI28" s="31"/>
      <c r="AJ28" s="17">
        <f>VLOOKUP(AH25,METVALUE,2,FALSE)</f>
        <v>10</v>
      </c>
      <c r="AK28" s="18"/>
      <c r="AL28" s="17">
        <v>1</v>
      </c>
      <c r="AM28" s="18"/>
      <c r="AN28" s="17">
        <f>AC3*AJ28</f>
        <v>2000</v>
      </c>
      <c r="AO28" s="18"/>
      <c r="AP28" s="17">
        <f>AL28*AN28</f>
        <v>2000</v>
      </c>
      <c r="AQ28" s="18"/>
      <c r="AR28" s="23"/>
      <c r="AS28" s="23"/>
      <c r="AT28" s="23"/>
      <c r="AU28" s="23"/>
      <c r="AV28" s="23"/>
      <c r="AW28" s="23"/>
      <c r="AX28" s="23"/>
      <c r="AY28" s="23"/>
      <c r="AZ28" s="23"/>
      <c r="BA28" s="23"/>
      <c r="BB28" s="23"/>
      <c r="BC28" s="23"/>
      <c r="BD28" s="23"/>
      <c r="BE28" s="23"/>
      <c r="BF28" s="23"/>
      <c r="BG28" s="30" t="s">
        <v>60</v>
      </c>
      <c r="BH28" s="31"/>
      <c r="BI28" s="17">
        <f>VLOOKUP(BG25,METVALUE,2,FALSE)</f>
        <v>10</v>
      </c>
      <c r="BJ28" s="18"/>
      <c r="BK28" s="17">
        <v>1</v>
      </c>
      <c r="BL28" s="18"/>
      <c r="BM28" s="17">
        <f>BB3*BI28</f>
        <v>2000</v>
      </c>
      <c r="BN28" s="18"/>
      <c r="BO28" s="17">
        <f>BK28*BM28</f>
        <v>2000</v>
      </c>
      <c r="BP28" s="18"/>
      <c r="BQ28" s="23"/>
      <c r="BR28" s="23"/>
      <c r="BS28" s="23"/>
      <c r="BT28" s="23"/>
      <c r="BU28" s="23"/>
      <c r="BV28" s="23"/>
      <c r="BW28" s="23"/>
      <c r="BX28" s="23"/>
      <c r="BY28" s="23"/>
      <c r="BZ28" s="23"/>
      <c r="CA28" s="23"/>
      <c r="CB28" s="23"/>
      <c r="CC28" s="23"/>
      <c r="CD28" s="23"/>
      <c r="CE28" s="23"/>
      <c r="CF28" s="30" t="s">
        <v>60</v>
      </c>
      <c r="CG28" s="31"/>
      <c r="CH28" s="17">
        <f>VLOOKUP(CF25,METVALUE,2,FALSE)</f>
        <v>10</v>
      </c>
      <c r="CI28" s="18"/>
      <c r="CJ28" s="17">
        <v>0</v>
      </c>
      <c r="CK28" s="18"/>
      <c r="CL28" s="17">
        <f>CA3*CH28</f>
        <v>2000</v>
      </c>
      <c r="CM28" s="18"/>
      <c r="CN28" s="17">
        <f>CJ28*CL28</f>
        <v>0</v>
      </c>
      <c r="CO28" s="18"/>
      <c r="CP28" s="23"/>
      <c r="CQ28" s="23"/>
      <c r="CR28" s="23"/>
      <c r="CS28" s="23"/>
      <c r="CT28" s="23"/>
      <c r="CU28" s="23"/>
      <c r="CV28" s="23"/>
      <c r="CW28" s="23"/>
      <c r="CX28" s="23"/>
      <c r="CY28" s="23"/>
      <c r="CZ28" s="23"/>
      <c r="DA28" s="23"/>
      <c r="DB28" s="23"/>
      <c r="DC28" s="23"/>
      <c r="DD28" s="23"/>
      <c r="DE28" s="30" t="s">
        <v>60</v>
      </c>
      <c r="DF28" s="31"/>
      <c r="DG28" s="17">
        <f>VLOOKUP(DE25,METVALUE,2,FALSE)</f>
        <v>10</v>
      </c>
      <c r="DH28" s="18"/>
      <c r="DI28" s="17">
        <v>0</v>
      </c>
      <c r="DJ28" s="18"/>
      <c r="DK28" s="17">
        <f>CZ3*DG28</f>
        <v>2000</v>
      </c>
      <c r="DL28" s="18"/>
      <c r="DM28" s="17">
        <f>DI28*DK28</f>
        <v>0</v>
      </c>
      <c r="DN28" s="18"/>
      <c r="DO28" s="23"/>
      <c r="DP28" s="23"/>
      <c r="DQ28" s="23"/>
      <c r="DR28" s="23"/>
      <c r="DS28" s="23"/>
      <c r="DT28" s="23"/>
      <c r="DU28" s="23"/>
      <c r="DV28" s="23"/>
      <c r="DW28" s="23"/>
      <c r="DX28" s="23"/>
      <c r="DY28" s="23"/>
      <c r="DZ28" s="23"/>
      <c r="EA28" s="23"/>
      <c r="EB28" s="23"/>
      <c r="EC28" s="23"/>
      <c r="ED28" s="30" t="s">
        <v>60</v>
      </c>
      <c r="EE28" s="31"/>
      <c r="EF28" s="17">
        <f>VLOOKUP(ED25,METVALUE,2,FALSE)</f>
        <v>10</v>
      </c>
      <c r="EG28" s="18"/>
      <c r="EH28" s="17">
        <v>0</v>
      </c>
      <c r="EI28" s="18"/>
      <c r="EJ28" s="17">
        <f>DY3*EF28</f>
        <v>2000</v>
      </c>
      <c r="EK28" s="18"/>
      <c r="EL28" s="17">
        <f>EH28*EJ28</f>
        <v>0</v>
      </c>
      <c r="EM28" s="18"/>
      <c r="EN28" s="23"/>
      <c r="EO28" s="23"/>
      <c r="EP28" s="23"/>
      <c r="EQ28" s="23"/>
      <c r="ER28" s="23"/>
      <c r="ES28" s="23"/>
      <c r="ET28" s="23"/>
      <c r="EU28" s="23"/>
      <c r="EV28" s="23"/>
      <c r="EW28" s="23"/>
      <c r="EX28" s="23"/>
      <c r="EY28" s="23"/>
      <c r="EZ28" s="23"/>
      <c r="FA28" s="23"/>
      <c r="FB28" s="23"/>
      <c r="FC28" s="30" t="s">
        <v>60</v>
      </c>
      <c r="FD28" s="31"/>
      <c r="FE28" s="17">
        <f>VLOOKUP(FC25,METVALUE,2,FALSE)</f>
        <v>10</v>
      </c>
      <c r="FF28" s="18"/>
      <c r="FG28" s="17">
        <v>0</v>
      </c>
      <c r="FH28" s="18"/>
      <c r="FI28" s="17">
        <f>EX3*FE28</f>
        <v>2000</v>
      </c>
      <c r="FJ28" s="18"/>
      <c r="FK28" s="17">
        <f>FG28*FI28</f>
        <v>0</v>
      </c>
      <c r="FL28" s="18"/>
      <c r="FM28" s="23"/>
      <c r="FN28" s="23"/>
      <c r="FO28" s="23"/>
      <c r="FP28" s="23"/>
      <c r="FQ28" s="23"/>
      <c r="FR28" s="23"/>
      <c r="FS28" s="23"/>
    </row>
    <row r="29" spans="1:175" ht="15" customHeight="1" x14ac:dyDescent="0.35">
      <c r="A29" s="23"/>
      <c r="B29" s="23"/>
      <c r="C29" s="23"/>
      <c r="D29" s="23"/>
      <c r="E29" s="23"/>
      <c r="F29" s="23"/>
      <c r="G29" s="23"/>
      <c r="H29" s="23"/>
      <c r="I29" s="32"/>
      <c r="J29" s="33"/>
      <c r="K29" s="19"/>
      <c r="L29" s="20"/>
      <c r="M29" s="19"/>
      <c r="N29" s="20"/>
      <c r="O29" s="19"/>
      <c r="P29" s="20"/>
      <c r="Q29" s="19"/>
      <c r="R29" s="20"/>
      <c r="S29" s="23"/>
      <c r="T29" s="23"/>
      <c r="U29" s="23"/>
      <c r="V29" s="23"/>
      <c r="W29" s="23"/>
      <c r="X29" s="23"/>
      <c r="Y29" s="23"/>
      <c r="Z29" s="23"/>
      <c r="AA29" s="23"/>
      <c r="AB29" s="23"/>
      <c r="AC29" s="23"/>
      <c r="AD29" s="23"/>
      <c r="AE29" s="23"/>
      <c r="AF29" s="23"/>
      <c r="AG29" s="23"/>
      <c r="AH29" s="32"/>
      <c r="AI29" s="33"/>
      <c r="AJ29" s="19"/>
      <c r="AK29" s="20"/>
      <c r="AL29" s="19"/>
      <c r="AM29" s="20"/>
      <c r="AN29" s="19"/>
      <c r="AO29" s="20"/>
      <c r="AP29" s="19"/>
      <c r="AQ29" s="20"/>
      <c r="AR29" s="23"/>
      <c r="AS29" s="23"/>
      <c r="AT29" s="23"/>
      <c r="AU29" s="23"/>
      <c r="AV29" s="23"/>
      <c r="AW29" s="23"/>
      <c r="AX29" s="23"/>
      <c r="AY29" s="23"/>
      <c r="AZ29" s="23"/>
      <c r="BA29" s="23"/>
      <c r="BB29" s="23"/>
      <c r="BC29" s="23"/>
      <c r="BD29" s="23"/>
      <c r="BE29" s="23"/>
      <c r="BF29" s="23"/>
      <c r="BG29" s="32"/>
      <c r="BH29" s="33"/>
      <c r="BI29" s="19"/>
      <c r="BJ29" s="20"/>
      <c r="BK29" s="19"/>
      <c r="BL29" s="20"/>
      <c r="BM29" s="19"/>
      <c r="BN29" s="20"/>
      <c r="BO29" s="19"/>
      <c r="BP29" s="20"/>
      <c r="BQ29" s="23"/>
      <c r="BR29" s="23"/>
      <c r="BS29" s="23"/>
      <c r="BT29" s="23"/>
      <c r="BU29" s="23"/>
      <c r="BV29" s="23"/>
      <c r="BW29" s="23"/>
      <c r="BX29" s="23"/>
      <c r="BY29" s="23"/>
      <c r="BZ29" s="23"/>
      <c r="CA29" s="23"/>
      <c r="CB29" s="23"/>
      <c r="CC29" s="23"/>
      <c r="CD29" s="23"/>
      <c r="CE29" s="23"/>
      <c r="CF29" s="32"/>
      <c r="CG29" s="33"/>
      <c r="CH29" s="19"/>
      <c r="CI29" s="20"/>
      <c r="CJ29" s="19"/>
      <c r="CK29" s="20"/>
      <c r="CL29" s="19"/>
      <c r="CM29" s="20"/>
      <c r="CN29" s="19"/>
      <c r="CO29" s="20"/>
      <c r="CP29" s="23"/>
      <c r="CQ29" s="23"/>
      <c r="CR29" s="23"/>
      <c r="CS29" s="23"/>
      <c r="CT29" s="23"/>
      <c r="CU29" s="23"/>
      <c r="CV29" s="23"/>
      <c r="CW29" s="23"/>
      <c r="CX29" s="23"/>
      <c r="CY29" s="23"/>
      <c r="CZ29" s="23"/>
      <c r="DA29" s="23"/>
      <c r="DB29" s="23"/>
      <c r="DC29" s="23"/>
      <c r="DD29" s="23"/>
      <c r="DE29" s="32"/>
      <c r="DF29" s="33"/>
      <c r="DG29" s="19"/>
      <c r="DH29" s="20"/>
      <c r="DI29" s="19"/>
      <c r="DJ29" s="20"/>
      <c r="DK29" s="19"/>
      <c r="DL29" s="20"/>
      <c r="DM29" s="19"/>
      <c r="DN29" s="20"/>
      <c r="DO29" s="23"/>
      <c r="DP29" s="23"/>
      <c r="DQ29" s="23"/>
      <c r="DR29" s="23"/>
      <c r="DS29" s="23"/>
      <c r="DT29" s="23"/>
      <c r="DU29" s="23"/>
      <c r="DV29" s="23"/>
      <c r="DW29" s="23"/>
      <c r="DX29" s="23"/>
      <c r="DY29" s="23"/>
      <c r="DZ29" s="23"/>
      <c r="EA29" s="23"/>
      <c r="EB29" s="23"/>
      <c r="EC29" s="23"/>
      <c r="ED29" s="32"/>
      <c r="EE29" s="33"/>
      <c r="EF29" s="19"/>
      <c r="EG29" s="20"/>
      <c r="EH29" s="19"/>
      <c r="EI29" s="20"/>
      <c r="EJ29" s="19"/>
      <c r="EK29" s="20"/>
      <c r="EL29" s="19"/>
      <c r="EM29" s="20"/>
      <c r="EN29" s="23"/>
      <c r="EO29" s="23"/>
      <c r="EP29" s="23"/>
      <c r="EQ29" s="23"/>
      <c r="ER29" s="23"/>
      <c r="ES29" s="23"/>
      <c r="ET29" s="23"/>
      <c r="EU29" s="23"/>
      <c r="EV29" s="23"/>
      <c r="EW29" s="23"/>
      <c r="EX29" s="23"/>
      <c r="EY29" s="23"/>
      <c r="EZ29" s="23"/>
      <c r="FA29" s="23"/>
      <c r="FB29" s="23"/>
      <c r="FC29" s="32"/>
      <c r="FD29" s="33"/>
      <c r="FE29" s="19"/>
      <c r="FF29" s="20"/>
      <c r="FG29" s="19"/>
      <c r="FH29" s="20"/>
      <c r="FI29" s="19"/>
      <c r="FJ29" s="20"/>
      <c r="FK29" s="19"/>
      <c r="FL29" s="20"/>
      <c r="FM29" s="23"/>
      <c r="FN29" s="23"/>
      <c r="FO29" s="23"/>
      <c r="FP29" s="23"/>
      <c r="FQ29" s="23"/>
      <c r="FR29" s="23"/>
      <c r="FS29" s="23"/>
    </row>
    <row r="30" spans="1:175" ht="15.75" customHeight="1" thickBot="1" x14ac:dyDescent="0.4">
      <c r="A30" s="23"/>
      <c r="B30" s="23"/>
      <c r="C30" s="23"/>
      <c r="D30" s="23"/>
      <c r="E30" s="23"/>
      <c r="F30" s="23"/>
      <c r="G30" s="23"/>
      <c r="H30" s="23"/>
      <c r="I30" s="34"/>
      <c r="J30" s="35"/>
      <c r="K30" s="21"/>
      <c r="L30" s="22"/>
      <c r="M30" s="21"/>
      <c r="N30" s="22"/>
      <c r="O30" s="21"/>
      <c r="P30" s="22"/>
      <c r="Q30" s="21"/>
      <c r="R30" s="22"/>
      <c r="S30" s="23"/>
      <c r="T30" s="23"/>
      <c r="U30" s="23"/>
      <c r="V30" s="23"/>
      <c r="W30" s="23"/>
      <c r="X30" s="23"/>
      <c r="Y30" s="23"/>
      <c r="Z30" s="23"/>
      <c r="AA30" s="23"/>
      <c r="AB30" s="23"/>
      <c r="AC30" s="23"/>
      <c r="AD30" s="23"/>
      <c r="AE30" s="23"/>
      <c r="AF30" s="23"/>
      <c r="AG30" s="23"/>
      <c r="AH30" s="34"/>
      <c r="AI30" s="35"/>
      <c r="AJ30" s="21"/>
      <c r="AK30" s="22"/>
      <c r="AL30" s="21"/>
      <c r="AM30" s="22"/>
      <c r="AN30" s="21"/>
      <c r="AO30" s="22"/>
      <c r="AP30" s="21"/>
      <c r="AQ30" s="22"/>
      <c r="AR30" s="23"/>
      <c r="AS30" s="23"/>
      <c r="AT30" s="23"/>
      <c r="AU30" s="23"/>
      <c r="AV30" s="23"/>
      <c r="AW30" s="23"/>
      <c r="AX30" s="23"/>
      <c r="AY30" s="23"/>
      <c r="AZ30" s="23"/>
      <c r="BA30" s="23"/>
      <c r="BB30" s="23"/>
      <c r="BC30" s="23"/>
      <c r="BD30" s="23"/>
      <c r="BE30" s="23"/>
      <c r="BF30" s="23"/>
      <c r="BG30" s="34"/>
      <c r="BH30" s="35"/>
      <c r="BI30" s="21"/>
      <c r="BJ30" s="22"/>
      <c r="BK30" s="21"/>
      <c r="BL30" s="22"/>
      <c r="BM30" s="21"/>
      <c r="BN30" s="22"/>
      <c r="BO30" s="21"/>
      <c r="BP30" s="22"/>
      <c r="BQ30" s="23"/>
      <c r="BR30" s="23"/>
      <c r="BS30" s="23"/>
      <c r="BT30" s="23"/>
      <c r="BU30" s="23"/>
      <c r="BV30" s="23"/>
      <c r="BW30" s="23"/>
      <c r="BX30" s="23"/>
      <c r="BY30" s="23"/>
      <c r="BZ30" s="23"/>
      <c r="CA30" s="23"/>
      <c r="CB30" s="23"/>
      <c r="CC30" s="23"/>
      <c r="CD30" s="23"/>
      <c r="CE30" s="23"/>
      <c r="CF30" s="34"/>
      <c r="CG30" s="35"/>
      <c r="CH30" s="21"/>
      <c r="CI30" s="22"/>
      <c r="CJ30" s="21"/>
      <c r="CK30" s="22"/>
      <c r="CL30" s="21"/>
      <c r="CM30" s="22"/>
      <c r="CN30" s="21"/>
      <c r="CO30" s="22"/>
      <c r="CP30" s="23"/>
      <c r="CQ30" s="23"/>
      <c r="CR30" s="23"/>
      <c r="CS30" s="23"/>
      <c r="CT30" s="23"/>
      <c r="CU30" s="23"/>
      <c r="CV30" s="23"/>
      <c r="CW30" s="23"/>
      <c r="CX30" s="23"/>
      <c r="CY30" s="23"/>
      <c r="CZ30" s="23"/>
      <c r="DA30" s="23"/>
      <c r="DB30" s="23"/>
      <c r="DC30" s="23"/>
      <c r="DD30" s="23"/>
      <c r="DE30" s="34"/>
      <c r="DF30" s="35"/>
      <c r="DG30" s="21"/>
      <c r="DH30" s="22"/>
      <c r="DI30" s="21"/>
      <c r="DJ30" s="22"/>
      <c r="DK30" s="21"/>
      <c r="DL30" s="22"/>
      <c r="DM30" s="21"/>
      <c r="DN30" s="22"/>
      <c r="DO30" s="23"/>
      <c r="DP30" s="23"/>
      <c r="DQ30" s="23"/>
      <c r="DR30" s="23"/>
      <c r="DS30" s="23"/>
      <c r="DT30" s="23"/>
      <c r="DU30" s="23"/>
      <c r="DV30" s="23"/>
      <c r="DW30" s="23"/>
      <c r="DX30" s="23"/>
      <c r="DY30" s="23"/>
      <c r="DZ30" s="23"/>
      <c r="EA30" s="23"/>
      <c r="EB30" s="23"/>
      <c r="EC30" s="23"/>
      <c r="ED30" s="34"/>
      <c r="EE30" s="35"/>
      <c r="EF30" s="21"/>
      <c r="EG30" s="22"/>
      <c r="EH30" s="21"/>
      <c r="EI30" s="22"/>
      <c r="EJ30" s="21"/>
      <c r="EK30" s="22"/>
      <c r="EL30" s="21"/>
      <c r="EM30" s="22"/>
      <c r="EN30" s="23"/>
      <c r="EO30" s="23"/>
      <c r="EP30" s="23"/>
      <c r="EQ30" s="23"/>
      <c r="ER30" s="23"/>
      <c r="ES30" s="23"/>
      <c r="ET30" s="23"/>
      <c r="EU30" s="23"/>
      <c r="EV30" s="23"/>
      <c r="EW30" s="23"/>
      <c r="EX30" s="23"/>
      <c r="EY30" s="23"/>
      <c r="EZ30" s="23"/>
      <c r="FA30" s="23"/>
      <c r="FB30" s="23"/>
      <c r="FC30" s="34"/>
      <c r="FD30" s="35"/>
      <c r="FE30" s="21"/>
      <c r="FF30" s="22"/>
      <c r="FG30" s="21"/>
      <c r="FH30" s="22"/>
      <c r="FI30" s="21"/>
      <c r="FJ30" s="22"/>
      <c r="FK30" s="21"/>
      <c r="FL30" s="22"/>
      <c r="FM30" s="23"/>
      <c r="FN30" s="23"/>
      <c r="FO30" s="23"/>
      <c r="FP30" s="23"/>
      <c r="FQ30" s="23"/>
      <c r="FR30" s="23"/>
      <c r="FS30" s="23"/>
    </row>
    <row r="31" spans="1:175" x14ac:dyDescent="0.3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row>
    <row r="32" spans="1:175" ht="15" thickBot="1" x14ac:dyDescent="0.4">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row>
    <row r="33" spans="1:175" ht="15" customHeight="1" x14ac:dyDescent="0.35">
      <c r="A33" s="23"/>
      <c r="B33" s="23"/>
      <c r="C33" s="88" t="s">
        <v>61</v>
      </c>
      <c r="D33" s="89"/>
      <c r="E33" s="89"/>
      <c r="F33" s="90"/>
      <c r="G33" s="36"/>
      <c r="H33" s="36"/>
      <c r="I33" s="23"/>
      <c r="J33" s="23"/>
      <c r="K33" s="23"/>
      <c r="L33" s="23"/>
      <c r="M33" s="23"/>
      <c r="N33" s="23"/>
      <c r="O33" s="23"/>
      <c r="P33" s="23"/>
      <c r="Q33" s="23"/>
      <c r="R33" s="23"/>
      <c r="S33" s="23"/>
      <c r="T33" s="23"/>
      <c r="U33" s="23"/>
      <c r="V33" s="23"/>
      <c r="W33" s="23"/>
      <c r="X33" s="23"/>
      <c r="Y33" s="23"/>
      <c r="Z33" s="23"/>
      <c r="AA33" s="23"/>
      <c r="AB33" s="88" t="s">
        <v>62</v>
      </c>
      <c r="AC33" s="89"/>
      <c r="AD33" s="89"/>
      <c r="AE33" s="90"/>
      <c r="AF33" s="36"/>
      <c r="AG33" s="36"/>
      <c r="AH33" s="23"/>
      <c r="AI33" s="23"/>
      <c r="AJ33" s="23"/>
      <c r="AK33" s="23"/>
      <c r="AL33" s="23"/>
      <c r="AM33" s="23"/>
      <c r="AN33" s="23"/>
      <c r="AO33" s="23"/>
      <c r="AP33" s="23"/>
      <c r="AQ33" s="23"/>
      <c r="AR33" s="23"/>
      <c r="AS33" s="23"/>
      <c r="AT33" s="23"/>
      <c r="AU33" s="23"/>
      <c r="AV33" s="23"/>
      <c r="AW33" s="23"/>
      <c r="AX33" s="23"/>
      <c r="AY33" s="23"/>
      <c r="AZ33" s="23"/>
      <c r="BA33" s="88" t="s">
        <v>63</v>
      </c>
      <c r="BB33" s="89"/>
      <c r="BC33" s="89"/>
      <c r="BD33" s="90"/>
      <c r="BE33" s="36"/>
      <c r="BF33" s="36"/>
      <c r="BG33" s="23"/>
      <c r="BH33" s="23"/>
      <c r="BI33" s="23"/>
      <c r="BJ33" s="23"/>
      <c r="BK33" s="23"/>
      <c r="BL33" s="23"/>
      <c r="BM33" s="23"/>
      <c r="BN33" s="23"/>
      <c r="BO33" s="23"/>
      <c r="BP33" s="23"/>
      <c r="BQ33" s="23"/>
      <c r="BR33" s="23"/>
      <c r="BS33" s="23"/>
      <c r="BT33" s="23"/>
      <c r="BU33" s="23"/>
      <c r="BV33" s="23"/>
      <c r="BW33" s="23"/>
      <c r="BX33" s="23"/>
      <c r="BY33" s="23"/>
      <c r="BZ33" s="88" t="s">
        <v>64</v>
      </c>
      <c r="CA33" s="89"/>
      <c r="CB33" s="89"/>
      <c r="CC33" s="90"/>
      <c r="CD33" s="36"/>
      <c r="CE33" s="36"/>
      <c r="CF33" s="23"/>
      <c r="CG33" s="23"/>
      <c r="CH33" s="23"/>
      <c r="CI33" s="23"/>
      <c r="CJ33" s="23"/>
      <c r="CK33" s="23"/>
      <c r="CL33" s="23"/>
      <c r="CM33" s="23"/>
      <c r="CN33" s="23"/>
      <c r="CO33" s="23"/>
      <c r="CP33" s="23"/>
      <c r="CQ33" s="23"/>
      <c r="CR33" s="23"/>
      <c r="CS33" s="23"/>
      <c r="CT33" s="23"/>
      <c r="CU33" s="23"/>
      <c r="CV33" s="23"/>
      <c r="CW33" s="23"/>
      <c r="CX33" s="23"/>
      <c r="CY33" s="88" t="s">
        <v>65</v>
      </c>
      <c r="CZ33" s="89"/>
      <c r="DA33" s="89"/>
      <c r="DB33" s="90"/>
      <c r="DC33" s="36"/>
      <c r="DD33" s="36"/>
      <c r="DE33" s="23"/>
      <c r="DF33" s="23"/>
      <c r="DG33" s="23"/>
      <c r="DH33" s="23"/>
      <c r="DI33" s="23"/>
      <c r="DJ33" s="23"/>
      <c r="DK33" s="23"/>
      <c r="DL33" s="23"/>
      <c r="DM33" s="23"/>
      <c r="DN33" s="23"/>
      <c r="DO33" s="23"/>
      <c r="DP33" s="23"/>
      <c r="DQ33" s="23"/>
      <c r="DR33" s="23"/>
      <c r="DS33" s="23"/>
      <c r="DT33" s="23"/>
      <c r="DU33" s="23"/>
      <c r="DV33" s="23"/>
      <c r="DW33" s="23"/>
      <c r="DX33" s="88" t="s">
        <v>66</v>
      </c>
      <c r="DY33" s="89"/>
      <c r="DZ33" s="89"/>
      <c r="EA33" s="90"/>
      <c r="EB33" s="36"/>
      <c r="EC33" s="36"/>
      <c r="ED33" s="23"/>
      <c r="EE33" s="23"/>
      <c r="EF33" s="23"/>
      <c r="EG33" s="23"/>
      <c r="EH33" s="23"/>
      <c r="EI33" s="23"/>
      <c r="EJ33" s="23"/>
      <c r="EK33" s="23"/>
      <c r="EL33" s="23"/>
      <c r="EM33" s="23"/>
      <c r="EN33" s="23"/>
      <c r="EO33" s="23"/>
      <c r="EP33" s="23"/>
      <c r="EQ33" s="23"/>
      <c r="ER33" s="23"/>
      <c r="ES33" s="23"/>
      <c r="ET33" s="23"/>
      <c r="EU33" s="23"/>
      <c r="EV33" s="23"/>
      <c r="EW33" s="88" t="s">
        <v>67</v>
      </c>
      <c r="EX33" s="89"/>
      <c r="EY33" s="89"/>
      <c r="EZ33" s="90"/>
      <c r="FA33" s="36"/>
      <c r="FB33" s="36"/>
      <c r="FC33" s="23"/>
      <c r="FD33" s="23"/>
      <c r="FE33" s="23"/>
      <c r="FF33" s="23"/>
      <c r="FG33" s="23"/>
      <c r="FH33" s="23"/>
      <c r="FI33" s="23"/>
      <c r="FJ33" s="23"/>
      <c r="FK33" s="23"/>
      <c r="FL33" s="23"/>
      <c r="FM33" s="23"/>
      <c r="FN33" s="23"/>
      <c r="FO33" s="23"/>
      <c r="FP33" s="23"/>
      <c r="FQ33" s="23"/>
      <c r="FR33" s="23"/>
      <c r="FS33" s="23"/>
    </row>
    <row r="34" spans="1:175" ht="15.75" customHeight="1" thickBot="1" x14ac:dyDescent="0.4">
      <c r="A34" s="23"/>
      <c r="B34" s="23"/>
      <c r="C34" s="91"/>
      <c r="D34" s="92"/>
      <c r="E34" s="92"/>
      <c r="F34" s="93"/>
      <c r="G34" s="36"/>
      <c r="H34" s="36"/>
      <c r="I34" s="23"/>
      <c r="J34" s="23"/>
      <c r="K34" s="23"/>
      <c r="L34" s="23"/>
      <c r="M34" s="23"/>
      <c r="N34" s="23"/>
      <c r="O34" s="23"/>
      <c r="P34" s="23"/>
      <c r="Q34" s="23"/>
      <c r="R34" s="23"/>
      <c r="S34" s="23"/>
      <c r="T34" s="23"/>
      <c r="U34" s="23"/>
      <c r="V34" s="23"/>
      <c r="W34" s="23"/>
      <c r="X34" s="23"/>
      <c r="Y34" s="23"/>
      <c r="Z34" s="23"/>
      <c r="AA34" s="23"/>
      <c r="AB34" s="91"/>
      <c r="AC34" s="92"/>
      <c r="AD34" s="92"/>
      <c r="AE34" s="93"/>
      <c r="AF34" s="36"/>
      <c r="AG34" s="36"/>
      <c r="AH34" s="23"/>
      <c r="AI34" s="23"/>
      <c r="AJ34" s="23"/>
      <c r="AK34" s="23"/>
      <c r="AL34" s="23"/>
      <c r="AM34" s="23"/>
      <c r="AN34" s="23"/>
      <c r="AO34" s="23"/>
      <c r="AP34" s="23"/>
      <c r="AQ34" s="23"/>
      <c r="AR34" s="23"/>
      <c r="AS34" s="23"/>
      <c r="AT34" s="23"/>
      <c r="AU34" s="23"/>
      <c r="AV34" s="23"/>
      <c r="AW34" s="23"/>
      <c r="AX34" s="23"/>
      <c r="AY34" s="23"/>
      <c r="AZ34" s="23"/>
      <c r="BA34" s="91"/>
      <c r="BB34" s="92"/>
      <c r="BC34" s="92"/>
      <c r="BD34" s="93"/>
      <c r="BE34" s="36"/>
      <c r="BF34" s="36"/>
      <c r="BG34" s="23"/>
      <c r="BH34" s="23"/>
      <c r="BI34" s="23"/>
      <c r="BJ34" s="23"/>
      <c r="BK34" s="23"/>
      <c r="BL34" s="23"/>
      <c r="BM34" s="23"/>
      <c r="BN34" s="23"/>
      <c r="BO34" s="23"/>
      <c r="BP34" s="23"/>
      <c r="BQ34" s="23"/>
      <c r="BR34" s="23"/>
      <c r="BS34" s="23"/>
      <c r="BT34" s="23"/>
      <c r="BU34" s="23"/>
      <c r="BV34" s="23"/>
      <c r="BW34" s="23"/>
      <c r="BX34" s="23"/>
      <c r="BY34" s="23"/>
      <c r="BZ34" s="91"/>
      <c r="CA34" s="92"/>
      <c r="CB34" s="92"/>
      <c r="CC34" s="93"/>
      <c r="CD34" s="36"/>
      <c r="CE34" s="36"/>
      <c r="CF34" s="23"/>
      <c r="CG34" s="23"/>
      <c r="CH34" s="23"/>
      <c r="CI34" s="23"/>
      <c r="CJ34" s="23"/>
      <c r="CK34" s="23"/>
      <c r="CL34" s="23"/>
      <c r="CM34" s="23"/>
      <c r="CN34" s="23"/>
      <c r="CO34" s="23"/>
      <c r="CP34" s="23"/>
      <c r="CQ34" s="23"/>
      <c r="CR34" s="23"/>
      <c r="CS34" s="23"/>
      <c r="CT34" s="23"/>
      <c r="CU34" s="23"/>
      <c r="CV34" s="23"/>
      <c r="CW34" s="23"/>
      <c r="CX34" s="23"/>
      <c r="CY34" s="91"/>
      <c r="CZ34" s="92"/>
      <c r="DA34" s="92"/>
      <c r="DB34" s="93"/>
      <c r="DC34" s="36"/>
      <c r="DD34" s="36"/>
      <c r="DE34" s="23"/>
      <c r="DF34" s="23"/>
      <c r="DG34" s="23"/>
      <c r="DH34" s="23"/>
      <c r="DI34" s="23"/>
      <c r="DJ34" s="23"/>
      <c r="DK34" s="23"/>
      <c r="DL34" s="23"/>
      <c r="DM34" s="23"/>
      <c r="DN34" s="23"/>
      <c r="DO34" s="23"/>
      <c r="DP34" s="23"/>
      <c r="DQ34" s="23"/>
      <c r="DR34" s="23"/>
      <c r="DS34" s="23"/>
      <c r="DT34" s="23"/>
      <c r="DU34" s="23"/>
      <c r="DV34" s="23"/>
      <c r="DW34" s="23"/>
      <c r="DX34" s="91"/>
      <c r="DY34" s="92"/>
      <c r="DZ34" s="92"/>
      <c r="EA34" s="93"/>
      <c r="EB34" s="36"/>
      <c r="EC34" s="36"/>
      <c r="ED34" s="23"/>
      <c r="EE34" s="23"/>
      <c r="EF34" s="23"/>
      <c r="EG34" s="23"/>
      <c r="EH34" s="23"/>
      <c r="EI34" s="23"/>
      <c r="EJ34" s="23"/>
      <c r="EK34" s="23"/>
      <c r="EL34" s="23"/>
      <c r="EM34" s="23"/>
      <c r="EN34" s="23"/>
      <c r="EO34" s="23"/>
      <c r="EP34" s="23"/>
      <c r="EQ34" s="23"/>
      <c r="ER34" s="23"/>
      <c r="ES34" s="23"/>
      <c r="ET34" s="23"/>
      <c r="EU34" s="23"/>
      <c r="EV34" s="23"/>
      <c r="EW34" s="91"/>
      <c r="EX34" s="92"/>
      <c r="EY34" s="92"/>
      <c r="EZ34" s="93"/>
      <c r="FA34" s="36"/>
      <c r="FB34" s="36"/>
      <c r="FC34" s="23"/>
      <c r="FD34" s="23"/>
      <c r="FE34" s="23"/>
      <c r="FF34" s="23"/>
      <c r="FG34" s="23"/>
      <c r="FH34" s="23"/>
      <c r="FI34" s="23"/>
      <c r="FJ34" s="23"/>
      <c r="FK34" s="23"/>
      <c r="FL34" s="23"/>
      <c r="FM34" s="23"/>
      <c r="FN34" s="23"/>
      <c r="FO34" s="23"/>
      <c r="FP34" s="23"/>
      <c r="FQ34" s="23"/>
      <c r="FR34" s="23"/>
      <c r="FS34" s="23"/>
    </row>
    <row r="35" spans="1:175" ht="15" customHeight="1" x14ac:dyDescent="0.35">
      <c r="A35" s="23"/>
      <c r="B35" s="23"/>
      <c r="C35" s="94" t="s">
        <v>68</v>
      </c>
      <c r="D35" s="94">
        <f>F11+F15+F19</f>
        <v>1110</v>
      </c>
      <c r="E35" s="94" t="s">
        <v>69</v>
      </c>
      <c r="F35" s="94">
        <f>D39-D35</f>
        <v>3920</v>
      </c>
      <c r="G35" s="23"/>
      <c r="H35" s="23"/>
      <c r="I35" s="23"/>
      <c r="J35" s="23"/>
      <c r="K35" s="23"/>
      <c r="L35" s="23"/>
      <c r="M35" s="23"/>
      <c r="N35" s="23"/>
      <c r="O35" s="23"/>
      <c r="P35" s="23"/>
      <c r="Q35" s="23"/>
      <c r="R35" s="23"/>
      <c r="S35" s="23"/>
      <c r="T35" s="23"/>
      <c r="U35" s="23"/>
      <c r="V35" s="23"/>
      <c r="W35" s="23"/>
      <c r="X35" s="23"/>
      <c r="Y35" s="23"/>
      <c r="Z35" s="23"/>
      <c r="AA35" s="23"/>
      <c r="AB35" s="94" t="s">
        <v>68</v>
      </c>
      <c r="AC35" s="94">
        <f>AE11+AE15+AE19</f>
        <v>1165</v>
      </c>
      <c r="AD35" s="94" t="s">
        <v>69</v>
      </c>
      <c r="AE35" s="94">
        <f>AC39-AC35</f>
        <v>11395</v>
      </c>
      <c r="AF35" s="23"/>
      <c r="AG35" s="23"/>
      <c r="AH35" s="23"/>
      <c r="AI35" s="23"/>
      <c r="AJ35" s="23"/>
      <c r="AK35" s="23"/>
      <c r="AL35" s="23"/>
      <c r="AM35" s="23"/>
      <c r="AN35" s="23"/>
      <c r="AO35" s="23"/>
      <c r="AP35" s="23"/>
      <c r="AQ35" s="23"/>
      <c r="AR35" s="23"/>
      <c r="AS35" s="23"/>
      <c r="AT35" s="23"/>
      <c r="AU35" s="23"/>
      <c r="AV35" s="23"/>
      <c r="AW35" s="23"/>
      <c r="AX35" s="23"/>
      <c r="AY35" s="23"/>
      <c r="AZ35" s="23"/>
      <c r="BA35" s="94" t="s">
        <v>68</v>
      </c>
      <c r="BB35" s="94">
        <f>BD11+BD15+BD19</f>
        <v>1270</v>
      </c>
      <c r="BC35" s="94" t="s">
        <v>69</v>
      </c>
      <c r="BD35" s="94">
        <f>BB39-BB35</f>
        <v>9690</v>
      </c>
      <c r="BE35" s="23"/>
      <c r="BF35" s="23"/>
      <c r="BG35" s="23"/>
      <c r="BH35" s="23"/>
      <c r="BI35" s="23"/>
      <c r="BJ35" s="23"/>
      <c r="BK35" s="23"/>
      <c r="BL35" s="23"/>
      <c r="BM35" s="23"/>
      <c r="BN35" s="23"/>
      <c r="BO35" s="23"/>
      <c r="BP35" s="23"/>
      <c r="BQ35" s="23"/>
      <c r="BR35" s="23"/>
      <c r="BS35" s="23"/>
      <c r="BT35" s="23"/>
      <c r="BU35" s="23"/>
      <c r="BV35" s="23"/>
      <c r="BW35" s="23"/>
      <c r="BX35" s="23"/>
      <c r="BY35" s="23"/>
      <c r="BZ35" s="94" t="s">
        <v>68</v>
      </c>
      <c r="CA35" s="94">
        <f>CC11+CC15+CC19</f>
        <v>1170</v>
      </c>
      <c r="CB35" s="94" t="s">
        <v>69</v>
      </c>
      <c r="CC35" s="94">
        <f>CA39-CA35</f>
        <v>6140</v>
      </c>
      <c r="CD35" s="23"/>
      <c r="CE35" s="23"/>
      <c r="CF35" s="23"/>
      <c r="CG35" s="23"/>
      <c r="CH35" s="23"/>
      <c r="CI35" s="23"/>
      <c r="CJ35" s="23"/>
      <c r="CK35" s="23"/>
      <c r="CL35" s="23"/>
      <c r="CM35" s="23"/>
      <c r="CN35" s="23"/>
      <c r="CO35" s="23"/>
      <c r="CP35" s="23"/>
      <c r="CQ35" s="23"/>
      <c r="CR35" s="23"/>
      <c r="CS35" s="23"/>
      <c r="CT35" s="23"/>
      <c r="CU35" s="23"/>
      <c r="CV35" s="23"/>
      <c r="CW35" s="23"/>
      <c r="CX35" s="23"/>
      <c r="CY35" s="94" t="s">
        <v>68</v>
      </c>
      <c r="CZ35" s="94">
        <f>DB11+DB15+DB19</f>
        <v>1120</v>
      </c>
      <c r="DA35" s="94" t="s">
        <v>69</v>
      </c>
      <c r="DB35" s="94">
        <f>CZ39-CZ35</f>
        <v>8640</v>
      </c>
      <c r="DC35" s="23"/>
      <c r="DD35" s="23"/>
      <c r="DE35" s="23"/>
      <c r="DF35" s="23"/>
      <c r="DG35" s="23"/>
      <c r="DH35" s="23"/>
      <c r="DI35" s="23"/>
      <c r="DJ35" s="23"/>
      <c r="DK35" s="23"/>
      <c r="DL35" s="23"/>
      <c r="DM35" s="23"/>
      <c r="DN35" s="23"/>
      <c r="DO35" s="23"/>
      <c r="DP35" s="23"/>
      <c r="DQ35" s="23"/>
      <c r="DR35" s="23"/>
      <c r="DS35" s="23"/>
      <c r="DT35" s="23"/>
      <c r="DU35" s="23"/>
      <c r="DV35" s="23"/>
      <c r="DW35" s="23"/>
      <c r="DX35" s="94" t="s">
        <v>68</v>
      </c>
      <c r="DY35" s="94">
        <f>EA11+EA15+EA19</f>
        <v>1165</v>
      </c>
      <c r="DZ35" s="94" t="s">
        <v>69</v>
      </c>
      <c r="EA35" s="94">
        <f>DY39-DY35</f>
        <v>3000</v>
      </c>
      <c r="EB35" s="23"/>
      <c r="EC35" s="23"/>
      <c r="ED35" s="23"/>
      <c r="EE35" s="23"/>
      <c r="EF35" s="23"/>
      <c r="EG35" s="23"/>
      <c r="EH35" s="23"/>
      <c r="EI35" s="23"/>
      <c r="EJ35" s="23"/>
      <c r="EK35" s="23"/>
      <c r="EL35" s="23"/>
      <c r="EM35" s="23"/>
      <c r="EN35" s="23"/>
      <c r="EO35" s="23"/>
      <c r="EP35" s="23"/>
      <c r="EQ35" s="23"/>
      <c r="ER35" s="23"/>
      <c r="ES35" s="23"/>
      <c r="ET35" s="23"/>
      <c r="EU35" s="23"/>
      <c r="EV35" s="23"/>
      <c r="EW35" s="94" t="s">
        <v>68</v>
      </c>
      <c r="EX35" s="94">
        <f>EZ11+EZ15+EZ19</f>
        <v>1165</v>
      </c>
      <c r="EY35" s="94" t="s">
        <v>69</v>
      </c>
      <c r="EZ35" s="94">
        <f>EX39-EX35</f>
        <v>8925</v>
      </c>
      <c r="FA35" s="23"/>
      <c r="FB35" s="23"/>
      <c r="FC35" s="23"/>
      <c r="FD35" s="23"/>
      <c r="FE35" s="23"/>
      <c r="FF35" s="23"/>
      <c r="FG35" s="23"/>
      <c r="FH35" s="23"/>
      <c r="FI35" s="23"/>
      <c r="FJ35" s="23"/>
      <c r="FK35" s="23"/>
      <c r="FL35" s="23"/>
      <c r="FM35" s="23"/>
      <c r="FN35" s="23"/>
      <c r="FO35" s="23"/>
      <c r="FP35" s="23"/>
      <c r="FQ35" s="23"/>
      <c r="FR35" s="23"/>
      <c r="FS35" s="23"/>
    </row>
    <row r="36" spans="1:175" ht="15" customHeight="1" x14ac:dyDescent="0.35">
      <c r="A36" s="23"/>
      <c r="B36" s="23"/>
      <c r="C36" s="94"/>
      <c r="D36" s="94"/>
      <c r="E36" s="94"/>
      <c r="F36" s="94"/>
      <c r="G36" s="23"/>
      <c r="H36" s="37"/>
      <c r="I36" s="37"/>
      <c r="J36" s="37"/>
      <c r="K36" s="37"/>
      <c r="L36" s="37"/>
      <c r="M36" s="37"/>
      <c r="N36" s="37"/>
      <c r="O36" s="23"/>
      <c r="P36" s="23"/>
      <c r="Q36" s="23"/>
      <c r="R36" s="23"/>
      <c r="S36" s="23"/>
      <c r="T36" s="23"/>
      <c r="U36" s="23"/>
      <c r="V36" s="23"/>
      <c r="W36" s="23"/>
      <c r="X36" s="23"/>
      <c r="Y36" s="23"/>
      <c r="Z36" s="23"/>
      <c r="AA36" s="23"/>
      <c r="AB36" s="94"/>
      <c r="AC36" s="94"/>
      <c r="AD36" s="94"/>
      <c r="AE36" s="94"/>
      <c r="AF36" s="23"/>
      <c r="AG36" s="37"/>
      <c r="AH36" s="37"/>
      <c r="AI36" s="37"/>
      <c r="AJ36" s="37"/>
      <c r="AK36" s="37"/>
      <c r="AL36" s="37"/>
      <c r="AM36" s="37"/>
      <c r="AN36" s="23"/>
      <c r="AO36" s="23"/>
      <c r="AP36" s="23"/>
      <c r="AQ36" s="23"/>
      <c r="AR36" s="23"/>
      <c r="AS36" s="23"/>
      <c r="AT36" s="23"/>
      <c r="AU36" s="23"/>
      <c r="AV36" s="23"/>
      <c r="AW36" s="23"/>
      <c r="AX36" s="23"/>
      <c r="AY36" s="23"/>
      <c r="AZ36" s="23"/>
      <c r="BA36" s="94"/>
      <c r="BB36" s="94"/>
      <c r="BC36" s="94"/>
      <c r="BD36" s="94"/>
      <c r="BE36" s="23"/>
      <c r="BF36" s="37"/>
      <c r="BG36" s="37"/>
      <c r="BH36" s="37"/>
      <c r="BI36" s="37"/>
      <c r="BJ36" s="37"/>
      <c r="BK36" s="37"/>
      <c r="BL36" s="37"/>
      <c r="BM36" s="23"/>
      <c r="BN36" s="23"/>
      <c r="BO36" s="23"/>
      <c r="BP36" s="23"/>
      <c r="BQ36" s="23"/>
      <c r="BR36" s="23"/>
      <c r="BS36" s="23"/>
      <c r="BT36" s="23"/>
      <c r="BU36" s="23"/>
      <c r="BV36" s="23"/>
      <c r="BW36" s="23"/>
      <c r="BX36" s="23"/>
      <c r="BY36" s="23"/>
      <c r="BZ36" s="94"/>
      <c r="CA36" s="94"/>
      <c r="CB36" s="94"/>
      <c r="CC36" s="94"/>
      <c r="CD36" s="23"/>
      <c r="CE36" s="37"/>
      <c r="CF36" s="37"/>
      <c r="CG36" s="37"/>
      <c r="CH36" s="37"/>
      <c r="CI36" s="37"/>
      <c r="CJ36" s="37"/>
      <c r="CK36" s="37"/>
      <c r="CL36" s="23"/>
      <c r="CM36" s="23"/>
      <c r="CN36" s="23"/>
      <c r="CO36" s="23"/>
      <c r="CP36" s="23"/>
      <c r="CQ36" s="23"/>
      <c r="CR36" s="23"/>
      <c r="CS36" s="23"/>
      <c r="CT36" s="23"/>
      <c r="CU36" s="23"/>
      <c r="CV36" s="23"/>
      <c r="CW36" s="23"/>
      <c r="CX36" s="23"/>
      <c r="CY36" s="94"/>
      <c r="CZ36" s="94"/>
      <c r="DA36" s="94"/>
      <c r="DB36" s="94"/>
      <c r="DC36" s="23"/>
      <c r="DD36" s="37"/>
      <c r="DE36" s="37"/>
      <c r="DF36" s="37"/>
      <c r="DG36" s="37"/>
      <c r="DH36" s="37"/>
      <c r="DI36" s="37"/>
      <c r="DJ36" s="37"/>
      <c r="DK36" s="23"/>
      <c r="DL36" s="23"/>
      <c r="DM36" s="23"/>
      <c r="DN36" s="23"/>
      <c r="DO36" s="23"/>
      <c r="DP36" s="23"/>
      <c r="DQ36" s="23"/>
      <c r="DR36" s="23"/>
      <c r="DS36" s="23"/>
      <c r="DT36" s="23"/>
      <c r="DU36" s="23"/>
      <c r="DV36" s="23"/>
      <c r="DW36" s="23"/>
      <c r="DX36" s="94"/>
      <c r="DY36" s="94"/>
      <c r="DZ36" s="94"/>
      <c r="EA36" s="94"/>
      <c r="EB36" s="23"/>
      <c r="EC36" s="37"/>
      <c r="ED36" s="37"/>
      <c r="EE36" s="37"/>
      <c r="EF36" s="37"/>
      <c r="EG36" s="37"/>
      <c r="EH36" s="37"/>
      <c r="EI36" s="37"/>
      <c r="EJ36" s="23"/>
      <c r="EK36" s="23"/>
      <c r="EL36" s="23"/>
      <c r="EM36" s="23"/>
      <c r="EN36" s="23"/>
      <c r="EO36" s="23"/>
      <c r="EP36" s="23"/>
      <c r="EQ36" s="23"/>
      <c r="ER36" s="23"/>
      <c r="ES36" s="23"/>
      <c r="ET36" s="23"/>
      <c r="EU36" s="23"/>
      <c r="EV36" s="23"/>
      <c r="EW36" s="94"/>
      <c r="EX36" s="94"/>
      <c r="EY36" s="94"/>
      <c r="EZ36" s="94"/>
      <c r="FA36" s="23"/>
      <c r="FB36" s="37"/>
      <c r="FC36" s="37"/>
      <c r="FD36" s="37"/>
      <c r="FE36" s="37"/>
      <c r="FF36" s="37"/>
      <c r="FG36" s="37"/>
      <c r="FH36" s="37"/>
      <c r="FI36" s="23"/>
      <c r="FJ36" s="23"/>
      <c r="FK36" s="23"/>
      <c r="FL36" s="23"/>
      <c r="FM36" s="23"/>
      <c r="FN36" s="23"/>
      <c r="FO36" s="23"/>
      <c r="FP36" s="23"/>
      <c r="FQ36" s="23"/>
      <c r="FR36" s="23"/>
      <c r="FS36" s="23"/>
    </row>
    <row r="37" spans="1:175" ht="15" customHeight="1" x14ac:dyDescent="0.35">
      <c r="A37" s="23"/>
      <c r="B37" s="23"/>
      <c r="C37" s="94"/>
      <c r="D37" s="94"/>
      <c r="E37" s="94"/>
      <c r="F37" s="94"/>
      <c r="G37" s="23"/>
      <c r="H37" s="37"/>
      <c r="I37" s="37"/>
      <c r="J37" s="37"/>
      <c r="K37" s="37"/>
      <c r="L37" s="37"/>
      <c r="M37" s="37"/>
      <c r="N37" s="37"/>
      <c r="O37" s="23"/>
      <c r="P37" s="23"/>
      <c r="Q37" s="23"/>
      <c r="R37" s="23"/>
      <c r="S37" s="23"/>
      <c r="T37" s="23"/>
      <c r="U37" s="23"/>
      <c r="V37" s="23"/>
      <c r="W37" s="23"/>
      <c r="X37" s="23"/>
      <c r="Y37" s="23"/>
      <c r="Z37" s="23"/>
      <c r="AA37" s="23"/>
      <c r="AB37" s="94"/>
      <c r="AC37" s="94"/>
      <c r="AD37" s="94"/>
      <c r="AE37" s="94"/>
      <c r="AF37" s="23"/>
      <c r="AG37" s="37"/>
      <c r="AH37" s="37"/>
      <c r="AI37" s="37"/>
      <c r="AJ37" s="37"/>
      <c r="AK37" s="37"/>
      <c r="AL37" s="37"/>
      <c r="AM37" s="37"/>
      <c r="AN37" s="23"/>
      <c r="AO37" s="23"/>
      <c r="AP37" s="23"/>
      <c r="AQ37" s="23"/>
      <c r="AR37" s="23"/>
      <c r="AS37" s="23"/>
      <c r="AT37" s="23"/>
      <c r="AU37" s="23"/>
      <c r="AV37" s="23"/>
      <c r="AW37" s="23"/>
      <c r="AX37" s="23"/>
      <c r="AY37" s="23"/>
      <c r="AZ37" s="23"/>
      <c r="BA37" s="94"/>
      <c r="BB37" s="94"/>
      <c r="BC37" s="94"/>
      <c r="BD37" s="94"/>
      <c r="BE37" s="23"/>
      <c r="BF37" s="37"/>
      <c r="BG37" s="37"/>
      <c r="BH37" s="37"/>
      <c r="BI37" s="37"/>
      <c r="BJ37" s="37"/>
      <c r="BK37" s="37"/>
      <c r="BL37" s="37"/>
      <c r="BM37" s="23"/>
      <c r="BN37" s="23"/>
      <c r="BO37" s="23"/>
      <c r="BP37" s="23"/>
      <c r="BQ37" s="23"/>
      <c r="BR37" s="23"/>
      <c r="BS37" s="23"/>
      <c r="BT37" s="23"/>
      <c r="BU37" s="23"/>
      <c r="BV37" s="23"/>
      <c r="BW37" s="23"/>
      <c r="BX37" s="23"/>
      <c r="BY37" s="23"/>
      <c r="BZ37" s="94"/>
      <c r="CA37" s="94"/>
      <c r="CB37" s="94"/>
      <c r="CC37" s="94"/>
      <c r="CD37" s="23"/>
      <c r="CE37" s="37"/>
      <c r="CF37" s="37"/>
      <c r="CG37" s="37"/>
      <c r="CH37" s="37"/>
      <c r="CI37" s="37"/>
      <c r="CJ37" s="37"/>
      <c r="CK37" s="37"/>
      <c r="CL37" s="23"/>
      <c r="CM37" s="23"/>
      <c r="CN37" s="23"/>
      <c r="CO37" s="23"/>
      <c r="CP37" s="23"/>
      <c r="CQ37" s="23"/>
      <c r="CR37" s="23"/>
      <c r="CS37" s="23"/>
      <c r="CT37" s="23"/>
      <c r="CU37" s="23"/>
      <c r="CV37" s="23"/>
      <c r="CW37" s="23"/>
      <c r="CX37" s="23"/>
      <c r="CY37" s="94"/>
      <c r="CZ37" s="94"/>
      <c r="DA37" s="94"/>
      <c r="DB37" s="94"/>
      <c r="DC37" s="23"/>
      <c r="DD37" s="37"/>
      <c r="DE37" s="37"/>
      <c r="DF37" s="37"/>
      <c r="DG37" s="37"/>
      <c r="DH37" s="37"/>
      <c r="DI37" s="37"/>
      <c r="DJ37" s="37"/>
      <c r="DK37" s="23"/>
      <c r="DL37" s="23"/>
      <c r="DM37" s="23"/>
      <c r="DN37" s="23"/>
      <c r="DO37" s="23"/>
      <c r="DP37" s="23"/>
      <c r="DQ37" s="23"/>
      <c r="DR37" s="23"/>
      <c r="DS37" s="23"/>
      <c r="DT37" s="23"/>
      <c r="DU37" s="23"/>
      <c r="DV37" s="23"/>
      <c r="DW37" s="23"/>
      <c r="DX37" s="94"/>
      <c r="DY37" s="94"/>
      <c r="DZ37" s="94"/>
      <c r="EA37" s="94"/>
      <c r="EB37" s="23"/>
      <c r="EC37" s="37"/>
      <c r="ED37" s="37"/>
      <c r="EE37" s="37"/>
      <c r="EF37" s="37"/>
      <c r="EG37" s="37"/>
      <c r="EH37" s="37"/>
      <c r="EI37" s="37"/>
      <c r="EJ37" s="23"/>
      <c r="EK37" s="23"/>
      <c r="EL37" s="23"/>
      <c r="EM37" s="23"/>
      <c r="EN37" s="23"/>
      <c r="EO37" s="23"/>
      <c r="EP37" s="23"/>
      <c r="EQ37" s="23"/>
      <c r="ER37" s="23"/>
      <c r="ES37" s="23"/>
      <c r="ET37" s="23"/>
      <c r="EU37" s="23"/>
      <c r="EV37" s="23"/>
      <c r="EW37" s="94"/>
      <c r="EX37" s="94"/>
      <c r="EY37" s="94"/>
      <c r="EZ37" s="94"/>
      <c r="FA37" s="23"/>
      <c r="FB37" s="37"/>
      <c r="FC37" s="37"/>
      <c r="FD37" s="37"/>
      <c r="FE37" s="37"/>
      <c r="FF37" s="37"/>
      <c r="FG37" s="37"/>
      <c r="FH37" s="37"/>
      <c r="FI37" s="23"/>
      <c r="FJ37" s="23"/>
      <c r="FK37" s="23"/>
      <c r="FL37" s="23"/>
      <c r="FM37" s="23"/>
      <c r="FN37" s="23"/>
      <c r="FO37" s="23"/>
      <c r="FP37" s="23"/>
      <c r="FQ37" s="23"/>
      <c r="FR37" s="23"/>
      <c r="FS37" s="23"/>
    </row>
    <row r="38" spans="1:175" ht="15.75" customHeight="1" thickBot="1" x14ac:dyDescent="0.4">
      <c r="A38" s="23"/>
      <c r="B38" s="23"/>
      <c r="C38" s="95"/>
      <c r="D38" s="95"/>
      <c r="E38" s="95"/>
      <c r="F38" s="95"/>
      <c r="G38" s="23"/>
      <c r="H38" s="37"/>
      <c r="I38" s="37"/>
      <c r="J38" s="37"/>
      <c r="K38" s="37"/>
      <c r="L38" s="37"/>
      <c r="M38" s="37"/>
      <c r="N38" s="37"/>
      <c r="O38" s="23"/>
      <c r="P38" s="23"/>
      <c r="Q38" s="23"/>
      <c r="R38" s="23"/>
      <c r="S38" s="23"/>
      <c r="T38" s="23"/>
      <c r="U38" s="23"/>
      <c r="V38" s="23"/>
      <c r="W38" s="23"/>
      <c r="X38" s="23"/>
      <c r="Y38" s="23"/>
      <c r="Z38" s="23"/>
      <c r="AA38" s="23"/>
      <c r="AB38" s="95"/>
      <c r="AC38" s="95"/>
      <c r="AD38" s="95"/>
      <c r="AE38" s="95"/>
      <c r="AF38" s="23"/>
      <c r="AG38" s="37"/>
      <c r="AH38" s="37"/>
      <c r="AI38" s="37"/>
      <c r="AJ38" s="37"/>
      <c r="AK38" s="37"/>
      <c r="AL38" s="37"/>
      <c r="AM38" s="37"/>
      <c r="AN38" s="23"/>
      <c r="AO38" s="23"/>
      <c r="AP38" s="23"/>
      <c r="AQ38" s="23"/>
      <c r="AR38" s="23"/>
      <c r="AS38" s="23"/>
      <c r="AT38" s="23"/>
      <c r="AU38" s="23"/>
      <c r="AV38" s="23"/>
      <c r="AW38" s="23"/>
      <c r="AX38" s="23"/>
      <c r="AY38" s="23"/>
      <c r="AZ38" s="23"/>
      <c r="BA38" s="95"/>
      <c r="BB38" s="95"/>
      <c r="BC38" s="95"/>
      <c r="BD38" s="95"/>
      <c r="BE38" s="23"/>
      <c r="BF38" s="37"/>
      <c r="BG38" s="37"/>
      <c r="BH38" s="37"/>
      <c r="BI38" s="37"/>
      <c r="BJ38" s="37"/>
      <c r="BK38" s="37"/>
      <c r="BL38" s="37"/>
      <c r="BM38" s="23"/>
      <c r="BN38" s="23"/>
      <c r="BO38" s="23"/>
      <c r="BP38" s="23"/>
      <c r="BQ38" s="23"/>
      <c r="BR38" s="23"/>
      <c r="BS38" s="23"/>
      <c r="BT38" s="23"/>
      <c r="BU38" s="23"/>
      <c r="BV38" s="23"/>
      <c r="BW38" s="23"/>
      <c r="BX38" s="23"/>
      <c r="BY38" s="23"/>
      <c r="BZ38" s="95"/>
      <c r="CA38" s="95"/>
      <c r="CB38" s="95"/>
      <c r="CC38" s="95"/>
      <c r="CD38" s="23"/>
      <c r="CE38" s="37"/>
      <c r="CF38" s="37"/>
      <c r="CG38" s="37"/>
      <c r="CH38" s="37"/>
      <c r="CI38" s="37"/>
      <c r="CJ38" s="37"/>
      <c r="CK38" s="37"/>
      <c r="CL38" s="23"/>
      <c r="CM38" s="23"/>
      <c r="CN38" s="23"/>
      <c r="CO38" s="23"/>
      <c r="CP38" s="23"/>
      <c r="CQ38" s="23"/>
      <c r="CR38" s="23"/>
      <c r="CS38" s="23"/>
      <c r="CT38" s="23"/>
      <c r="CU38" s="23"/>
      <c r="CV38" s="23"/>
      <c r="CW38" s="23"/>
      <c r="CX38" s="23"/>
      <c r="CY38" s="95"/>
      <c r="CZ38" s="95"/>
      <c r="DA38" s="95"/>
      <c r="DB38" s="95"/>
      <c r="DC38" s="23"/>
      <c r="DD38" s="37"/>
      <c r="DE38" s="37"/>
      <c r="DF38" s="37"/>
      <c r="DG38" s="37"/>
      <c r="DH38" s="37"/>
      <c r="DI38" s="37"/>
      <c r="DJ38" s="37"/>
      <c r="DK38" s="23"/>
      <c r="DL38" s="23"/>
      <c r="DM38" s="23"/>
      <c r="DN38" s="23"/>
      <c r="DO38" s="23"/>
      <c r="DP38" s="23"/>
      <c r="DQ38" s="23"/>
      <c r="DR38" s="23"/>
      <c r="DS38" s="23"/>
      <c r="DT38" s="23"/>
      <c r="DU38" s="23"/>
      <c r="DV38" s="23"/>
      <c r="DW38" s="23"/>
      <c r="DX38" s="95"/>
      <c r="DY38" s="95"/>
      <c r="DZ38" s="95"/>
      <c r="EA38" s="95"/>
      <c r="EB38" s="23"/>
      <c r="EC38" s="37"/>
      <c r="ED38" s="37"/>
      <c r="EE38" s="37"/>
      <c r="EF38" s="37"/>
      <c r="EG38" s="37"/>
      <c r="EH38" s="37"/>
      <c r="EI38" s="37"/>
      <c r="EJ38" s="23"/>
      <c r="EK38" s="23"/>
      <c r="EL38" s="23"/>
      <c r="EM38" s="23"/>
      <c r="EN38" s="23"/>
      <c r="EO38" s="23"/>
      <c r="EP38" s="23"/>
      <c r="EQ38" s="23"/>
      <c r="ER38" s="23"/>
      <c r="ES38" s="23"/>
      <c r="ET38" s="23"/>
      <c r="EU38" s="23"/>
      <c r="EV38" s="23"/>
      <c r="EW38" s="95"/>
      <c r="EX38" s="95"/>
      <c r="EY38" s="95"/>
      <c r="EZ38" s="95"/>
      <c r="FA38" s="23"/>
      <c r="FB38" s="37"/>
      <c r="FC38" s="37"/>
      <c r="FD38" s="37"/>
      <c r="FE38" s="37"/>
      <c r="FF38" s="37"/>
      <c r="FG38" s="37"/>
      <c r="FH38" s="37"/>
      <c r="FI38" s="23"/>
      <c r="FJ38" s="23"/>
      <c r="FK38" s="23"/>
      <c r="FL38" s="23"/>
      <c r="FM38" s="23"/>
      <c r="FN38" s="23"/>
      <c r="FO38" s="23"/>
      <c r="FP38" s="23"/>
      <c r="FQ38" s="23"/>
      <c r="FR38" s="23"/>
      <c r="FS38" s="23"/>
    </row>
    <row r="39" spans="1:175" ht="14.5" customHeight="1" x14ac:dyDescent="0.35">
      <c r="A39" s="23"/>
      <c r="B39" s="23"/>
      <c r="C39" s="94" t="s">
        <v>70</v>
      </c>
      <c r="D39" s="94">
        <f>SUM(Q13:Q28)</f>
        <v>5030</v>
      </c>
      <c r="E39" s="94" t="s">
        <v>71</v>
      </c>
      <c r="F39" s="94" t="str">
        <f>IF(F35&lt;0,"Bad shape","Fit shape")</f>
        <v>Fit shape</v>
      </c>
      <c r="G39" s="23"/>
      <c r="H39" s="37"/>
      <c r="I39" s="37"/>
      <c r="J39" s="37"/>
      <c r="K39" s="37"/>
      <c r="L39" s="37"/>
      <c r="M39" s="37"/>
      <c r="N39" s="37"/>
      <c r="O39" s="23"/>
      <c r="P39" s="23"/>
      <c r="Q39" s="23"/>
      <c r="R39" s="23"/>
      <c r="S39" s="23"/>
      <c r="T39" s="23"/>
      <c r="U39" s="23"/>
      <c r="V39" s="23"/>
      <c r="W39" s="23"/>
      <c r="X39" s="23"/>
      <c r="Y39" s="23"/>
      <c r="Z39" s="23"/>
      <c r="AA39" s="23"/>
      <c r="AB39" s="94" t="s">
        <v>70</v>
      </c>
      <c r="AC39" s="94">
        <f>SUM(AP13:AP28)</f>
        <v>12560</v>
      </c>
      <c r="AD39" s="94" t="s">
        <v>71</v>
      </c>
      <c r="AE39" s="94" t="str">
        <f>IF(AE35&lt;0,"Bad shape","Fit shape")</f>
        <v>Fit shape</v>
      </c>
      <c r="AF39" s="23"/>
      <c r="AG39" s="37"/>
      <c r="AH39" s="37"/>
      <c r="AI39" s="37"/>
      <c r="AJ39" s="37"/>
      <c r="AK39" s="37"/>
      <c r="AL39" s="37"/>
      <c r="AM39" s="37"/>
      <c r="AN39" s="23"/>
      <c r="AO39" s="23"/>
      <c r="AP39" s="23"/>
      <c r="AQ39" s="23"/>
      <c r="AR39" s="23"/>
      <c r="AS39" s="23"/>
      <c r="AT39" s="23"/>
      <c r="AU39" s="23"/>
      <c r="AV39" s="23"/>
      <c r="AW39" s="23"/>
      <c r="AX39" s="23"/>
      <c r="AY39" s="23"/>
      <c r="AZ39" s="23"/>
      <c r="BA39" s="94" t="s">
        <v>70</v>
      </c>
      <c r="BB39" s="94">
        <f>SUM(BO13:BO28)</f>
        <v>10960</v>
      </c>
      <c r="BC39" s="94" t="s">
        <v>71</v>
      </c>
      <c r="BD39" s="94" t="str">
        <f>IF(BD35&lt;0,"Bad shape","Fit shape")</f>
        <v>Fit shape</v>
      </c>
      <c r="BE39" s="23"/>
      <c r="BF39" s="37"/>
      <c r="BG39" s="37"/>
      <c r="BH39" s="37"/>
      <c r="BI39" s="37"/>
      <c r="BJ39" s="37"/>
      <c r="BK39" s="37"/>
      <c r="BL39" s="37"/>
      <c r="BM39" s="23"/>
      <c r="BN39" s="23"/>
      <c r="BO39" s="23"/>
      <c r="BP39" s="23"/>
      <c r="BQ39" s="23"/>
      <c r="BR39" s="23"/>
      <c r="BS39" s="23"/>
      <c r="BT39" s="23"/>
      <c r="BU39" s="23"/>
      <c r="BV39" s="23"/>
      <c r="BW39" s="23"/>
      <c r="BX39" s="23"/>
      <c r="BY39" s="23"/>
      <c r="BZ39" s="94" t="s">
        <v>70</v>
      </c>
      <c r="CA39" s="94">
        <f>SUM(CN13:CN28)</f>
        <v>7310</v>
      </c>
      <c r="CB39" s="94" t="s">
        <v>71</v>
      </c>
      <c r="CC39" s="94" t="str">
        <f>IF(CC35&lt;0,"Bad shape","Fit shape")</f>
        <v>Fit shape</v>
      </c>
      <c r="CD39" s="23"/>
      <c r="CE39" s="37"/>
      <c r="CF39" s="37"/>
      <c r="CG39" s="37"/>
      <c r="CH39" s="37"/>
      <c r="CI39" s="37"/>
      <c r="CJ39" s="37"/>
      <c r="CK39" s="37"/>
      <c r="CL39" s="23"/>
      <c r="CM39" s="23"/>
      <c r="CN39" s="23"/>
      <c r="CO39" s="23"/>
      <c r="CP39" s="23"/>
      <c r="CQ39" s="23"/>
      <c r="CR39" s="23"/>
      <c r="CS39" s="23"/>
      <c r="CT39" s="23"/>
      <c r="CU39" s="23"/>
      <c r="CV39" s="23"/>
      <c r="CW39" s="23"/>
      <c r="CX39" s="23"/>
      <c r="CY39" s="94" t="s">
        <v>70</v>
      </c>
      <c r="CZ39" s="94">
        <f>SUM(DM13:DM28)</f>
        <v>9760</v>
      </c>
      <c r="DA39" s="94" t="s">
        <v>71</v>
      </c>
      <c r="DB39" s="94" t="str">
        <f>IF(DB35&lt;0,"Bad shape","Fit shape")</f>
        <v>Fit shape</v>
      </c>
      <c r="DC39" s="23"/>
      <c r="DD39" s="37"/>
      <c r="DE39" s="37"/>
      <c r="DF39" s="37"/>
      <c r="DG39" s="37"/>
      <c r="DH39" s="37"/>
      <c r="DI39" s="37"/>
      <c r="DJ39" s="37"/>
      <c r="DK39" s="23"/>
      <c r="DL39" s="23"/>
      <c r="DM39" s="23"/>
      <c r="DN39" s="23"/>
      <c r="DO39" s="23"/>
      <c r="DP39" s="23"/>
      <c r="DQ39" s="23"/>
      <c r="DR39" s="23"/>
      <c r="DS39" s="23"/>
      <c r="DT39" s="23"/>
      <c r="DU39" s="23"/>
      <c r="DV39" s="23"/>
      <c r="DW39" s="23"/>
      <c r="DX39" s="94" t="s">
        <v>70</v>
      </c>
      <c r="DY39" s="94">
        <f>SUM(EL13:EL28)</f>
        <v>4165</v>
      </c>
      <c r="DZ39" s="94" t="s">
        <v>71</v>
      </c>
      <c r="EA39" s="94" t="str">
        <f>IF(EA35&lt;0,"Bad shape","Fit shape")</f>
        <v>Fit shape</v>
      </c>
      <c r="EB39" s="23"/>
      <c r="EC39" s="37"/>
      <c r="ED39" s="37"/>
      <c r="EE39" s="37"/>
      <c r="EF39" s="37"/>
      <c r="EG39" s="37"/>
      <c r="EH39" s="37"/>
      <c r="EI39" s="37"/>
      <c r="EJ39" s="23"/>
      <c r="EK39" s="23"/>
      <c r="EL39" s="23"/>
      <c r="EM39" s="23"/>
      <c r="EN39" s="23"/>
      <c r="EO39" s="23"/>
      <c r="EP39" s="23"/>
      <c r="EQ39" s="23"/>
      <c r="ER39" s="23"/>
      <c r="ES39" s="23"/>
      <c r="ET39" s="23"/>
      <c r="EU39" s="23"/>
      <c r="EV39" s="23"/>
      <c r="EW39" s="94" t="s">
        <v>70</v>
      </c>
      <c r="EX39" s="94">
        <f>SUM(FK13:FK28)</f>
        <v>10090</v>
      </c>
      <c r="EY39" s="94" t="s">
        <v>71</v>
      </c>
      <c r="EZ39" s="94" t="str">
        <f>IF(EZ35&lt;0,"Bad shape","Fit shape")</f>
        <v>Fit shape</v>
      </c>
      <c r="FA39" s="23"/>
      <c r="FB39" s="37"/>
      <c r="FC39" s="37"/>
      <c r="FD39" s="37"/>
      <c r="FE39" s="37"/>
      <c r="FF39" s="37"/>
      <c r="FG39" s="37"/>
      <c r="FH39" s="37"/>
      <c r="FI39" s="23"/>
      <c r="FJ39" s="23"/>
      <c r="FK39" s="23"/>
      <c r="FL39" s="23"/>
      <c r="FM39" s="23"/>
      <c r="FN39" s="23"/>
      <c r="FO39" s="23"/>
      <c r="FP39" s="23"/>
      <c r="FQ39" s="23"/>
      <c r="FR39" s="23"/>
      <c r="FS39" s="23"/>
    </row>
    <row r="40" spans="1:175" ht="15" customHeight="1" x14ac:dyDescent="0.35">
      <c r="A40" s="23"/>
      <c r="B40" s="23"/>
      <c r="C40" s="94"/>
      <c r="D40" s="94"/>
      <c r="E40" s="94"/>
      <c r="F40" s="94"/>
      <c r="G40" s="23"/>
      <c r="H40" s="37"/>
      <c r="I40" s="37"/>
      <c r="J40" s="37"/>
      <c r="K40" s="37"/>
      <c r="L40" s="37"/>
      <c r="M40" s="37"/>
      <c r="N40" s="37"/>
      <c r="O40" s="23"/>
      <c r="P40" s="23"/>
      <c r="Q40" s="23"/>
      <c r="R40" s="23"/>
      <c r="S40" s="23"/>
      <c r="T40" s="23"/>
      <c r="U40" s="23"/>
      <c r="V40" s="23"/>
      <c r="W40" s="23"/>
      <c r="X40" s="23"/>
      <c r="Y40" s="23"/>
      <c r="Z40" s="23"/>
      <c r="AA40" s="23"/>
      <c r="AB40" s="94"/>
      <c r="AC40" s="94"/>
      <c r="AD40" s="94"/>
      <c r="AE40" s="94"/>
      <c r="AF40" s="23"/>
      <c r="AG40" s="37"/>
      <c r="AH40" s="37"/>
      <c r="AI40" s="37"/>
      <c r="AJ40" s="37"/>
      <c r="AK40" s="37"/>
      <c r="AL40" s="37"/>
      <c r="AM40" s="37"/>
      <c r="AN40" s="23"/>
      <c r="AO40" s="23"/>
      <c r="AP40" s="23"/>
      <c r="AQ40" s="23"/>
      <c r="AR40" s="23"/>
      <c r="AS40" s="23"/>
      <c r="AT40" s="23"/>
      <c r="AU40" s="23"/>
      <c r="AV40" s="23"/>
      <c r="AW40" s="23"/>
      <c r="AX40" s="23"/>
      <c r="AY40" s="23"/>
      <c r="AZ40" s="23"/>
      <c r="BA40" s="94"/>
      <c r="BB40" s="94"/>
      <c r="BC40" s="94"/>
      <c r="BD40" s="94"/>
      <c r="BE40" s="23"/>
      <c r="BF40" s="37"/>
      <c r="BG40" s="37"/>
      <c r="BH40" s="37"/>
      <c r="BI40" s="37"/>
      <c r="BJ40" s="37"/>
      <c r="BK40" s="37"/>
      <c r="BL40" s="37"/>
      <c r="BM40" s="23"/>
      <c r="BN40" s="23"/>
      <c r="BO40" s="23"/>
      <c r="BP40" s="23"/>
      <c r="BQ40" s="23"/>
      <c r="BR40" s="23"/>
      <c r="BS40" s="23"/>
      <c r="BT40" s="23"/>
      <c r="BU40" s="23"/>
      <c r="BV40" s="23"/>
      <c r="BW40" s="23"/>
      <c r="BX40" s="23"/>
      <c r="BY40" s="23"/>
      <c r="BZ40" s="94"/>
      <c r="CA40" s="94"/>
      <c r="CB40" s="94"/>
      <c r="CC40" s="94"/>
      <c r="CD40" s="23"/>
      <c r="CE40" s="37"/>
      <c r="CF40" s="37"/>
      <c r="CG40" s="37"/>
      <c r="CH40" s="37"/>
      <c r="CI40" s="37"/>
      <c r="CJ40" s="37"/>
      <c r="CK40" s="37"/>
      <c r="CL40" s="23"/>
      <c r="CM40" s="23"/>
      <c r="CN40" s="23"/>
      <c r="CO40" s="23"/>
      <c r="CP40" s="23"/>
      <c r="CQ40" s="23"/>
      <c r="CR40" s="23"/>
      <c r="CS40" s="23"/>
      <c r="CT40" s="23"/>
      <c r="CU40" s="23"/>
      <c r="CV40" s="23"/>
      <c r="CW40" s="23"/>
      <c r="CX40" s="23"/>
      <c r="CY40" s="94"/>
      <c r="CZ40" s="94"/>
      <c r="DA40" s="94"/>
      <c r="DB40" s="94"/>
      <c r="DC40" s="23"/>
      <c r="DD40" s="37"/>
      <c r="DE40" s="37"/>
      <c r="DF40" s="37"/>
      <c r="DG40" s="37"/>
      <c r="DH40" s="37"/>
      <c r="DI40" s="37"/>
      <c r="DJ40" s="37"/>
      <c r="DK40" s="23"/>
      <c r="DL40" s="23"/>
      <c r="DM40" s="23"/>
      <c r="DN40" s="23"/>
      <c r="DO40" s="23"/>
      <c r="DP40" s="23"/>
      <c r="DQ40" s="23"/>
      <c r="DR40" s="23"/>
      <c r="DS40" s="23"/>
      <c r="DT40" s="23"/>
      <c r="DU40" s="23"/>
      <c r="DV40" s="23"/>
      <c r="DW40" s="23"/>
      <c r="DX40" s="94"/>
      <c r="DY40" s="94"/>
      <c r="DZ40" s="94"/>
      <c r="EA40" s="94"/>
      <c r="EB40" s="23"/>
      <c r="EC40" s="37"/>
      <c r="ED40" s="37"/>
      <c r="EE40" s="37"/>
      <c r="EF40" s="37"/>
      <c r="EG40" s="37"/>
      <c r="EH40" s="37"/>
      <c r="EI40" s="37"/>
      <c r="EJ40" s="23"/>
      <c r="EK40" s="23"/>
      <c r="EL40" s="23"/>
      <c r="EM40" s="23"/>
      <c r="EN40" s="23"/>
      <c r="EO40" s="23"/>
      <c r="EP40" s="23"/>
      <c r="EQ40" s="23"/>
      <c r="ER40" s="23"/>
      <c r="ES40" s="23"/>
      <c r="ET40" s="23"/>
      <c r="EU40" s="23"/>
      <c r="EV40" s="23"/>
      <c r="EW40" s="94"/>
      <c r="EX40" s="94"/>
      <c r="EY40" s="94"/>
      <c r="EZ40" s="94"/>
      <c r="FA40" s="23"/>
      <c r="FB40" s="37"/>
      <c r="FC40" s="37"/>
      <c r="FD40" s="37"/>
      <c r="FE40" s="37"/>
      <c r="FF40" s="37"/>
      <c r="FG40" s="37"/>
      <c r="FH40" s="37"/>
      <c r="FI40" s="23"/>
      <c r="FJ40" s="23"/>
      <c r="FK40" s="23"/>
      <c r="FL40" s="23"/>
      <c r="FM40" s="23"/>
      <c r="FN40" s="23"/>
      <c r="FO40" s="23"/>
      <c r="FP40" s="23"/>
      <c r="FQ40" s="23"/>
      <c r="FR40" s="23"/>
      <c r="FS40" s="23"/>
    </row>
    <row r="41" spans="1:175" ht="14.5" customHeight="1" x14ac:dyDescent="0.35">
      <c r="A41" s="23"/>
      <c r="B41" s="23"/>
      <c r="C41" s="94"/>
      <c r="D41" s="94"/>
      <c r="E41" s="94"/>
      <c r="F41" s="94"/>
      <c r="G41" s="23"/>
      <c r="H41" s="37"/>
      <c r="I41" s="37"/>
      <c r="J41" s="37"/>
      <c r="K41" s="37"/>
      <c r="L41" s="37"/>
      <c r="M41" s="37"/>
      <c r="N41" s="37"/>
      <c r="O41" s="37"/>
      <c r="P41" s="37"/>
      <c r="Q41" s="23"/>
      <c r="R41" s="23"/>
      <c r="S41" s="23"/>
      <c r="T41" s="23"/>
      <c r="U41" s="23"/>
      <c r="V41" s="23"/>
      <c r="W41" s="23"/>
      <c r="X41" s="23"/>
      <c r="Y41" s="23"/>
      <c r="Z41" s="23"/>
      <c r="AA41" s="23"/>
      <c r="AB41" s="94"/>
      <c r="AC41" s="94"/>
      <c r="AD41" s="94"/>
      <c r="AE41" s="94"/>
      <c r="AF41" s="23"/>
      <c r="AG41" s="37"/>
      <c r="AH41" s="37"/>
      <c r="AI41" s="37"/>
      <c r="AJ41" s="37"/>
      <c r="AK41" s="37"/>
      <c r="AL41" s="37"/>
      <c r="AM41" s="37"/>
      <c r="AN41" s="37"/>
      <c r="AO41" s="37"/>
      <c r="AP41" s="23"/>
      <c r="AQ41" s="23"/>
      <c r="AR41" s="23"/>
      <c r="AS41" s="23"/>
      <c r="AT41" s="23"/>
      <c r="AU41" s="23"/>
      <c r="AV41" s="23"/>
      <c r="AW41" s="23"/>
      <c r="AX41" s="23"/>
      <c r="AY41" s="23"/>
      <c r="AZ41" s="23"/>
      <c r="BA41" s="94"/>
      <c r="BB41" s="94"/>
      <c r="BC41" s="94"/>
      <c r="BD41" s="94"/>
      <c r="BE41" s="23"/>
      <c r="BF41" s="37"/>
      <c r="BG41" s="37"/>
      <c r="BH41" s="37"/>
      <c r="BI41" s="37"/>
      <c r="BJ41" s="37"/>
      <c r="BK41" s="37"/>
      <c r="BL41" s="37"/>
      <c r="BM41" s="37"/>
      <c r="BN41" s="37"/>
      <c r="BO41" s="23"/>
      <c r="BP41" s="23"/>
      <c r="BQ41" s="23"/>
      <c r="BR41" s="23"/>
      <c r="BS41" s="23"/>
      <c r="BT41" s="23"/>
      <c r="BU41" s="23"/>
      <c r="BV41" s="23"/>
      <c r="BW41" s="23"/>
      <c r="BX41" s="23"/>
      <c r="BY41" s="23"/>
      <c r="BZ41" s="94"/>
      <c r="CA41" s="94"/>
      <c r="CB41" s="94"/>
      <c r="CC41" s="94"/>
      <c r="CD41" s="23"/>
      <c r="CE41" s="37"/>
      <c r="CF41" s="37"/>
      <c r="CG41" s="37"/>
      <c r="CH41" s="37"/>
      <c r="CI41" s="37"/>
      <c r="CJ41" s="37"/>
      <c r="CK41" s="37"/>
      <c r="CL41" s="37"/>
      <c r="CM41" s="37"/>
      <c r="CN41" s="23"/>
      <c r="CO41" s="23"/>
      <c r="CP41" s="23"/>
      <c r="CQ41" s="23"/>
      <c r="CR41" s="23"/>
      <c r="CS41" s="23"/>
      <c r="CT41" s="23"/>
      <c r="CU41" s="23"/>
      <c r="CV41" s="23"/>
      <c r="CW41" s="23"/>
      <c r="CX41" s="23"/>
      <c r="CY41" s="94"/>
      <c r="CZ41" s="94"/>
      <c r="DA41" s="94"/>
      <c r="DB41" s="94"/>
      <c r="DC41" s="23"/>
      <c r="DD41" s="37"/>
      <c r="DE41" s="37"/>
      <c r="DF41" s="37"/>
      <c r="DG41" s="37"/>
      <c r="DH41" s="37"/>
      <c r="DI41" s="37"/>
      <c r="DJ41" s="37"/>
      <c r="DK41" s="37"/>
      <c r="DL41" s="37"/>
      <c r="DM41" s="23"/>
      <c r="DN41" s="23"/>
      <c r="DO41" s="23"/>
      <c r="DP41" s="23"/>
      <c r="DQ41" s="23"/>
      <c r="DR41" s="23"/>
      <c r="DS41" s="23"/>
      <c r="DT41" s="23"/>
      <c r="DU41" s="23"/>
      <c r="DV41" s="23"/>
      <c r="DW41" s="23"/>
      <c r="DX41" s="94"/>
      <c r="DY41" s="94"/>
      <c r="DZ41" s="94"/>
      <c r="EA41" s="94"/>
      <c r="EB41" s="23"/>
      <c r="EC41" s="37"/>
      <c r="ED41" s="37"/>
      <c r="EE41" s="37"/>
      <c r="EF41" s="37"/>
      <c r="EG41" s="37"/>
      <c r="EH41" s="37"/>
      <c r="EI41" s="37"/>
      <c r="EJ41" s="37"/>
      <c r="EK41" s="37"/>
      <c r="EL41" s="23"/>
      <c r="EM41" s="23"/>
      <c r="EN41" s="23"/>
      <c r="EO41" s="23"/>
      <c r="EP41" s="23"/>
      <c r="EQ41" s="23"/>
      <c r="ER41" s="23"/>
      <c r="ES41" s="23"/>
      <c r="ET41" s="23"/>
      <c r="EU41" s="23"/>
      <c r="EV41" s="23"/>
      <c r="EW41" s="94"/>
      <c r="EX41" s="94"/>
      <c r="EY41" s="94"/>
      <c r="EZ41" s="94"/>
      <c r="FA41" s="23"/>
      <c r="FB41" s="37"/>
      <c r="FC41" s="37"/>
      <c r="FD41" s="37"/>
      <c r="FE41" s="37"/>
      <c r="FF41" s="37"/>
      <c r="FG41" s="37"/>
      <c r="FH41" s="37"/>
      <c r="FI41" s="37"/>
      <c r="FJ41" s="37"/>
      <c r="FK41" s="23"/>
      <c r="FL41" s="23"/>
      <c r="FM41" s="23"/>
      <c r="FN41" s="23"/>
      <c r="FO41" s="23"/>
      <c r="FP41" s="23"/>
      <c r="FQ41" s="23"/>
      <c r="FR41" s="23"/>
      <c r="FS41" s="23"/>
    </row>
    <row r="42" spans="1:175" ht="15" customHeight="1" thickBot="1" x14ac:dyDescent="0.4">
      <c r="A42" s="23"/>
      <c r="B42" s="23"/>
      <c r="C42" s="95"/>
      <c r="D42" s="95"/>
      <c r="E42" s="95"/>
      <c r="F42" s="95"/>
      <c r="G42" s="23"/>
      <c r="H42" s="37"/>
      <c r="I42" s="37"/>
      <c r="J42" s="37"/>
      <c r="K42" s="37"/>
      <c r="L42" s="37"/>
      <c r="M42" s="37"/>
      <c r="N42" s="37"/>
      <c r="O42" s="37"/>
      <c r="P42" s="37"/>
      <c r="Q42" s="23"/>
      <c r="R42" s="23"/>
      <c r="S42" s="23"/>
      <c r="T42" s="23"/>
      <c r="U42" s="23"/>
      <c r="V42" s="23"/>
      <c r="W42" s="23"/>
      <c r="X42" s="23"/>
      <c r="Y42" s="23"/>
      <c r="Z42" s="23"/>
      <c r="AA42" s="23"/>
      <c r="AB42" s="95"/>
      <c r="AC42" s="95"/>
      <c r="AD42" s="95"/>
      <c r="AE42" s="95"/>
      <c r="AF42" s="23"/>
      <c r="AG42" s="37"/>
      <c r="AH42" s="37"/>
      <c r="AI42" s="37"/>
      <c r="AJ42" s="37"/>
      <c r="AK42" s="37"/>
      <c r="AL42" s="37"/>
      <c r="AM42" s="37"/>
      <c r="AN42" s="37"/>
      <c r="AO42" s="37"/>
      <c r="AP42" s="23"/>
      <c r="AQ42" s="23"/>
      <c r="AR42" s="23"/>
      <c r="AS42" s="23"/>
      <c r="AT42" s="23"/>
      <c r="AU42" s="23"/>
      <c r="AV42" s="23"/>
      <c r="AW42" s="23"/>
      <c r="AX42" s="23"/>
      <c r="AY42" s="23"/>
      <c r="AZ42" s="23"/>
      <c r="BA42" s="95"/>
      <c r="BB42" s="95"/>
      <c r="BC42" s="95"/>
      <c r="BD42" s="95"/>
      <c r="BE42" s="23"/>
      <c r="BF42" s="37"/>
      <c r="BG42" s="37"/>
      <c r="BH42" s="37"/>
      <c r="BI42" s="37"/>
      <c r="BJ42" s="37"/>
      <c r="BK42" s="37"/>
      <c r="BL42" s="37"/>
      <c r="BM42" s="37"/>
      <c r="BN42" s="37"/>
      <c r="BO42" s="23"/>
      <c r="BP42" s="23"/>
      <c r="BQ42" s="23"/>
      <c r="BR42" s="23"/>
      <c r="BS42" s="23"/>
      <c r="BT42" s="23"/>
      <c r="BU42" s="23"/>
      <c r="BV42" s="23"/>
      <c r="BW42" s="23"/>
      <c r="BX42" s="23"/>
      <c r="BY42" s="23"/>
      <c r="BZ42" s="95"/>
      <c r="CA42" s="95"/>
      <c r="CB42" s="95"/>
      <c r="CC42" s="95"/>
      <c r="CD42" s="23"/>
      <c r="CE42" s="37"/>
      <c r="CF42" s="37"/>
      <c r="CG42" s="37"/>
      <c r="CH42" s="37"/>
      <c r="CI42" s="37"/>
      <c r="CJ42" s="37"/>
      <c r="CK42" s="37"/>
      <c r="CL42" s="37"/>
      <c r="CM42" s="37"/>
      <c r="CN42" s="23"/>
      <c r="CO42" s="23"/>
      <c r="CP42" s="23"/>
      <c r="CQ42" s="23"/>
      <c r="CR42" s="23"/>
      <c r="CS42" s="23"/>
      <c r="CT42" s="23"/>
      <c r="CU42" s="23"/>
      <c r="CV42" s="23"/>
      <c r="CW42" s="23"/>
      <c r="CX42" s="23"/>
      <c r="CY42" s="95"/>
      <c r="CZ42" s="95"/>
      <c r="DA42" s="95"/>
      <c r="DB42" s="95"/>
      <c r="DC42" s="23"/>
      <c r="DD42" s="37"/>
      <c r="DE42" s="37"/>
      <c r="DF42" s="37"/>
      <c r="DG42" s="37"/>
      <c r="DH42" s="37"/>
      <c r="DI42" s="37"/>
      <c r="DJ42" s="37"/>
      <c r="DK42" s="37"/>
      <c r="DL42" s="37"/>
      <c r="DM42" s="23"/>
      <c r="DN42" s="23"/>
      <c r="DO42" s="23"/>
      <c r="DP42" s="23"/>
      <c r="DQ42" s="23"/>
      <c r="DR42" s="23"/>
      <c r="DS42" s="23"/>
      <c r="DT42" s="23"/>
      <c r="DU42" s="23"/>
      <c r="DV42" s="23"/>
      <c r="DW42" s="23"/>
      <c r="DX42" s="95"/>
      <c r="DY42" s="95"/>
      <c r="DZ42" s="95"/>
      <c r="EA42" s="95"/>
      <c r="EB42" s="23"/>
      <c r="EC42" s="37"/>
      <c r="ED42" s="37"/>
      <c r="EE42" s="37"/>
      <c r="EF42" s="37"/>
      <c r="EG42" s="37"/>
      <c r="EH42" s="37"/>
      <c r="EI42" s="37"/>
      <c r="EJ42" s="37"/>
      <c r="EK42" s="37"/>
      <c r="EL42" s="23"/>
      <c r="EM42" s="23"/>
      <c r="EN42" s="23"/>
      <c r="EO42" s="23"/>
      <c r="EP42" s="23"/>
      <c r="EQ42" s="23"/>
      <c r="ER42" s="23"/>
      <c r="ES42" s="23"/>
      <c r="ET42" s="23"/>
      <c r="EU42" s="23"/>
      <c r="EV42" s="23"/>
      <c r="EW42" s="95"/>
      <c r="EX42" s="95"/>
      <c r="EY42" s="95"/>
      <c r="EZ42" s="95"/>
      <c r="FA42" s="23"/>
      <c r="FB42" s="37"/>
      <c r="FC42" s="37"/>
      <c r="FD42" s="37"/>
      <c r="FE42" s="37"/>
      <c r="FF42" s="37"/>
      <c r="FG42" s="37"/>
      <c r="FH42" s="37"/>
      <c r="FI42" s="37"/>
      <c r="FJ42" s="37"/>
      <c r="FK42" s="23"/>
      <c r="FL42" s="23"/>
      <c r="FM42" s="23"/>
      <c r="FN42" s="23"/>
      <c r="FO42" s="23"/>
      <c r="FP42" s="23"/>
      <c r="FQ42" s="23"/>
      <c r="FR42" s="23"/>
      <c r="FS42" s="23"/>
    </row>
    <row r="43" spans="1:175" ht="15" customHeight="1" x14ac:dyDescent="0.35">
      <c r="A43" s="23"/>
      <c r="B43" s="23"/>
      <c r="C43" s="23"/>
      <c r="D43" s="23"/>
      <c r="E43" s="23"/>
      <c r="F43" s="23"/>
      <c r="G43" s="23"/>
      <c r="H43" s="37"/>
      <c r="I43" s="37"/>
      <c r="J43" s="37"/>
      <c r="K43" s="37"/>
      <c r="L43" s="37"/>
      <c r="M43" s="37"/>
      <c r="N43" s="37"/>
      <c r="O43" s="37"/>
      <c r="P43" s="37"/>
      <c r="Q43" s="23"/>
      <c r="R43" s="23"/>
      <c r="S43" s="23"/>
      <c r="T43" s="23"/>
      <c r="U43" s="23"/>
      <c r="V43" s="23"/>
      <c r="W43" s="23"/>
      <c r="X43" s="23"/>
      <c r="Y43" s="23"/>
      <c r="Z43" s="23"/>
      <c r="AA43" s="23"/>
      <c r="AB43" s="23"/>
      <c r="AC43" s="23"/>
      <c r="AD43" s="23"/>
      <c r="AE43" s="23"/>
      <c r="AF43" s="23"/>
      <c r="AG43" s="37"/>
      <c r="AH43" s="37"/>
      <c r="AI43" s="37"/>
      <c r="AJ43" s="37"/>
      <c r="AK43" s="37"/>
      <c r="AL43" s="37"/>
      <c r="AM43" s="37"/>
      <c r="AN43" s="37"/>
      <c r="AO43" s="37"/>
      <c r="AP43" s="23"/>
      <c r="AQ43" s="23"/>
      <c r="AR43" s="23"/>
      <c r="AS43" s="23"/>
      <c r="AT43" s="23"/>
      <c r="AU43" s="23"/>
      <c r="AV43" s="23"/>
      <c r="AW43" s="23"/>
      <c r="AX43" s="23"/>
      <c r="AY43" s="23"/>
      <c r="AZ43" s="23"/>
      <c r="BA43" s="23"/>
      <c r="BB43" s="23"/>
      <c r="BC43" s="23"/>
      <c r="BD43" s="23"/>
      <c r="BE43" s="23"/>
      <c r="BF43" s="37"/>
      <c r="BG43" s="37"/>
      <c r="BH43" s="37"/>
      <c r="BI43" s="37"/>
      <c r="BJ43" s="37"/>
      <c r="BK43" s="37"/>
      <c r="BL43" s="37"/>
      <c r="BM43" s="37"/>
      <c r="BN43" s="37"/>
      <c r="BO43" s="23"/>
      <c r="BP43" s="23"/>
      <c r="BQ43" s="23"/>
      <c r="BR43" s="23"/>
      <c r="BS43" s="23"/>
      <c r="BT43" s="23"/>
      <c r="BU43" s="23"/>
      <c r="BV43" s="23"/>
      <c r="BW43" s="23"/>
      <c r="BX43" s="23"/>
      <c r="BY43" s="23"/>
      <c r="BZ43" s="23"/>
      <c r="CA43" s="23"/>
      <c r="CB43" s="23"/>
      <c r="CC43" s="23"/>
      <c r="CD43" s="23"/>
      <c r="CE43" s="37"/>
      <c r="CF43" s="37"/>
      <c r="CG43" s="37"/>
      <c r="CH43" s="37"/>
      <c r="CI43" s="37"/>
      <c r="CJ43" s="37"/>
      <c r="CK43" s="37"/>
      <c r="CL43" s="37"/>
      <c r="CM43" s="37"/>
      <c r="CN43" s="23"/>
      <c r="CO43" s="23"/>
      <c r="CP43" s="23"/>
      <c r="CQ43" s="23"/>
      <c r="CR43" s="23"/>
      <c r="CS43" s="23"/>
      <c r="CT43" s="23"/>
      <c r="CU43" s="23"/>
      <c r="CV43" s="23"/>
      <c r="CW43" s="23"/>
      <c r="CX43" s="23"/>
      <c r="CY43" s="23"/>
      <c r="CZ43" s="23"/>
      <c r="DA43" s="23"/>
      <c r="DB43" s="23"/>
      <c r="DC43" s="23"/>
      <c r="DD43" s="37"/>
      <c r="DE43" s="37"/>
      <c r="DF43" s="37"/>
      <c r="DG43" s="37"/>
      <c r="DH43" s="37"/>
      <c r="DI43" s="37"/>
      <c r="DJ43" s="37"/>
      <c r="DK43" s="37"/>
      <c r="DL43" s="37"/>
      <c r="DM43" s="23"/>
      <c r="DN43" s="23"/>
      <c r="DO43" s="23"/>
      <c r="DP43" s="23"/>
      <c r="DQ43" s="23"/>
      <c r="DR43" s="23"/>
      <c r="DS43" s="23"/>
      <c r="DT43" s="23"/>
      <c r="DU43" s="23"/>
      <c r="DV43" s="23"/>
      <c r="DW43" s="23"/>
      <c r="DX43" s="23"/>
      <c r="DY43" s="23"/>
      <c r="DZ43" s="23"/>
      <c r="EA43" s="23"/>
      <c r="EB43" s="23"/>
      <c r="EC43" s="37"/>
      <c r="ED43" s="37"/>
      <c r="EE43" s="37"/>
      <c r="EF43" s="37"/>
      <c r="EG43" s="37"/>
      <c r="EH43" s="37"/>
      <c r="EI43" s="37"/>
      <c r="EJ43" s="37"/>
      <c r="EK43" s="37"/>
      <c r="EL43" s="23"/>
      <c r="EM43" s="23"/>
      <c r="EN43" s="23"/>
      <c r="EO43" s="23"/>
      <c r="EP43" s="23"/>
      <c r="EQ43" s="23"/>
      <c r="ER43" s="23"/>
      <c r="ES43" s="23"/>
      <c r="ET43" s="23"/>
      <c r="EU43" s="23"/>
      <c r="EV43" s="23"/>
      <c r="EW43" s="23"/>
      <c r="EX43" s="23"/>
      <c r="EY43" s="23"/>
      <c r="EZ43" s="23"/>
      <c r="FA43" s="23"/>
      <c r="FB43" s="37"/>
      <c r="FC43" s="37"/>
      <c r="FD43" s="37"/>
      <c r="FE43" s="37"/>
      <c r="FF43" s="37"/>
      <c r="FG43" s="37"/>
      <c r="FH43" s="37"/>
      <c r="FI43" s="37"/>
      <c r="FJ43" s="37"/>
      <c r="FK43" s="23"/>
      <c r="FL43" s="23"/>
      <c r="FM43" s="23"/>
      <c r="FN43" s="23"/>
      <c r="FO43" s="23"/>
      <c r="FP43" s="23"/>
      <c r="FQ43" s="23"/>
      <c r="FR43" s="23"/>
      <c r="FS43" s="23"/>
    </row>
    <row r="44" spans="1:175" ht="15" customHeight="1" x14ac:dyDescent="0.35">
      <c r="A44" s="23"/>
      <c r="B44" s="23"/>
      <c r="C44" s="23"/>
      <c r="D44" s="23"/>
      <c r="E44" s="23"/>
      <c r="F44" s="23"/>
      <c r="G44" s="23"/>
      <c r="H44" s="37"/>
      <c r="I44" s="37"/>
      <c r="J44" s="37"/>
      <c r="K44" s="37"/>
      <c r="L44" s="37"/>
      <c r="M44" s="37"/>
      <c r="N44" s="37"/>
      <c r="O44" s="37"/>
      <c r="P44" s="37"/>
      <c r="Q44" s="23"/>
      <c r="R44" s="23"/>
      <c r="S44" s="23"/>
      <c r="T44" s="23"/>
      <c r="U44" s="23"/>
      <c r="V44" s="23"/>
      <c r="W44" s="23"/>
      <c r="X44" s="23"/>
      <c r="Y44" s="23"/>
      <c r="Z44" s="23"/>
      <c r="AA44" s="23"/>
      <c r="AB44" s="23"/>
      <c r="AC44" s="23"/>
      <c r="AD44" s="23"/>
      <c r="AE44" s="23"/>
      <c r="AF44" s="23"/>
      <c r="AG44" s="37"/>
      <c r="AH44" s="37"/>
      <c r="AI44" s="37"/>
      <c r="AJ44" s="37"/>
      <c r="AK44" s="37"/>
      <c r="AL44" s="37"/>
      <c r="AM44" s="37"/>
      <c r="AN44" s="37"/>
      <c r="AO44" s="37"/>
      <c r="AP44" s="23"/>
      <c r="AQ44" s="23"/>
      <c r="AR44" s="23"/>
      <c r="AS44" s="23"/>
      <c r="AT44" s="23"/>
      <c r="AU44" s="23"/>
      <c r="AV44" s="23"/>
      <c r="AW44" s="23"/>
      <c r="AX44" s="23"/>
      <c r="AY44" s="23"/>
      <c r="AZ44" s="23"/>
      <c r="BA44" s="23"/>
      <c r="BB44" s="23"/>
      <c r="BC44" s="23"/>
      <c r="BD44" s="23"/>
      <c r="BE44" s="23"/>
      <c r="BF44" s="37"/>
      <c r="BG44" s="37"/>
      <c r="BH44" s="37"/>
      <c r="BI44" s="37"/>
      <c r="BJ44" s="37"/>
      <c r="BK44" s="37"/>
      <c r="BL44" s="37"/>
      <c r="BM44" s="37"/>
      <c r="BN44" s="37"/>
      <c r="BO44" s="23"/>
      <c r="BP44" s="23"/>
      <c r="BQ44" s="23"/>
      <c r="BR44" s="23"/>
      <c r="BS44" s="23"/>
      <c r="BT44" s="23"/>
      <c r="BU44" s="23"/>
      <c r="BV44" s="23"/>
      <c r="BW44" s="23"/>
      <c r="BX44" s="23"/>
      <c r="BY44" s="23"/>
      <c r="BZ44" s="23"/>
      <c r="CA44" s="23"/>
      <c r="CB44" s="23"/>
      <c r="CC44" s="23"/>
      <c r="CD44" s="23"/>
      <c r="CE44" s="37"/>
      <c r="CF44" s="37"/>
      <c r="CG44" s="37"/>
      <c r="CH44" s="37"/>
      <c r="CI44" s="37"/>
      <c r="CJ44" s="37"/>
      <c r="CK44" s="37"/>
      <c r="CL44" s="37"/>
      <c r="CM44" s="37"/>
      <c r="CN44" s="23"/>
      <c r="CO44" s="23"/>
      <c r="CP44" s="23"/>
      <c r="CQ44" s="23"/>
      <c r="CR44" s="23"/>
      <c r="CS44" s="23"/>
      <c r="CT44" s="23"/>
      <c r="CU44" s="23"/>
      <c r="CV44" s="23"/>
      <c r="CW44" s="23"/>
      <c r="CX44" s="23"/>
      <c r="CY44" s="23"/>
      <c r="CZ44" s="23"/>
      <c r="DA44" s="23"/>
      <c r="DB44" s="23"/>
      <c r="DC44" s="23"/>
      <c r="DD44" s="37"/>
      <c r="DE44" s="37"/>
      <c r="DF44" s="37"/>
      <c r="DG44" s="37"/>
      <c r="DH44" s="37"/>
      <c r="DI44" s="37"/>
      <c r="DJ44" s="37"/>
      <c r="DK44" s="37"/>
      <c r="DL44" s="37"/>
      <c r="DM44" s="23"/>
      <c r="DN44" s="23"/>
      <c r="DO44" s="23"/>
      <c r="DP44" s="23"/>
      <c r="DQ44" s="23"/>
      <c r="DR44" s="23"/>
      <c r="DS44" s="23"/>
      <c r="DT44" s="23"/>
      <c r="DU44" s="23"/>
      <c r="DV44" s="23"/>
      <c r="DW44" s="23"/>
      <c r="DX44" s="23"/>
      <c r="DY44" s="23"/>
      <c r="DZ44" s="23"/>
      <c r="EA44" s="23"/>
      <c r="EB44" s="23"/>
      <c r="EC44" s="37"/>
      <c r="ED44" s="37"/>
      <c r="EE44" s="37"/>
      <c r="EF44" s="37"/>
      <c r="EG44" s="37"/>
      <c r="EH44" s="37"/>
      <c r="EI44" s="37"/>
      <c r="EJ44" s="37"/>
      <c r="EK44" s="37"/>
      <c r="EL44" s="23"/>
      <c r="EM44" s="23"/>
      <c r="EN44" s="23"/>
      <c r="EO44" s="23"/>
      <c r="EP44" s="23"/>
      <c r="EQ44" s="23"/>
      <c r="ER44" s="23"/>
      <c r="ES44" s="23"/>
      <c r="ET44" s="23"/>
      <c r="EU44" s="23"/>
      <c r="EV44" s="23"/>
      <c r="EW44" s="23"/>
      <c r="EX44" s="23"/>
      <c r="EY44" s="23"/>
      <c r="EZ44" s="23"/>
      <c r="FA44" s="23"/>
      <c r="FB44" s="37"/>
      <c r="FC44" s="37"/>
      <c r="FD44" s="37"/>
      <c r="FE44" s="37"/>
      <c r="FF44" s="37"/>
      <c r="FG44" s="37"/>
      <c r="FH44" s="37"/>
      <c r="FI44" s="37"/>
      <c r="FJ44" s="37"/>
      <c r="FK44" s="23"/>
      <c r="FL44" s="23"/>
      <c r="FM44" s="23"/>
      <c r="FN44" s="23"/>
      <c r="FO44" s="23"/>
      <c r="FP44" s="23"/>
      <c r="FQ44" s="23"/>
      <c r="FR44" s="23"/>
      <c r="FS44" s="23"/>
    </row>
    <row r="45" spans="1:175" ht="15" customHeight="1" x14ac:dyDescent="0.35">
      <c r="A45" s="23"/>
      <c r="B45" s="23"/>
      <c r="C45" s="23"/>
      <c r="D45" s="23"/>
      <c r="E45" s="23"/>
      <c r="F45" s="23"/>
      <c r="G45" s="23"/>
      <c r="H45" s="37"/>
      <c r="I45" s="37"/>
      <c r="J45" s="37"/>
      <c r="K45" s="37"/>
      <c r="L45" s="37"/>
      <c r="M45" s="37"/>
      <c r="N45" s="37"/>
      <c r="O45" s="37"/>
      <c r="P45" s="37"/>
      <c r="Q45" s="23"/>
      <c r="R45" s="23"/>
      <c r="S45" s="23"/>
      <c r="T45" s="23"/>
      <c r="U45" s="23"/>
      <c r="V45" s="23"/>
      <c r="W45" s="23"/>
      <c r="X45" s="23"/>
      <c r="Y45" s="23"/>
      <c r="Z45" s="23"/>
      <c r="AA45" s="23"/>
      <c r="AB45" s="23"/>
      <c r="AC45" s="23"/>
      <c r="AD45" s="23"/>
      <c r="AE45" s="23"/>
      <c r="AF45" s="23"/>
      <c r="AG45" s="37"/>
      <c r="AH45" s="37"/>
      <c r="AI45" s="37"/>
      <c r="AJ45" s="37"/>
      <c r="AK45" s="37"/>
      <c r="AL45" s="37"/>
      <c r="AM45" s="37"/>
      <c r="AN45" s="37"/>
      <c r="AO45" s="37"/>
      <c r="AP45" s="23"/>
      <c r="AQ45" s="23"/>
      <c r="AR45" s="23"/>
      <c r="AS45" s="23"/>
      <c r="AT45" s="23"/>
      <c r="AU45" s="23"/>
      <c r="AV45" s="23"/>
      <c r="AW45" s="23"/>
      <c r="AX45" s="23"/>
      <c r="AY45" s="23"/>
      <c r="AZ45" s="23"/>
      <c r="BA45" s="23"/>
      <c r="BB45" s="23"/>
      <c r="BC45" s="23"/>
      <c r="BD45" s="23"/>
      <c r="BE45" s="23"/>
      <c r="BF45" s="37"/>
      <c r="BG45" s="37"/>
      <c r="BH45" s="37"/>
      <c r="BI45" s="37"/>
      <c r="BJ45" s="37"/>
      <c r="BK45" s="37"/>
      <c r="BL45" s="37"/>
      <c r="BM45" s="37"/>
      <c r="BN45" s="37"/>
      <c r="BO45" s="23"/>
      <c r="BP45" s="23"/>
      <c r="BQ45" s="23"/>
      <c r="BR45" s="23"/>
      <c r="BS45" s="23"/>
      <c r="BT45" s="23"/>
      <c r="BU45" s="23"/>
      <c r="BV45" s="23"/>
      <c r="BW45" s="23"/>
      <c r="BX45" s="23"/>
      <c r="BY45" s="23"/>
      <c r="BZ45" s="23"/>
      <c r="CA45" s="23"/>
      <c r="CB45" s="23"/>
      <c r="CC45" s="23"/>
      <c r="CD45" s="23"/>
      <c r="CE45" s="37"/>
      <c r="CF45" s="37"/>
      <c r="CG45" s="37"/>
      <c r="CH45" s="37"/>
      <c r="CI45" s="37"/>
      <c r="CJ45" s="37"/>
      <c r="CK45" s="37"/>
      <c r="CL45" s="37"/>
      <c r="CM45" s="37"/>
      <c r="CN45" s="23"/>
      <c r="CO45" s="23"/>
      <c r="CP45" s="23"/>
      <c r="CQ45" s="23"/>
      <c r="CR45" s="23"/>
      <c r="CS45" s="23"/>
      <c r="CT45" s="23"/>
      <c r="CU45" s="23"/>
      <c r="CV45" s="23"/>
      <c r="CW45" s="23"/>
      <c r="CX45" s="23"/>
      <c r="CY45" s="23"/>
      <c r="CZ45" s="23"/>
      <c r="DA45" s="23"/>
      <c r="DB45" s="23"/>
      <c r="DC45" s="23"/>
      <c r="DD45" s="37"/>
      <c r="DE45" s="37"/>
      <c r="DF45" s="37"/>
      <c r="DG45" s="37"/>
      <c r="DH45" s="37"/>
      <c r="DI45" s="37"/>
      <c r="DJ45" s="37"/>
      <c r="DK45" s="37"/>
      <c r="DL45" s="37"/>
      <c r="DM45" s="23"/>
      <c r="DN45" s="23"/>
      <c r="DO45" s="23"/>
      <c r="DP45" s="23"/>
      <c r="DQ45" s="23"/>
      <c r="DR45" s="23"/>
      <c r="DS45" s="23"/>
      <c r="DT45" s="23"/>
      <c r="DU45" s="23"/>
      <c r="DV45" s="23"/>
      <c r="DW45" s="23"/>
      <c r="DX45" s="23"/>
      <c r="DY45" s="23"/>
      <c r="DZ45" s="23"/>
      <c r="EA45" s="23"/>
      <c r="EB45" s="23"/>
      <c r="EC45" s="37"/>
      <c r="ED45" s="37"/>
      <c r="EE45" s="37"/>
      <c r="EF45" s="37"/>
      <c r="EG45" s="37"/>
      <c r="EH45" s="37"/>
      <c r="EI45" s="37"/>
      <c r="EJ45" s="37"/>
      <c r="EK45" s="37"/>
      <c r="EL45" s="23"/>
      <c r="EM45" s="23"/>
      <c r="EN45" s="23"/>
      <c r="EO45" s="23"/>
      <c r="EP45" s="23"/>
      <c r="EQ45" s="23"/>
      <c r="ER45" s="23"/>
      <c r="ES45" s="23"/>
      <c r="ET45" s="23"/>
      <c r="EU45" s="23"/>
      <c r="EV45" s="23"/>
      <c r="EW45" s="23"/>
      <c r="EX45" s="23"/>
      <c r="EY45" s="23"/>
      <c r="EZ45" s="23"/>
      <c r="FA45" s="23"/>
      <c r="FB45" s="37"/>
      <c r="FC45" s="37"/>
      <c r="FD45" s="37"/>
      <c r="FE45" s="37"/>
      <c r="FF45" s="37"/>
      <c r="FG45" s="37"/>
      <c r="FH45" s="37"/>
      <c r="FI45" s="37"/>
      <c r="FJ45" s="37"/>
      <c r="FK45" s="23"/>
      <c r="FL45" s="23"/>
      <c r="FM45" s="23"/>
      <c r="FN45" s="23"/>
      <c r="FO45" s="23"/>
      <c r="FP45" s="23"/>
      <c r="FQ45" s="23"/>
      <c r="FR45" s="23"/>
      <c r="FS45" s="23"/>
    </row>
    <row r="46" spans="1:175" ht="15.75" customHeight="1" x14ac:dyDescent="0.35">
      <c r="A46" s="23"/>
      <c r="B46" s="23"/>
      <c r="C46" s="23"/>
      <c r="D46" s="23"/>
      <c r="E46" s="23"/>
      <c r="F46" s="23"/>
      <c r="G46" s="23"/>
      <c r="H46" s="37"/>
      <c r="I46" s="37"/>
      <c r="J46" s="37"/>
      <c r="K46" s="37"/>
      <c r="L46" s="37"/>
      <c r="M46" s="37"/>
      <c r="N46" s="37"/>
      <c r="O46" s="37"/>
      <c r="P46" s="37"/>
      <c r="Q46" s="23"/>
      <c r="R46" s="23"/>
      <c r="S46" s="23"/>
      <c r="T46" s="23"/>
      <c r="U46" s="23"/>
      <c r="V46" s="23"/>
      <c r="W46" s="23"/>
      <c r="X46" s="23"/>
      <c r="Y46" s="23"/>
      <c r="Z46" s="23"/>
      <c r="AA46" s="23"/>
      <c r="AB46" s="23"/>
      <c r="AC46" s="23"/>
      <c r="AD46" s="23"/>
      <c r="AE46" s="23"/>
      <c r="AF46" s="23"/>
      <c r="AG46" s="37"/>
      <c r="AH46" s="37"/>
      <c r="AI46" s="37"/>
      <c r="AJ46" s="37"/>
      <c r="AK46" s="37"/>
      <c r="AL46" s="37"/>
      <c r="AM46" s="37"/>
      <c r="AN46" s="37"/>
      <c r="AO46" s="37"/>
      <c r="AP46" s="23"/>
      <c r="AQ46" s="23"/>
      <c r="AR46" s="23"/>
      <c r="AS46" s="23"/>
      <c r="AT46" s="23"/>
      <c r="AU46" s="23"/>
      <c r="AV46" s="23"/>
      <c r="AW46" s="23"/>
      <c r="AX46" s="23"/>
      <c r="AY46" s="23"/>
      <c r="AZ46" s="23"/>
      <c r="BA46" s="23"/>
      <c r="BB46" s="23"/>
      <c r="BC46" s="23"/>
      <c r="BD46" s="23"/>
      <c r="BE46" s="23"/>
      <c r="BF46" s="37"/>
      <c r="BG46" s="37"/>
      <c r="BH46" s="37"/>
      <c r="BI46" s="37"/>
      <c r="BJ46" s="37"/>
      <c r="BK46" s="37"/>
      <c r="BL46" s="37"/>
      <c r="BM46" s="37"/>
      <c r="BN46" s="37"/>
      <c r="BO46" s="23"/>
      <c r="BP46" s="23"/>
      <c r="BQ46" s="23"/>
      <c r="BR46" s="23"/>
      <c r="BS46" s="23"/>
      <c r="BT46" s="23"/>
      <c r="BU46" s="23"/>
      <c r="BV46" s="23"/>
      <c r="BW46" s="23"/>
      <c r="BX46" s="23"/>
      <c r="BY46" s="23"/>
      <c r="BZ46" s="23"/>
      <c r="CA46" s="23"/>
      <c r="CB46" s="23"/>
      <c r="CC46" s="23"/>
      <c r="CD46" s="23"/>
      <c r="CE46" s="37"/>
      <c r="CF46" s="37"/>
      <c r="CG46" s="37"/>
      <c r="CH46" s="37"/>
      <c r="CI46" s="37"/>
      <c r="CJ46" s="37"/>
      <c r="CK46" s="37"/>
      <c r="CL46" s="37"/>
      <c r="CM46" s="37"/>
      <c r="CN46" s="23"/>
      <c r="CO46" s="23"/>
      <c r="CP46" s="23"/>
      <c r="CQ46" s="23"/>
      <c r="CR46" s="23"/>
      <c r="CS46" s="23"/>
      <c r="CT46" s="23"/>
      <c r="CU46" s="23"/>
      <c r="CV46" s="23"/>
      <c r="CW46" s="23"/>
      <c r="CX46" s="23"/>
      <c r="CY46" s="23"/>
      <c r="CZ46" s="23"/>
      <c r="DA46" s="23"/>
      <c r="DB46" s="23"/>
      <c r="DC46" s="23"/>
      <c r="DD46" s="37"/>
      <c r="DE46" s="37"/>
      <c r="DF46" s="37"/>
      <c r="DG46" s="37"/>
      <c r="DH46" s="37"/>
      <c r="DI46" s="37"/>
      <c r="DJ46" s="37"/>
      <c r="DK46" s="37"/>
      <c r="DL46" s="37"/>
      <c r="DM46" s="23"/>
      <c r="DN46" s="23"/>
      <c r="DO46" s="23"/>
      <c r="DP46" s="23"/>
      <c r="DQ46" s="23"/>
      <c r="DR46" s="23"/>
      <c r="DS46" s="23"/>
      <c r="DT46" s="23"/>
      <c r="DU46" s="23"/>
      <c r="DV46" s="23"/>
      <c r="DW46" s="23"/>
      <c r="DX46" s="23"/>
      <c r="DY46" s="23"/>
      <c r="DZ46" s="23"/>
      <c r="EA46" s="23"/>
      <c r="EB46" s="23"/>
      <c r="EC46" s="37"/>
      <c r="ED46" s="37"/>
      <c r="EE46" s="37"/>
      <c r="EF46" s="37"/>
      <c r="EG46" s="37"/>
      <c r="EH46" s="37"/>
      <c r="EI46" s="37"/>
      <c r="EJ46" s="37"/>
      <c r="EK46" s="37"/>
      <c r="EL46" s="23"/>
      <c r="EM46" s="23"/>
      <c r="EN46" s="23"/>
      <c r="EO46" s="23"/>
      <c r="EP46" s="23"/>
      <c r="EQ46" s="23"/>
      <c r="ER46" s="23"/>
      <c r="ES46" s="23"/>
      <c r="ET46" s="23"/>
      <c r="EU46" s="23"/>
      <c r="EV46" s="23"/>
      <c r="EW46" s="23"/>
      <c r="EX46" s="23"/>
      <c r="EY46" s="23"/>
      <c r="EZ46" s="23"/>
      <c r="FA46" s="23"/>
      <c r="FB46" s="37"/>
      <c r="FC46" s="37"/>
      <c r="FD46" s="37"/>
      <c r="FE46" s="37"/>
      <c r="FF46" s="37"/>
      <c r="FG46" s="37"/>
      <c r="FH46" s="37"/>
      <c r="FI46" s="37"/>
      <c r="FJ46" s="37"/>
      <c r="FK46" s="23"/>
      <c r="FL46" s="23"/>
      <c r="FM46" s="23"/>
      <c r="FN46" s="23"/>
      <c r="FO46" s="23"/>
      <c r="FP46" s="23"/>
      <c r="FQ46" s="23"/>
      <c r="FR46" s="23"/>
      <c r="FS46" s="23"/>
    </row>
    <row r="47" spans="1:175" x14ac:dyDescent="0.35">
      <c r="A47" s="23"/>
      <c r="B47" s="23"/>
      <c r="C47" s="23"/>
      <c r="D47" s="23"/>
      <c r="E47" s="23"/>
      <c r="F47" s="23"/>
      <c r="G47" s="23"/>
      <c r="H47" s="37"/>
      <c r="I47" s="37"/>
      <c r="J47" s="37"/>
      <c r="K47" s="37"/>
      <c r="L47" s="37"/>
      <c r="M47" s="37"/>
      <c r="N47" s="37"/>
      <c r="O47" s="37"/>
      <c r="P47" s="37"/>
      <c r="Q47" s="23"/>
      <c r="R47" s="23"/>
      <c r="S47" s="23"/>
      <c r="T47" s="23"/>
      <c r="U47" s="23"/>
      <c r="V47" s="23"/>
      <c r="W47" s="23"/>
      <c r="X47" s="23"/>
      <c r="Y47" s="23"/>
      <c r="Z47" s="23"/>
      <c r="AA47" s="23"/>
      <c r="AB47" s="23"/>
      <c r="AC47" s="23"/>
      <c r="AD47" s="23"/>
      <c r="AE47" s="23"/>
      <c r="AF47" s="23"/>
      <c r="AG47" s="37"/>
      <c r="AH47" s="37"/>
      <c r="AI47" s="37"/>
      <c r="AJ47" s="37"/>
      <c r="AK47" s="37"/>
      <c r="AL47" s="37"/>
      <c r="AM47" s="37"/>
      <c r="AN47" s="37"/>
      <c r="AO47" s="37"/>
      <c r="AP47" s="23"/>
      <c r="AQ47" s="23"/>
      <c r="AR47" s="23"/>
      <c r="AS47" s="23"/>
      <c r="AT47" s="23"/>
      <c r="AU47" s="23"/>
      <c r="AV47" s="23"/>
      <c r="AW47" s="23"/>
      <c r="AX47" s="23"/>
      <c r="AY47" s="23"/>
      <c r="AZ47" s="23"/>
      <c r="BA47" s="23"/>
      <c r="BB47" s="23"/>
      <c r="BC47" s="23"/>
      <c r="BD47" s="23"/>
      <c r="BE47" s="23"/>
      <c r="BF47" s="37"/>
      <c r="BG47" s="37"/>
      <c r="BH47" s="37"/>
      <c r="BI47" s="37"/>
      <c r="BJ47" s="37"/>
      <c r="BK47" s="37"/>
      <c r="BL47" s="37"/>
      <c r="BM47" s="37"/>
      <c r="BN47" s="37"/>
      <c r="BO47" s="23"/>
      <c r="BP47" s="23"/>
      <c r="BQ47" s="23"/>
      <c r="BR47" s="23"/>
      <c r="BS47" s="23"/>
      <c r="BT47" s="23"/>
      <c r="BU47" s="23"/>
      <c r="BV47" s="23"/>
      <c r="BW47" s="23"/>
      <c r="BX47" s="23"/>
      <c r="BY47" s="23"/>
      <c r="BZ47" s="23"/>
      <c r="CA47" s="23"/>
      <c r="CB47" s="23"/>
      <c r="CC47" s="23"/>
      <c r="CD47" s="23"/>
      <c r="CE47" s="37"/>
      <c r="CF47" s="37"/>
      <c r="CG47" s="37"/>
      <c r="CH47" s="37"/>
      <c r="CI47" s="37"/>
      <c r="CJ47" s="37"/>
      <c r="CK47" s="37"/>
      <c r="CL47" s="37"/>
      <c r="CM47" s="37"/>
      <c r="CN47" s="23"/>
      <c r="CO47" s="23"/>
      <c r="CP47" s="23"/>
      <c r="CQ47" s="23"/>
      <c r="CR47" s="23"/>
      <c r="CS47" s="23"/>
      <c r="CT47" s="23"/>
      <c r="CU47" s="23"/>
      <c r="CV47" s="23"/>
      <c r="CW47" s="23"/>
      <c r="CX47" s="23"/>
      <c r="CY47" s="23"/>
      <c r="CZ47" s="23"/>
      <c r="DA47" s="23"/>
      <c r="DB47" s="23"/>
      <c r="DC47" s="23"/>
      <c r="DD47" s="37"/>
      <c r="DE47" s="37"/>
      <c r="DF47" s="37"/>
      <c r="DG47" s="37"/>
      <c r="DH47" s="37"/>
      <c r="DI47" s="37"/>
      <c r="DJ47" s="37"/>
      <c r="DK47" s="37"/>
      <c r="DL47" s="37"/>
      <c r="DM47" s="23"/>
      <c r="DN47" s="23"/>
      <c r="DO47" s="23"/>
      <c r="DP47" s="23"/>
      <c r="DQ47" s="23"/>
      <c r="DR47" s="23"/>
      <c r="DS47" s="23"/>
      <c r="DT47" s="23"/>
      <c r="DU47" s="23"/>
      <c r="DV47" s="23"/>
      <c r="DW47" s="23"/>
      <c r="DX47" s="23"/>
      <c r="DY47" s="23"/>
      <c r="DZ47" s="23"/>
      <c r="EA47" s="23"/>
      <c r="EB47" s="23"/>
      <c r="EC47" s="37"/>
      <c r="ED47" s="37"/>
      <c r="EE47" s="37"/>
      <c r="EF47" s="37"/>
      <c r="EG47" s="37"/>
      <c r="EH47" s="37"/>
      <c r="EI47" s="37"/>
      <c r="EJ47" s="37"/>
      <c r="EK47" s="37"/>
      <c r="EL47" s="23"/>
      <c r="EM47" s="23"/>
      <c r="EN47" s="23"/>
      <c r="EO47" s="23"/>
      <c r="EP47" s="23"/>
      <c r="EQ47" s="23"/>
      <c r="ER47" s="23"/>
      <c r="ES47" s="23"/>
      <c r="ET47" s="23"/>
      <c r="EU47" s="23"/>
      <c r="EV47" s="23"/>
      <c r="EW47" s="23"/>
      <c r="EX47" s="23"/>
      <c r="EY47" s="23"/>
      <c r="EZ47" s="23"/>
      <c r="FA47" s="23"/>
      <c r="FB47" s="37"/>
      <c r="FC47" s="37"/>
      <c r="FD47" s="37"/>
      <c r="FE47" s="37"/>
      <c r="FF47" s="37"/>
      <c r="FG47" s="37"/>
      <c r="FH47" s="37"/>
      <c r="FI47" s="37"/>
      <c r="FJ47" s="37"/>
      <c r="FK47" s="23"/>
      <c r="FL47" s="23"/>
      <c r="FM47" s="23"/>
      <c r="FN47" s="23"/>
      <c r="FO47" s="23"/>
      <c r="FP47" s="23"/>
      <c r="FQ47" s="23"/>
      <c r="FR47" s="23"/>
      <c r="FS47" s="23"/>
    </row>
    <row r="48" spans="1:175" x14ac:dyDescent="0.35">
      <c r="A48" s="23"/>
      <c r="B48" s="23"/>
      <c r="C48" s="23"/>
      <c r="D48" s="23"/>
      <c r="E48" s="23"/>
      <c r="F48" s="23"/>
      <c r="G48" s="23"/>
      <c r="H48" s="37"/>
      <c r="I48" s="37"/>
      <c r="J48" s="37"/>
      <c r="K48" s="37"/>
      <c r="L48" s="37"/>
      <c r="M48" s="37"/>
      <c r="N48" s="37"/>
      <c r="O48" s="37"/>
      <c r="P48" s="37"/>
      <c r="Q48" s="23"/>
      <c r="R48" s="23"/>
      <c r="S48" s="23"/>
      <c r="T48" s="23"/>
      <c r="U48" s="23"/>
      <c r="V48" s="23"/>
      <c r="W48" s="23"/>
      <c r="X48" s="23"/>
      <c r="Y48" s="23"/>
      <c r="Z48" s="23"/>
      <c r="AA48" s="23"/>
      <c r="AB48" s="23"/>
      <c r="AC48" s="23"/>
      <c r="AD48" s="23"/>
      <c r="AE48" s="23"/>
      <c r="AF48" s="23"/>
      <c r="AG48" s="37"/>
      <c r="AH48" s="37"/>
      <c r="AI48" s="37"/>
      <c r="AJ48" s="37"/>
      <c r="AK48" s="37"/>
      <c r="AL48" s="37"/>
      <c r="AM48" s="37"/>
      <c r="AN48" s="37"/>
      <c r="AO48" s="37"/>
      <c r="AP48" s="23"/>
      <c r="AQ48" s="23"/>
      <c r="AR48" s="23"/>
      <c r="AS48" s="23"/>
      <c r="AT48" s="23"/>
      <c r="AU48" s="23"/>
      <c r="AV48" s="23"/>
      <c r="AW48" s="23"/>
      <c r="AX48" s="23"/>
      <c r="AY48" s="23"/>
      <c r="AZ48" s="23"/>
      <c r="BA48" s="23"/>
      <c r="BB48" s="23"/>
      <c r="BC48" s="23"/>
      <c r="BD48" s="23"/>
      <c r="BE48" s="23"/>
      <c r="BF48" s="37"/>
      <c r="BG48" s="37"/>
      <c r="BH48" s="37"/>
      <c r="BI48" s="37"/>
      <c r="BJ48" s="37"/>
      <c r="BK48" s="37"/>
      <c r="BL48" s="37"/>
      <c r="BM48" s="37"/>
      <c r="BN48" s="37"/>
      <c r="BO48" s="23"/>
      <c r="BP48" s="23"/>
      <c r="BQ48" s="23"/>
      <c r="BR48" s="23"/>
      <c r="BS48" s="23"/>
      <c r="BT48" s="23"/>
      <c r="BU48" s="23"/>
      <c r="BV48" s="23"/>
      <c r="BW48" s="23"/>
      <c r="BX48" s="23"/>
      <c r="BY48" s="23"/>
      <c r="BZ48" s="23"/>
      <c r="CA48" s="23"/>
      <c r="CB48" s="23"/>
      <c r="CC48" s="23"/>
      <c r="CD48" s="23"/>
      <c r="CE48" s="37"/>
      <c r="CF48" s="37"/>
      <c r="CG48" s="37"/>
      <c r="CH48" s="37"/>
      <c r="CI48" s="37"/>
      <c r="CJ48" s="37"/>
      <c r="CK48" s="37"/>
      <c r="CL48" s="37"/>
      <c r="CM48" s="37"/>
      <c r="CN48" s="23"/>
      <c r="CO48" s="23"/>
      <c r="CP48" s="23"/>
      <c r="CQ48" s="23"/>
      <c r="CR48" s="23"/>
      <c r="CS48" s="23"/>
      <c r="CT48" s="23"/>
      <c r="CU48" s="23"/>
      <c r="CV48" s="23"/>
      <c r="CW48" s="23"/>
      <c r="CX48" s="23"/>
      <c r="CY48" s="23"/>
      <c r="CZ48" s="23"/>
      <c r="DA48" s="23"/>
      <c r="DB48" s="23"/>
      <c r="DC48" s="23"/>
      <c r="DD48" s="37"/>
      <c r="DE48" s="37"/>
      <c r="DF48" s="37"/>
      <c r="DG48" s="37"/>
      <c r="DH48" s="37"/>
      <c r="DI48" s="37"/>
      <c r="DJ48" s="37"/>
      <c r="DK48" s="37"/>
      <c r="DL48" s="37"/>
      <c r="DM48" s="23"/>
      <c r="DN48" s="23"/>
      <c r="DO48" s="23"/>
      <c r="DP48" s="23"/>
      <c r="DQ48" s="23"/>
      <c r="DR48" s="23"/>
      <c r="DS48" s="23"/>
      <c r="DT48" s="23"/>
      <c r="DU48" s="23"/>
      <c r="DV48" s="23"/>
      <c r="DW48" s="23"/>
      <c r="DX48" s="23"/>
      <c r="DY48" s="23"/>
      <c r="DZ48" s="23"/>
      <c r="EA48" s="23"/>
      <c r="EB48" s="23"/>
      <c r="EC48" s="37"/>
      <c r="ED48" s="37"/>
      <c r="EE48" s="37"/>
      <c r="EF48" s="37"/>
      <c r="EG48" s="37"/>
      <c r="EH48" s="37"/>
      <c r="EI48" s="37"/>
      <c r="EJ48" s="37"/>
      <c r="EK48" s="37"/>
      <c r="EL48" s="23"/>
      <c r="EM48" s="23"/>
      <c r="EN48" s="23"/>
      <c r="EO48" s="23"/>
      <c r="EP48" s="23"/>
      <c r="EQ48" s="23"/>
      <c r="ER48" s="23"/>
      <c r="ES48" s="23"/>
      <c r="ET48" s="23"/>
      <c r="EU48" s="23"/>
      <c r="EV48" s="23"/>
      <c r="EW48" s="23"/>
      <c r="EX48" s="23"/>
      <c r="EY48" s="23"/>
      <c r="EZ48" s="23"/>
      <c r="FA48" s="23"/>
      <c r="FB48" s="37"/>
      <c r="FC48" s="37"/>
      <c r="FD48" s="37"/>
      <c r="FE48" s="37"/>
      <c r="FF48" s="37"/>
      <c r="FG48" s="37"/>
      <c r="FH48" s="37"/>
      <c r="FI48" s="37"/>
      <c r="FJ48" s="37"/>
      <c r="FK48" s="23"/>
      <c r="FL48" s="23"/>
      <c r="FM48" s="23"/>
      <c r="FN48" s="23"/>
      <c r="FO48" s="23"/>
      <c r="FP48" s="23"/>
      <c r="FQ48" s="23"/>
      <c r="FR48" s="23"/>
      <c r="FS48" s="23"/>
    </row>
    <row r="49" spans="1:175" ht="15" thickBot="1" x14ac:dyDescent="0.4">
      <c r="A49" s="23"/>
      <c r="B49" s="23"/>
      <c r="C49" s="23"/>
      <c r="D49" s="23"/>
      <c r="E49" s="23"/>
      <c r="F49" s="23"/>
      <c r="G49" s="23"/>
      <c r="H49" s="37"/>
      <c r="I49" s="37"/>
      <c r="J49" s="37"/>
      <c r="K49" s="37"/>
      <c r="L49" s="37"/>
      <c r="M49" s="37"/>
      <c r="N49" s="37"/>
      <c r="O49" s="23"/>
      <c r="P49" s="23"/>
      <c r="Q49" s="23"/>
      <c r="R49" s="23"/>
      <c r="S49" s="23"/>
      <c r="T49" s="23"/>
      <c r="U49" s="23"/>
      <c r="V49" s="23"/>
      <c r="W49" s="23"/>
      <c r="X49" s="23"/>
      <c r="Y49" s="23"/>
      <c r="Z49" s="23"/>
      <c r="AA49" s="23"/>
      <c r="AB49" s="23"/>
      <c r="AC49" s="23"/>
      <c r="AD49" s="23"/>
      <c r="AE49" s="23"/>
      <c r="AF49" s="23"/>
      <c r="AG49" s="37"/>
      <c r="AH49" s="37"/>
      <c r="AI49" s="37"/>
      <c r="AJ49" s="37"/>
      <c r="AK49" s="37"/>
      <c r="AL49" s="37"/>
      <c r="AM49" s="37"/>
      <c r="AN49" s="23"/>
      <c r="AO49" s="23"/>
      <c r="AP49" s="23"/>
      <c r="AQ49" s="23"/>
      <c r="AR49" s="23"/>
      <c r="AS49" s="23"/>
      <c r="AT49" s="23"/>
      <c r="AU49" s="23"/>
      <c r="AV49" s="23"/>
      <c r="AW49" s="23"/>
      <c r="AX49" s="23"/>
      <c r="AY49" s="23"/>
      <c r="AZ49" s="23"/>
      <c r="BA49" s="23"/>
      <c r="BB49" s="23"/>
      <c r="BC49" s="23"/>
      <c r="BD49" s="23"/>
      <c r="BE49" s="23"/>
      <c r="BF49" s="37"/>
      <c r="BG49" s="37"/>
      <c r="BH49" s="37"/>
      <c r="BI49" s="37"/>
      <c r="BJ49" s="37"/>
      <c r="BK49" s="37"/>
      <c r="BL49" s="37"/>
      <c r="BM49" s="23"/>
      <c r="BN49" s="23"/>
      <c r="BO49" s="23"/>
      <c r="BP49" s="23"/>
      <c r="BQ49" s="23"/>
      <c r="BR49" s="23"/>
      <c r="BS49" s="23"/>
      <c r="BT49" s="23"/>
      <c r="BU49" s="23"/>
      <c r="BV49" s="23"/>
      <c r="BW49" s="23"/>
      <c r="BX49" s="23"/>
      <c r="BY49" s="23"/>
      <c r="BZ49" s="23"/>
      <c r="CA49" s="23"/>
      <c r="CB49" s="23"/>
      <c r="CC49" s="23"/>
      <c r="CD49" s="23"/>
      <c r="CE49" s="37"/>
      <c r="CF49" s="37"/>
      <c r="CG49" s="37"/>
      <c r="CH49" s="37"/>
      <c r="CI49" s="37"/>
      <c r="CJ49" s="37"/>
      <c r="CK49" s="37"/>
      <c r="CL49" s="23"/>
      <c r="CM49" s="23"/>
      <c r="CN49" s="23"/>
      <c r="CO49" s="23"/>
      <c r="CP49" s="23"/>
      <c r="CQ49" s="23"/>
      <c r="CR49" s="23"/>
      <c r="CS49" s="23"/>
      <c r="CT49" s="23"/>
      <c r="CU49" s="23"/>
      <c r="CV49" s="23"/>
      <c r="CW49" s="23"/>
      <c r="CX49" s="23"/>
      <c r="CY49" s="23"/>
      <c r="CZ49" s="23"/>
      <c r="DA49" s="23"/>
      <c r="DB49" s="23"/>
      <c r="DC49" s="23"/>
      <c r="DD49" s="37"/>
      <c r="DE49" s="37"/>
      <c r="DF49" s="37"/>
      <c r="DG49" s="37"/>
      <c r="DH49" s="37"/>
      <c r="DI49" s="37"/>
      <c r="DJ49" s="37"/>
      <c r="DK49" s="23"/>
      <c r="DL49" s="23"/>
      <c r="DM49" s="23"/>
      <c r="DN49" s="23"/>
      <c r="DO49" s="23"/>
      <c r="DP49" s="23"/>
      <c r="DQ49" s="23"/>
      <c r="DR49" s="23"/>
      <c r="DS49" s="23"/>
      <c r="DT49" s="23"/>
      <c r="DU49" s="23"/>
      <c r="DV49" s="23"/>
      <c r="DW49" s="23"/>
      <c r="DX49" s="23"/>
      <c r="DY49" s="23"/>
      <c r="DZ49" s="23"/>
      <c r="EA49" s="23"/>
      <c r="EB49" s="23"/>
      <c r="EC49" s="37"/>
      <c r="ED49" s="37"/>
      <c r="EE49" s="37"/>
      <c r="EF49" s="37"/>
      <c r="EG49" s="37"/>
      <c r="EH49" s="37"/>
      <c r="EI49" s="37"/>
      <c r="EJ49" s="23"/>
      <c r="EK49" s="23"/>
      <c r="EL49" s="23"/>
      <c r="EM49" s="23"/>
      <c r="EN49" s="23"/>
      <c r="EO49" s="23"/>
      <c r="EP49" s="23"/>
      <c r="EQ49" s="23"/>
      <c r="ER49" s="23"/>
      <c r="ES49" s="23"/>
      <c r="ET49" s="23"/>
      <c r="EU49" s="23"/>
      <c r="EV49" s="23"/>
      <c r="EW49" s="23"/>
      <c r="EX49" s="23"/>
      <c r="EY49" s="23"/>
      <c r="EZ49" s="23"/>
      <c r="FA49" s="23"/>
      <c r="FB49" s="37"/>
      <c r="FC49" s="37"/>
      <c r="FD49" s="37"/>
      <c r="FE49" s="37"/>
      <c r="FF49" s="37"/>
      <c r="FG49" s="37"/>
      <c r="FH49" s="37"/>
      <c r="FI49" s="23"/>
      <c r="FJ49" s="23"/>
      <c r="FK49" s="23"/>
      <c r="FL49" s="23"/>
      <c r="FM49" s="23"/>
      <c r="FN49" s="23"/>
      <c r="FO49" s="23"/>
      <c r="FP49" s="23"/>
      <c r="FQ49" s="23"/>
      <c r="FR49" s="23"/>
      <c r="FS49" s="23"/>
    </row>
    <row r="50" spans="1:175" ht="14.5" customHeight="1" x14ac:dyDescent="0.35">
      <c r="A50" s="23"/>
      <c r="B50" s="23"/>
      <c r="C50" s="23"/>
      <c r="D50" s="23"/>
      <c r="E50" s="88" t="s">
        <v>72</v>
      </c>
      <c r="F50" s="89"/>
      <c r="G50" s="89"/>
      <c r="H50" s="90"/>
      <c r="I50" s="37"/>
      <c r="J50" s="37"/>
      <c r="K50" s="37"/>
      <c r="L50" s="37"/>
      <c r="M50" s="37"/>
      <c r="N50" s="37"/>
      <c r="O50" s="23"/>
      <c r="P50" s="23"/>
      <c r="Q50" s="23"/>
      <c r="R50" s="23"/>
      <c r="S50" s="23"/>
      <c r="T50" s="23"/>
      <c r="U50" s="23"/>
      <c r="V50" s="23"/>
      <c r="W50" s="23"/>
      <c r="X50" s="23"/>
      <c r="Y50" s="23"/>
      <c r="Z50" s="23"/>
      <c r="AA50" s="23"/>
      <c r="AB50" s="23"/>
      <c r="AC50" s="23"/>
      <c r="AD50" s="38"/>
      <c r="AE50" s="38"/>
      <c r="AF50" s="38"/>
      <c r="AG50" s="38"/>
      <c r="AH50" s="37"/>
      <c r="AI50" s="37"/>
      <c r="AJ50" s="37"/>
      <c r="AK50" s="37"/>
      <c r="AL50" s="37"/>
      <c r="AM50" s="37"/>
      <c r="AN50" s="23"/>
      <c r="AO50" s="23"/>
      <c r="AP50" s="23"/>
      <c r="AQ50" s="23"/>
      <c r="AR50" s="23"/>
      <c r="AS50" s="23"/>
      <c r="AT50" s="23"/>
      <c r="AU50" s="23"/>
      <c r="AV50" s="23"/>
      <c r="AW50" s="23"/>
      <c r="AX50" s="23"/>
      <c r="AY50" s="23"/>
      <c r="AZ50" s="23"/>
      <c r="BA50" s="23"/>
      <c r="BB50" s="23"/>
      <c r="BC50" s="119"/>
      <c r="BD50" s="119"/>
      <c r="BE50" s="119"/>
      <c r="BF50" s="119"/>
      <c r="BG50" s="37"/>
      <c r="BH50" s="37"/>
      <c r="BI50" s="37"/>
      <c r="BJ50" s="37"/>
      <c r="BK50" s="37"/>
      <c r="BL50" s="37"/>
      <c r="BM50" s="23"/>
      <c r="BN50" s="23"/>
      <c r="BO50" s="23"/>
      <c r="BP50" s="23"/>
      <c r="BQ50" s="23"/>
      <c r="BR50" s="23"/>
      <c r="BS50" s="23"/>
      <c r="BT50" s="23"/>
      <c r="BU50" s="23"/>
      <c r="BV50" s="23"/>
      <c r="BW50" s="23"/>
      <c r="BX50" s="23"/>
      <c r="BY50" s="23"/>
      <c r="BZ50" s="23"/>
      <c r="CA50" s="23"/>
      <c r="CB50" s="96" t="s">
        <v>72</v>
      </c>
      <c r="CC50" s="97"/>
      <c r="CD50" s="97"/>
      <c r="CE50" s="98"/>
      <c r="CF50" s="37"/>
      <c r="CG50" s="37"/>
      <c r="CH50" s="37"/>
      <c r="CI50" s="37"/>
      <c r="CJ50" s="37"/>
      <c r="CK50" s="37"/>
      <c r="CL50" s="23"/>
      <c r="CM50" s="23"/>
      <c r="CN50" s="23"/>
      <c r="CO50" s="23"/>
      <c r="CP50" s="23"/>
      <c r="CQ50" s="23"/>
      <c r="CR50" s="23"/>
      <c r="CS50" s="23"/>
      <c r="CT50" s="23"/>
      <c r="CU50" s="23"/>
      <c r="CV50" s="23"/>
      <c r="CW50" s="23"/>
      <c r="CX50" s="23"/>
      <c r="CY50" s="23"/>
      <c r="CZ50" s="23"/>
      <c r="DA50" s="96" t="s">
        <v>72</v>
      </c>
      <c r="DB50" s="97"/>
      <c r="DC50" s="97"/>
      <c r="DD50" s="98"/>
      <c r="DE50" s="37"/>
      <c r="DF50" s="37"/>
      <c r="DG50" s="37"/>
      <c r="DH50" s="37"/>
      <c r="DI50" s="37"/>
      <c r="DJ50" s="37"/>
      <c r="DK50" s="23"/>
      <c r="DL50" s="23"/>
      <c r="DM50" s="23"/>
      <c r="DN50" s="23"/>
      <c r="DO50" s="23"/>
      <c r="DP50" s="23"/>
      <c r="DQ50" s="23"/>
      <c r="DR50" s="23"/>
      <c r="DS50" s="23"/>
      <c r="DT50" s="23"/>
      <c r="DU50" s="23"/>
      <c r="DV50" s="23"/>
      <c r="DW50" s="23"/>
      <c r="DX50" s="23"/>
      <c r="DY50" s="23"/>
      <c r="DZ50" s="96" t="s">
        <v>72</v>
      </c>
      <c r="EA50" s="97"/>
      <c r="EB50" s="97"/>
      <c r="EC50" s="98"/>
      <c r="ED50" s="37"/>
      <c r="EE50" s="37"/>
      <c r="EF50" s="37"/>
      <c r="EG50" s="37"/>
      <c r="EH50" s="37"/>
      <c r="EI50" s="37"/>
      <c r="EJ50" s="23"/>
      <c r="EK50" s="23"/>
      <c r="EL50" s="23"/>
      <c r="EM50" s="23"/>
      <c r="EN50" s="23"/>
      <c r="EO50" s="23"/>
      <c r="EP50" s="23"/>
      <c r="EQ50" s="23"/>
      <c r="ER50" s="23"/>
      <c r="ES50" s="23"/>
      <c r="ET50" s="23"/>
      <c r="EU50" s="23"/>
      <c r="EV50" s="23"/>
      <c r="EW50" s="23"/>
      <c r="EX50" s="23"/>
      <c r="EY50" s="96" t="s">
        <v>72</v>
      </c>
      <c r="EZ50" s="97"/>
      <c r="FA50" s="97"/>
      <c r="FB50" s="98"/>
      <c r="FC50" s="37"/>
      <c r="FD50" s="37"/>
      <c r="FE50" s="37"/>
      <c r="FF50" s="37"/>
      <c r="FG50" s="37"/>
      <c r="FH50" s="37"/>
      <c r="FI50" s="23"/>
      <c r="FJ50" s="23"/>
      <c r="FK50" s="23"/>
      <c r="FL50" s="23"/>
      <c r="FM50" s="23"/>
      <c r="FN50" s="23"/>
      <c r="FO50" s="23"/>
      <c r="FP50" s="23"/>
      <c r="FQ50" s="23"/>
      <c r="FR50" s="23"/>
      <c r="FS50" s="23"/>
    </row>
    <row r="51" spans="1:175" ht="15" customHeight="1" thickBot="1" x14ac:dyDescent="0.4">
      <c r="A51" s="23"/>
      <c r="B51" s="23"/>
      <c r="C51" s="23"/>
      <c r="D51" s="23"/>
      <c r="E51" s="91"/>
      <c r="F51" s="92"/>
      <c r="G51" s="92"/>
      <c r="H51" s="93"/>
      <c r="I51" s="37"/>
      <c r="J51" s="37"/>
      <c r="K51" s="37"/>
      <c r="L51" s="37"/>
      <c r="M51" s="37"/>
      <c r="N51" s="37"/>
      <c r="O51" s="23"/>
      <c r="P51" s="23"/>
      <c r="Q51" s="23"/>
      <c r="R51" s="23"/>
      <c r="S51" s="23"/>
      <c r="T51" s="23"/>
      <c r="U51" s="23"/>
      <c r="V51" s="23"/>
      <c r="W51" s="23"/>
      <c r="X51" s="23"/>
      <c r="Y51" s="23"/>
      <c r="Z51" s="23"/>
      <c r="AA51" s="23"/>
      <c r="AB51" s="23"/>
      <c r="AC51" s="23"/>
      <c r="AD51" s="38"/>
      <c r="AE51" s="38"/>
      <c r="AF51" s="38"/>
      <c r="AG51" s="38"/>
      <c r="AH51" s="37"/>
      <c r="AI51" s="37"/>
      <c r="AJ51" s="37"/>
      <c r="AK51" s="37"/>
      <c r="AL51" s="37"/>
      <c r="AM51" s="37"/>
      <c r="AN51" s="23"/>
      <c r="AO51" s="23"/>
      <c r="AP51" s="23"/>
      <c r="AQ51" s="23"/>
      <c r="AR51" s="23"/>
      <c r="AS51" s="23"/>
      <c r="AT51" s="23"/>
      <c r="AU51" s="23"/>
      <c r="AV51" s="23"/>
      <c r="AW51" s="23"/>
      <c r="AX51" s="23"/>
      <c r="AY51" s="23"/>
      <c r="AZ51" s="23"/>
      <c r="BA51" s="23"/>
      <c r="BB51" s="23"/>
      <c r="BC51" s="119"/>
      <c r="BD51" s="119"/>
      <c r="BE51" s="119"/>
      <c r="BF51" s="119"/>
      <c r="BG51" s="37"/>
      <c r="BH51" s="37"/>
      <c r="BI51" s="37"/>
      <c r="BJ51" s="37"/>
      <c r="BK51" s="37"/>
      <c r="BL51" s="37"/>
      <c r="BM51" s="23"/>
      <c r="BN51" s="23"/>
      <c r="BO51" s="23"/>
      <c r="BP51" s="23"/>
      <c r="BQ51" s="23"/>
      <c r="BR51" s="23"/>
      <c r="BS51" s="23"/>
      <c r="BT51" s="23"/>
      <c r="BU51" s="23"/>
      <c r="BV51" s="23"/>
      <c r="BW51" s="23"/>
      <c r="BX51" s="23"/>
      <c r="BY51" s="23"/>
      <c r="BZ51" s="23"/>
      <c r="CA51" s="23"/>
      <c r="CB51" s="99"/>
      <c r="CC51" s="100"/>
      <c r="CD51" s="100"/>
      <c r="CE51" s="101"/>
      <c r="CF51" s="37"/>
      <c r="CG51" s="37"/>
      <c r="CH51" s="37"/>
      <c r="CI51" s="37"/>
      <c r="CJ51" s="37"/>
      <c r="CK51" s="37"/>
      <c r="CL51" s="23"/>
      <c r="CM51" s="23"/>
      <c r="CN51" s="23"/>
      <c r="CO51" s="23"/>
      <c r="CP51" s="23"/>
      <c r="CQ51" s="23"/>
      <c r="CR51" s="23"/>
      <c r="CS51" s="23"/>
      <c r="CT51" s="23"/>
      <c r="CU51" s="23"/>
      <c r="CV51" s="23"/>
      <c r="CW51" s="23"/>
      <c r="CX51" s="23"/>
      <c r="CY51" s="23"/>
      <c r="CZ51" s="23"/>
      <c r="DA51" s="99"/>
      <c r="DB51" s="100"/>
      <c r="DC51" s="100"/>
      <c r="DD51" s="101"/>
      <c r="DE51" s="37"/>
      <c r="DF51" s="37"/>
      <c r="DG51" s="37"/>
      <c r="DH51" s="37"/>
      <c r="DI51" s="37"/>
      <c r="DJ51" s="37"/>
      <c r="DK51" s="23"/>
      <c r="DL51" s="23"/>
      <c r="DM51" s="23"/>
      <c r="DN51" s="23"/>
      <c r="DO51" s="23"/>
      <c r="DP51" s="23"/>
      <c r="DQ51" s="23"/>
      <c r="DR51" s="23"/>
      <c r="DS51" s="23"/>
      <c r="DT51" s="23"/>
      <c r="DU51" s="23"/>
      <c r="DV51" s="23"/>
      <c r="DW51" s="23"/>
      <c r="DX51" s="23"/>
      <c r="DY51" s="23"/>
      <c r="DZ51" s="99"/>
      <c r="EA51" s="100"/>
      <c r="EB51" s="100"/>
      <c r="EC51" s="101"/>
      <c r="ED51" s="37"/>
      <c r="EE51" s="37"/>
      <c r="EF51" s="37"/>
      <c r="EG51" s="37"/>
      <c r="EH51" s="37"/>
      <c r="EI51" s="37"/>
      <c r="EJ51" s="23"/>
      <c r="EK51" s="23"/>
      <c r="EL51" s="23"/>
      <c r="EM51" s="23"/>
      <c r="EN51" s="23"/>
      <c r="EO51" s="23"/>
      <c r="EP51" s="23"/>
      <c r="EQ51" s="23"/>
      <c r="ER51" s="23"/>
      <c r="ES51" s="23"/>
      <c r="ET51" s="23"/>
      <c r="EU51" s="23"/>
      <c r="EV51" s="23"/>
      <c r="EW51" s="23"/>
      <c r="EX51" s="23"/>
      <c r="EY51" s="99"/>
      <c r="EZ51" s="100"/>
      <c r="FA51" s="100"/>
      <c r="FB51" s="101"/>
      <c r="FC51" s="37"/>
      <c r="FD51" s="37"/>
      <c r="FE51" s="37"/>
      <c r="FF51" s="37"/>
      <c r="FG51" s="37"/>
      <c r="FH51" s="37"/>
      <c r="FI51" s="23"/>
      <c r="FJ51" s="23"/>
      <c r="FK51" s="23"/>
      <c r="FL51" s="23"/>
      <c r="FM51" s="23"/>
      <c r="FN51" s="23"/>
      <c r="FO51" s="23"/>
      <c r="FP51" s="23"/>
      <c r="FQ51" s="23"/>
      <c r="FR51" s="23"/>
      <c r="FS51" s="23"/>
    </row>
    <row r="52" spans="1:175" ht="15" customHeight="1" x14ac:dyDescent="0.35">
      <c r="A52" s="23"/>
      <c r="B52" s="23"/>
      <c r="C52" s="23"/>
      <c r="D52" s="23"/>
      <c r="E52" s="40" t="s">
        <v>68</v>
      </c>
      <c r="F52" s="17">
        <f>D35+AC35+BB35+CA35+CZ35+DY35+EX35</f>
        <v>8165</v>
      </c>
      <c r="G52" s="28"/>
      <c r="H52" s="28"/>
      <c r="I52" s="23"/>
      <c r="J52" s="23"/>
      <c r="K52" s="23"/>
      <c r="L52" s="23"/>
      <c r="M52" s="23"/>
      <c r="N52" s="23"/>
      <c r="O52" s="23"/>
      <c r="P52" s="23"/>
      <c r="Q52" s="23"/>
      <c r="R52" s="23"/>
      <c r="S52" s="23"/>
      <c r="T52" s="23"/>
      <c r="U52" s="23"/>
      <c r="V52" s="23"/>
      <c r="W52" s="23"/>
      <c r="X52" s="23"/>
      <c r="Y52" s="23"/>
      <c r="Z52" s="23"/>
      <c r="AA52" s="23"/>
      <c r="AB52" s="23"/>
      <c r="AC52" s="23"/>
      <c r="AD52" s="39"/>
      <c r="AE52" s="39"/>
      <c r="AF52" s="39"/>
      <c r="AG52" s="39"/>
      <c r="AH52" s="23"/>
      <c r="AI52" s="23"/>
      <c r="AJ52" s="23"/>
      <c r="AK52" s="23"/>
      <c r="AL52" s="23"/>
      <c r="AM52" s="23"/>
      <c r="AN52" s="23"/>
      <c r="AO52" s="23"/>
      <c r="AP52" s="23"/>
      <c r="AQ52" s="23"/>
      <c r="AR52" s="23"/>
      <c r="AS52" s="23"/>
      <c r="AT52" s="23"/>
      <c r="AU52" s="23"/>
      <c r="AV52" s="23"/>
      <c r="AW52" s="23"/>
      <c r="AX52" s="23"/>
      <c r="AY52" s="23"/>
      <c r="AZ52" s="23"/>
      <c r="BA52" s="23"/>
      <c r="BB52" s="23"/>
      <c r="BC52" s="79"/>
      <c r="BD52" s="79"/>
      <c r="BE52" s="79"/>
      <c r="BF52" s="79"/>
      <c r="BG52" s="23"/>
      <c r="BH52" s="23"/>
      <c r="BI52" s="23"/>
      <c r="BJ52" s="23"/>
      <c r="BK52" s="23"/>
      <c r="BL52" s="23"/>
      <c r="BM52" s="23"/>
      <c r="BN52" s="23"/>
      <c r="BO52" s="23"/>
      <c r="BP52" s="23"/>
      <c r="BQ52" s="23"/>
      <c r="BR52" s="23"/>
      <c r="BS52" s="23"/>
      <c r="BT52" s="23"/>
      <c r="BU52" s="23"/>
      <c r="BV52" s="23"/>
      <c r="BW52" s="23"/>
      <c r="BX52" s="23"/>
      <c r="BY52" s="23"/>
      <c r="BZ52" s="23"/>
      <c r="CA52" s="23"/>
      <c r="CB52" s="80" t="s">
        <v>68</v>
      </c>
      <c r="CC52" s="76"/>
      <c r="CD52" s="77"/>
      <c r="CE52" s="77"/>
      <c r="CF52" s="23"/>
      <c r="CG52" s="23"/>
      <c r="CH52" s="23"/>
      <c r="CI52" s="23"/>
      <c r="CJ52" s="23"/>
      <c r="CK52" s="23"/>
      <c r="CL52" s="23"/>
      <c r="CM52" s="23"/>
      <c r="CN52" s="23"/>
      <c r="CO52" s="23"/>
      <c r="CP52" s="23"/>
      <c r="CQ52" s="23"/>
      <c r="CR52" s="23"/>
      <c r="CS52" s="23"/>
      <c r="CT52" s="23"/>
      <c r="CU52" s="23"/>
      <c r="CV52" s="23"/>
      <c r="CW52" s="23"/>
      <c r="CX52" s="23"/>
      <c r="CY52" s="23"/>
      <c r="CZ52" s="23"/>
      <c r="DA52" s="80" t="s">
        <v>68</v>
      </c>
      <c r="DB52" s="76"/>
      <c r="DC52" s="77"/>
      <c r="DD52" s="77"/>
      <c r="DE52" s="23"/>
      <c r="DF52" s="23"/>
      <c r="DG52" s="23"/>
      <c r="DH52" s="23"/>
      <c r="DI52" s="23"/>
      <c r="DJ52" s="23"/>
      <c r="DK52" s="23"/>
      <c r="DL52" s="23"/>
      <c r="DM52" s="23"/>
      <c r="DN52" s="23"/>
      <c r="DO52" s="23"/>
      <c r="DP52" s="23"/>
      <c r="DQ52" s="23"/>
      <c r="DR52" s="23"/>
      <c r="DS52" s="23"/>
      <c r="DT52" s="23"/>
      <c r="DU52" s="23"/>
      <c r="DV52" s="23"/>
      <c r="DW52" s="23"/>
      <c r="DX52" s="23"/>
      <c r="DY52" s="23"/>
      <c r="DZ52" s="80" t="s">
        <v>68</v>
      </c>
      <c r="EA52" s="76"/>
      <c r="EB52" s="77"/>
      <c r="EC52" s="77"/>
      <c r="ED52" s="23"/>
      <c r="EE52" s="23"/>
      <c r="EF52" s="23"/>
      <c r="EG52" s="23"/>
      <c r="EH52" s="23"/>
      <c r="EI52" s="23"/>
      <c r="EJ52" s="23"/>
      <c r="EK52" s="23"/>
      <c r="EL52" s="23"/>
      <c r="EM52" s="23"/>
      <c r="EN52" s="23"/>
      <c r="EO52" s="23"/>
      <c r="EP52" s="23"/>
      <c r="EQ52" s="23"/>
      <c r="ER52" s="23"/>
      <c r="ES52" s="23"/>
      <c r="ET52" s="23"/>
      <c r="EU52" s="23"/>
      <c r="EV52" s="23"/>
      <c r="EW52" s="23"/>
      <c r="EX52" s="23"/>
      <c r="EY52" s="80" t="s">
        <v>68</v>
      </c>
      <c r="EZ52" s="76"/>
      <c r="FA52" s="77"/>
      <c r="FB52" s="77"/>
      <c r="FC52" s="23"/>
      <c r="FD52" s="23"/>
      <c r="FE52" s="23"/>
      <c r="FF52" s="23"/>
      <c r="FG52" s="23"/>
      <c r="FH52" s="23"/>
      <c r="FI52" s="23"/>
      <c r="FJ52" s="23"/>
      <c r="FK52" s="23"/>
      <c r="FL52" s="23"/>
      <c r="FM52" s="23"/>
      <c r="FN52" s="23"/>
      <c r="FO52" s="23"/>
      <c r="FP52" s="23"/>
      <c r="FQ52" s="23"/>
      <c r="FR52" s="23"/>
      <c r="FS52" s="23"/>
    </row>
    <row r="53" spans="1:175" ht="15" customHeight="1" x14ac:dyDescent="0.35">
      <c r="A53" s="23"/>
      <c r="B53" s="23"/>
      <c r="C53" s="23"/>
      <c r="D53" s="23"/>
      <c r="E53" s="40"/>
      <c r="F53" s="19"/>
      <c r="G53" s="29"/>
      <c r="H53" s="29"/>
      <c r="I53" s="23"/>
      <c r="J53" s="23"/>
      <c r="K53" s="23"/>
      <c r="L53" s="23"/>
      <c r="M53" s="23"/>
      <c r="N53" s="23"/>
      <c r="O53" s="23"/>
      <c r="P53" s="23"/>
      <c r="Q53" s="23"/>
      <c r="R53" s="23"/>
      <c r="S53" s="23"/>
      <c r="T53" s="23"/>
      <c r="U53" s="23"/>
      <c r="V53" s="23"/>
      <c r="W53" s="23"/>
      <c r="X53" s="23"/>
      <c r="Y53" s="23"/>
      <c r="Z53" s="23"/>
      <c r="AA53" s="23"/>
      <c r="AB53" s="23"/>
      <c r="AC53" s="23"/>
      <c r="AD53" s="39"/>
      <c r="AE53" s="39"/>
      <c r="AF53" s="39"/>
      <c r="AG53" s="39"/>
      <c r="AH53" s="23"/>
      <c r="AI53" s="23"/>
      <c r="AJ53" s="23"/>
      <c r="AK53" s="23"/>
      <c r="AL53" s="23"/>
      <c r="AM53" s="23"/>
      <c r="AN53" s="23"/>
      <c r="AO53" s="23"/>
      <c r="AP53" s="23"/>
      <c r="AQ53" s="23"/>
      <c r="AR53" s="23"/>
      <c r="AS53" s="23"/>
      <c r="AT53" s="23"/>
      <c r="AU53" s="23"/>
      <c r="AV53" s="23"/>
      <c r="AW53" s="23"/>
      <c r="AX53" s="23"/>
      <c r="AY53" s="23"/>
      <c r="AZ53" s="23"/>
      <c r="BA53" s="23"/>
      <c r="BB53" s="23"/>
      <c r="BC53" s="79"/>
      <c r="BD53" s="79"/>
      <c r="BE53" s="79"/>
      <c r="BF53" s="79"/>
      <c r="BG53" s="23"/>
      <c r="BH53" s="23"/>
      <c r="BI53" s="23"/>
      <c r="BJ53" s="23"/>
      <c r="BK53" s="23"/>
      <c r="BL53" s="23"/>
      <c r="BM53" s="23"/>
      <c r="BN53" s="23"/>
      <c r="BO53" s="23"/>
      <c r="BP53" s="23"/>
      <c r="BQ53" s="23"/>
      <c r="BR53" s="23"/>
      <c r="BS53" s="23"/>
      <c r="BT53" s="23"/>
      <c r="BU53" s="23"/>
      <c r="BV53" s="23"/>
      <c r="BW53" s="23"/>
      <c r="BX53" s="23"/>
      <c r="BY53" s="23"/>
      <c r="BZ53" s="23"/>
      <c r="CA53" s="23"/>
      <c r="CB53" s="80"/>
      <c r="CC53" s="78"/>
      <c r="CD53" s="79"/>
      <c r="CE53" s="79"/>
      <c r="CF53" s="23"/>
      <c r="CG53" s="23"/>
      <c r="CH53" s="23"/>
      <c r="CI53" s="23"/>
      <c r="CJ53" s="23"/>
      <c r="CK53" s="23"/>
      <c r="CL53" s="23"/>
      <c r="CM53" s="23"/>
      <c r="CN53" s="23"/>
      <c r="CO53" s="23"/>
      <c r="CP53" s="23"/>
      <c r="CQ53" s="23"/>
      <c r="CR53" s="23"/>
      <c r="CS53" s="23"/>
      <c r="CT53" s="23"/>
      <c r="CU53" s="23"/>
      <c r="CV53" s="23"/>
      <c r="CW53" s="23"/>
      <c r="CX53" s="23"/>
      <c r="CY53" s="23"/>
      <c r="CZ53" s="23"/>
      <c r="DA53" s="80"/>
      <c r="DB53" s="78"/>
      <c r="DC53" s="79"/>
      <c r="DD53" s="79"/>
      <c r="DE53" s="23"/>
      <c r="DF53" s="23"/>
      <c r="DG53" s="23"/>
      <c r="DH53" s="23"/>
      <c r="DI53" s="23"/>
      <c r="DJ53" s="23"/>
      <c r="DK53" s="23"/>
      <c r="DL53" s="23"/>
      <c r="DM53" s="23"/>
      <c r="DN53" s="23"/>
      <c r="DO53" s="23"/>
      <c r="DP53" s="23"/>
      <c r="DQ53" s="23"/>
      <c r="DR53" s="23"/>
      <c r="DS53" s="23"/>
      <c r="DT53" s="23"/>
      <c r="DU53" s="23"/>
      <c r="DV53" s="23"/>
      <c r="DW53" s="23"/>
      <c r="DX53" s="23"/>
      <c r="DY53" s="23"/>
      <c r="DZ53" s="80"/>
      <c r="EA53" s="78"/>
      <c r="EB53" s="79"/>
      <c r="EC53" s="79"/>
      <c r="ED53" s="23"/>
      <c r="EE53" s="23"/>
      <c r="EF53" s="23"/>
      <c r="EG53" s="23"/>
      <c r="EH53" s="23"/>
      <c r="EI53" s="23"/>
      <c r="EJ53" s="23"/>
      <c r="EK53" s="23"/>
      <c r="EL53" s="23"/>
      <c r="EM53" s="23"/>
      <c r="EN53" s="23"/>
      <c r="EO53" s="23"/>
      <c r="EP53" s="23"/>
      <c r="EQ53" s="23"/>
      <c r="ER53" s="23"/>
      <c r="ES53" s="23"/>
      <c r="ET53" s="23"/>
      <c r="EU53" s="23"/>
      <c r="EV53" s="23"/>
      <c r="EW53" s="23"/>
      <c r="EX53" s="23"/>
      <c r="EY53" s="80"/>
      <c r="EZ53" s="78"/>
      <c r="FA53" s="79"/>
      <c r="FB53" s="79"/>
      <c r="FC53" s="23"/>
      <c r="FD53" s="23"/>
      <c r="FE53" s="23"/>
      <c r="FF53" s="23"/>
      <c r="FG53" s="23"/>
      <c r="FH53" s="23"/>
      <c r="FI53" s="23"/>
      <c r="FJ53" s="23"/>
      <c r="FK53" s="23"/>
      <c r="FL53" s="23"/>
      <c r="FM53" s="23"/>
      <c r="FN53" s="23"/>
      <c r="FO53" s="23"/>
      <c r="FP53" s="23"/>
      <c r="FQ53" s="23"/>
      <c r="FR53" s="23"/>
      <c r="FS53" s="23"/>
    </row>
    <row r="54" spans="1:175" ht="15" customHeight="1" x14ac:dyDescent="0.35">
      <c r="A54" s="23"/>
      <c r="B54" s="23"/>
      <c r="C54" s="23"/>
      <c r="D54" s="23"/>
      <c r="E54" s="40"/>
      <c r="F54" s="19"/>
      <c r="G54" s="29"/>
      <c r="H54" s="29"/>
      <c r="I54" s="23"/>
      <c r="J54" s="23"/>
      <c r="K54" s="23"/>
      <c r="L54" s="23"/>
      <c r="M54" s="23"/>
      <c r="N54" s="23"/>
      <c r="O54" s="23"/>
      <c r="P54" s="23"/>
      <c r="Q54" s="23"/>
      <c r="R54" s="23"/>
      <c r="S54" s="23"/>
      <c r="T54" s="23"/>
      <c r="U54" s="23"/>
      <c r="V54" s="23"/>
      <c r="W54" s="23"/>
      <c r="X54" s="23"/>
      <c r="Y54" s="23"/>
      <c r="Z54" s="23"/>
      <c r="AA54" s="23"/>
      <c r="AB54" s="23"/>
      <c r="AC54" s="23"/>
      <c r="AD54" s="39"/>
      <c r="AE54" s="39"/>
      <c r="AF54" s="39"/>
      <c r="AG54" s="39"/>
      <c r="AH54" s="23"/>
      <c r="AI54" s="23"/>
      <c r="AJ54" s="23"/>
      <c r="AK54" s="23"/>
      <c r="AL54" s="23"/>
      <c r="AM54" s="23"/>
      <c r="AN54" s="23"/>
      <c r="AO54" s="23"/>
      <c r="AP54" s="23"/>
      <c r="AQ54" s="23"/>
      <c r="AR54" s="23"/>
      <c r="AS54" s="23"/>
      <c r="AT54" s="23"/>
      <c r="AU54" s="23"/>
      <c r="AV54" s="23"/>
      <c r="AW54" s="23"/>
      <c r="AX54" s="23"/>
      <c r="AY54" s="23"/>
      <c r="AZ54" s="23"/>
      <c r="BA54" s="23"/>
      <c r="BB54" s="23"/>
      <c r="BC54" s="79"/>
      <c r="BD54" s="79"/>
      <c r="BE54" s="79"/>
      <c r="BF54" s="79"/>
      <c r="BG54" s="23"/>
      <c r="BH54" s="23"/>
      <c r="BI54" s="23"/>
      <c r="BJ54" s="23"/>
      <c r="BK54" s="23"/>
      <c r="BL54" s="23"/>
      <c r="BM54" s="23"/>
      <c r="BN54" s="23"/>
      <c r="BO54" s="23"/>
      <c r="BP54" s="23"/>
      <c r="BQ54" s="23"/>
      <c r="BR54" s="23"/>
      <c r="BS54" s="23"/>
      <c r="BT54" s="23"/>
      <c r="BU54" s="23"/>
      <c r="BV54" s="23"/>
      <c r="BW54" s="23"/>
      <c r="BX54" s="23"/>
      <c r="BY54" s="23"/>
      <c r="BZ54" s="23"/>
      <c r="CA54" s="23"/>
      <c r="CB54" s="80"/>
      <c r="CC54" s="78"/>
      <c r="CD54" s="79"/>
      <c r="CE54" s="79"/>
      <c r="CF54" s="23"/>
      <c r="CG54" s="23"/>
      <c r="CH54" s="23"/>
      <c r="CI54" s="23"/>
      <c r="CJ54" s="23"/>
      <c r="CK54" s="23"/>
      <c r="CL54" s="23"/>
      <c r="CM54" s="23"/>
      <c r="CN54" s="23"/>
      <c r="CO54" s="23"/>
      <c r="CP54" s="23"/>
      <c r="CQ54" s="23"/>
      <c r="CR54" s="23"/>
      <c r="CS54" s="23"/>
      <c r="CT54" s="23"/>
      <c r="CU54" s="23"/>
      <c r="CV54" s="23"/>
      <c r="CW54" s="23"/>
      <c r="CX54" s="23"/>
      <c r="CY54" s="23"/>
      <c r="CZ54" s="23"/>
      <c r="DA54" s="80"/>
      <c r="DB54" s="78"/>
      <c r="DC54" s="79"/>
      <c r="DD54" s="79"/>
      <c r="DE54" s="23"/>
      <c r="DF54" s="23"/>
      <c r="DG54" s="23"/>
      <c r="DH54" s="23"/>
      <c r="DI54" s="23"/>
      <c r="DJ54" s="23"/>
      <c r="DK54" s="23"/>
      <c r="DL54" s="23"/>
      <c r="DM54" s="23"/>
      <c r="DN54" s="23"/>
      <c r="DO54" s="23"/>
      <c r="DP54" s="23"/>
      <c r="DQ54" s="23"/>
      <c r="DR54" s="23"/>
      <c r="DS54" s="23"/>
      <c r="DT54" s="23"/>
      <c r="DU54" s="23"/>
      <c r="DV54" s="23"/>
      <c r="DW54" s="23"/>
      <c r="DX54" s="23"/>
      <c r="DY54" s="23"/>
      <c r="DZ54" s="80"/>
      <c r="EA54" s="78"/>
      <c r="EB54" s="79"/>
      <c r="EC54" s="79"/>
      <c r="ED54" s="23"/>
      <c r="EE54" s="23"/>
      <c r="EF54" s="23"/>
      <c r="EG54" s="23"/>
      <c r="EH54" s="23"/>
      <c r="EI54" s="23"/>
      <c r="EJ54" s="23"/>
      <c r="EK54" s="23"/>
      <c r="EL54" s="23"/>
      <c r="EM54" s="23"/>
      <c r="EN54" s="23"/>
      <c r="EO54" s="23"/>
      <c r="EP54" s="23"/>
      <c r="EQ54" s="23"/>
      <c r="ER54" s="23"/>
      <c r="ES54" s="23"/>
      <c r="ET54" s="23"/>
      <c r="EU54" s="23"/>
      <c r="EV54" s="23"/>
      <c r="EW54" s="23"/>
      <c r="EX54" s="23"/>
      <c r="EY54" s="80"/>
      <c r="EZ54" s="78"/>
      <c r="FA54" s="79"/>
      <c r="FB54" s="79"/>
      <c r="FC54" s="23"/>
      <c r="FD54" s="23"/>
      <c r="FE54" s="23"/>
      <c r="FF54" s="23"/>
      <c r="FG54" s="23"/>
      <c r="FH54" s="23"/>
      <c r="FI54" s="23"/>
      <c r="FJ54" s="23"/>
      <c r="FK54" s="23"/>
      <c r="FL54" s="23"/>
      <c r="FM54" s="23"/>
      <c r="FN54" s="23"/>
      <c r="FO54" s="23"/>
      <c r="FP54" s="23"/>
      <c r="FQ54" s="23"/>
      <c r="FR54" s="23"/>
      <c r="FS54" s="23"/>
    </row>
    <row r="55" spans="1:175" ht="15.75" customHeight="1" thickBot="1" x14ac:dyDescent="0.4">
      <c r="A55" s="23"/>
      <c r="B55" s="23"/>
      <c r="C55" s="23"/>
      <c r="D55" s="23"/>
      <c r="E55" s="41"/>
      <c r="F55" s="19"/>
      <c r="G55" s="29"/>
      <c r="H55" s="29"/>
      <c r="I55" s="23"/>
      <c r="J55" s="23"/>
      <c r="K55" s="23"/>
      <c r="L55" s="23"/>
      <c r="M55" s="23"/>
      <c r="N55" s="23"/>
      <c r="O55" s="23"/>
      <c r="P55" s="23"/>
      <c r="Q55" s="23"/>
      <c r="R55" s="23"/>
      <c r="S55" s="23"/>
      <c r="T55" s="23"/>
      <c r="U55" s="23"/>
      <c r="V55" s="23"/>
      <c r="W55" s="23"/>
      <c r="X55" s="23"/>
      <c r="Y55" s="23"/>
      <c r="Z55" s="23"/>
      <c r="AA55" s="23"/>
      <c r="AB55" s="23"/>
      <c r="AC55" s="23"/>
      <c r="AD55" s="39"/>
      <c r="AE55" s="39"/>
      <c r="AF55" s="39"/>
      <c r="AG55" s="39"/>
      <c r="AH55" s="23"/>
      <c r="AI55" s="23"/>
      <c r="AJ55" s="23"/>
      <c r="AK55" s="23"/>
      <c r="AL55" s="23"/>
      <c r="AM55" s="23"/>
      <c r="AN55" s="23"/>
      <c r="AO55" s="23"/>
      <c r="AP55" s="23"/>
      <c r="AQ55" s="23"/>
      <c r="AR55" s="23"/>
      <c r="AS55" s="23"/>
      <c r="AT55" s="23"/>
      <c r="AU55" s="23"/>
      <c r="AV55" s="23"/>
      <c r="AW55" s="23"/>
      <c r="AX55" s="23"/>
      <c r="AY55" s="23"/>
      <c r="AZ55" s="23"/>
      <c r="BA55" s="23"/>
      <c r="BB55" s="23"/>
      <c r="BC55" s="79"/>
      <c r="BD55" s="79"/>
      <c r="BE55" s="79"/>
      <c r="BF55" s="79"/>
      <c r="BG55" s="23"/>
      <c r="BH55" s="23"/>
      <c r="BI55" s="23"/>
      <c r="BJ55" s="23"/>
      <c r="BK55" s="23"/>
      <c r="BL55" s="23"/>
      <c r="BM55" s="23"/>
      <c r="BN55" s="23"/>
      <c r="BO55" s="23"/>
      <c r="BP55" s="23"/>
      <c r="BQ55" s="23"/>
      <c r="BR55" s="23"/>
      <c r="BS55" s="23"/>
      <c r="BT55" s="23"/>
      <c r="BU55" s="23"/>
      <c r="BV55" s="23"/>
      <c r="BW55" s="23"/>
      <c r="BX55" s="23"/>
      <c r="BY55" s="23"/>
      <c r="BZ55" s="23"/>
      <c r="CA55" s="23"/>
      <c r="CB55" s="81"/>
      <c r="CC55" s="78"/>
      <c r="CD55" s="79"/>
      <c r="CE55" s="79"/>
      <c r="CF55" s="23"/>
      <c r="CG55" s="23"/>
      <c r="CH55" s="23"/>
      <c r="CI55" s="23"/>
      <c r="CJ55" s="23"/>
      <c r="CK55" s="23"/>
      <c r="CL55" s="23"/>
      <c r="CM55" s="23"/>
      <c r="CN55" s="23"/>
      <c r="CO55" s="23"/>
      <c r="CP55" s="23"/>
      <c r="CQ55" s="23"/>
      <c r="CR55" s="23"/>
      <c r="CS55" s="23"/>
      <c r="CT55" s="23"/>
      <c r="CU55" s="23"/>
      <c r="CV55" s="23"/>
      <c r="CW55" s="23"/>
      <c r="CX55" s="23"/>
      <c r="CY55" s="23"/>
      <c r="CZ55" s="23"/>
      <c r="DA55" s="81"/>
      <c r="DB55" s="78"/>
      <c r="DC55" s="79"/>
      <c r="DD55" s="79"/>
      <c r="DE55" s="23"/>
      <c r="DF55" s="23"/>
      <c r="DG55" s="23"/>
      <c r="DH55" s="23"/>
      <c r="DI55" s="23"/>
      <c r="DJ55" s="23"/>
      <c r="DK55" s="23"/>
      <c r="DL55" s="23"/>
      <c r="DM55" s="23"/>
      <c r="DN55" s="23"/>
      <c r="DO55" s="23"/>
      <c r="DP55" s="23"/>
      <c r="DQ55" s="23"/>
      <c r="DR55" s="23"/>
      <c r="DS55" s="23"/>
      <c r="DT55" s="23"/>
      <c r="DU55" s="23"/>
      <c r="DV55" s="23"/>
      <c r="DW55" s="23"/>
      <c r="DX55" s="23"/>
      <c r="DY55" s="23"/>
      <c r="DZ55" s="81"/>
      <c r="EA55" s="78"/>
      <c r="EB55" s="79"/>
      <c r="EC55" s="79"/>
      <c r="ED55" s="23"/>
      <c r="EE55" s="23"/>
      <c r="EF55" s="23"/>
      <c r="EG55" s="23"/>
      <c r="EH55" s="23"/>
      <c r="EI55" s="23"/>
      <c r="EJ55" s="23"/>
      <c r="EK55" s="23"/>
      <c r="EL55" s="23"/>
      <c r="EM55" s="23"/>
      <c r="EN55" s="23"/>
      <c r="EO55" s="23"/>
      <c r="EP55" s="23"/>
      <c r="EQ55" s="23"/>
      <c r="ER55" s="23"/>
      <c r="ES55" s="23"/>
      <c r="ET55" s="23"/>
      <c r="EU55" s="23"/>
      <c r="EV55" s="23"/>
      <c r="EW55" s="23"/>
      <c r="EX55" s="23"/>
      <c r="EY55" s="81"/>
      <c r="EZ55" s="78"/>
      <c r="FA55" s="79"/>
      <c r="FB55" s="79"/>
      <c r="FC55" s="23"/>
      <c r="FD55" s="23"/>
      <c r="FE55" s="23"/>
      <c r="FF55" s="23"/>
      <c r="FG55" s="23"/>
      <c r="FH55" s="23"/>
      <c r="FI55" s="23"/>
      <c r="FJ55" s="23"/>
      <c r="FK55" s="23"/>
      <c r="FL55" s="23"/>
      <c r="FM55" s="23"/>
      <c r="FN55" s="23"/>
      <c r="FO55" s="23"/>
      <c r="FP55" s="23"/>
      <c r="FQ55" s="23"/>
      <c r="FR55" s="23"/>
      <c r="FS55" s="23"/>
    </row>
    <row r="56" spans="1:175" ht="14.5" customHeight="1" x14ac:dyDescent="0.35">
      <c r="A56" s="23"/>
      <c r="B56" s="23"/>
      <c r="C56" s="23"/>
      <c r="D56" s="23"/>
      <c r="E56" s="40" t="s">
        <v>70</v>
      </c>
      <c r="F56" s="17">
        <f>D39+AC39+BB39+CA39+CZ39+DY39+EX39</f>
        <v>59875</v>
      </c>
      <c r="G56" s="28"/>
      <c r="H56" s="28"/>
      <c r="I56" s="23"/>
      <c r="J56" s="23"/>
      <c r="K56" s="23"/>
      <c r="L56" s="23"/>
      <c r="M56" s="23"/>
      <c r="N56" s="23"/>
      <c r="O56" s="23"/>
      <c r="P56" s="23"/>
      <c r="Q56" s="23"/>
      <c r="R56" s="23"/>
      <c r="S56" s="23"/>
      <c r="T56" s="23"/>
      <c r="U56" s="23"/>
      <c r="V56" s="23"/>
      <c r="W56" s="23"/>
      <c r="X56" s="23"/>
      <c r="Y56" s="23"/>
      <c r="Z56" s="23"/>
      <c r="AA56" s="23"/>
      <c r="AB56" s="23"/>
      <c r="AC56" s="23"/>
      <c r="AD56" s="39"/>
      <c r="AE56" s="39"/>
      <c r="AF56" s="39"/>
      <c r="AG56" s="39"/>
      <c r="AH56" s="23"/>
      <c r="AI56" s="23"/>
      <c r="AJ56" s="23"/>
      <c r="AK56" s="23"/>
      <c r="AL56" s="23"/>
      <c r="AM56" s="23"/>
      <c r="AN56" s="23"/>
      <c r="AO56" s="23"/>
      <c r="AP56" s="23"/>
      <c r="AQ56" s="23"/>
      <c r="AR56" s="23"/>
      <c r="AS56" s="23"/>
      <c r="AT56" s="23"/>
      <c r="AU56" s="23"/>
      <c r="AV56" s="23"/>
      <c r="AW56" s="23"/>
      <c r="AX56" s="23"/>
      <c r="AY56" s="23"/>
      <c r="AZ56" s="23"/>
      <c r="BA56" s="23"/>
      <c r="BB56" s="23"/>
      <c r="BC56" s="79"/>
      <c r="BD56" s="79"/>
      <c r="BE56" s="79"/>
      <c r="BF56" s="79"/>
      <c r="BG56" s="23"/>
      <c r="BH56" s="23"/>
      <c r="BI56" s="23"/>
      <c r="BJ56" s="23"/>
      <c r="BK56" s="23"/>
      <c r="BL56" s="23"/>
      <c r="BM56" s="23"/>
      <c r="BN56" s="23"/>
      <c r="BO56" s="23"/>
      <c r="BP56" s="23"/>
      <c r="BQ56" s="23"/>
      <c r="BR56" s="23"/>
      <c r="BS56" s="23"/>
      <c r="BT56" s="23"/>
      <c r="BU56" s="23"/>
      <c r="BV56" s="23"/>
      <c r="BW56" s="23"/>
      <c r="BX56" s="23"/>
      <c r="BY56" s="23"/>
      <c r="BZ56" s="23"/>
      <c r="CA56" s="23"/>
      <c r="CB56" s="80" t="s">
        <v>70</v>
      </c>
      <c r="CC56" s="76"/>
      <c r="CD56" s="77"/>
      <c r="CE56" s="77"/>
      <c r="CF56" s="23"/>
      <c r="CG56" s="23"/>
      <c r="CH56" s="23"/>
      <c r="CI56" s="23"/>
      <c r="CJ56" s="23"/>
      <c r="CK56" s="23"/>
      <c r="CL56" s="23"/>
      <c r="CM56" s="23"/>
      <c r="CN56" s="23"/>
      <c r="CO56" s="23"/>
      <c r="CP56" s="23"/>
      <c r="CQ56" s="23"/>
      <c r="CR56" s="23"/>
      <c r="CS56" s="23"/>
      <c r="CT56" s="23"/>
      <c r="CU56" s="23"/>
      <c r="CV56" s="23"/>
      <c r="CW56" s="23"/>
      <c r="CX56" s="23"/>
      <c r="CY56" s="23"/>
      <c r="CZ56" s="23"/>
      <c r="DA56" s="80" t="s">
        <v>70</v>
      </c>
      <c r="DB56" s="76"/>
      <c r="DC56" s="77"/>
      <c r="DD56" s="77"/>
      <c r="DE56" s="23"/>
      <c r="DF56" s="23"/>
      <c r="DG56" s="23"/>
      <c r="DH56" s="23"/>
      <c r="DI56" s="23"/>
      <c r="DJ56" s="23"/>
      <c r="DK56" s="23"/>
      <c r="DL56" s="23"/>
      <c r="DM56" s="23"/>
      <c r="DN56" s="23"/>
      <c r="DO56" s="23"/>
      <c r="DP56" s="23"/>
      <c r="DQ56" s="23"/>
      <c r="DR56" s="23"/>
      <c r="DS56" s="23"/>
      <c r="DT56" s="23"/>
      <c r="DU56" s="23"/>
      <c r="DV56" s="23"/>
      <c r="DW56" s="23"/>
      <c r="DX56" s="23"/>
      <c r="DY56" s="23"/>
      <c r="DZ56" s="80" t="s">
        <v>70</v>
      </c>
      <c r="EA56" s="76"/>
      <c r="EB56" s="77"/>
      <c r="EC56" s="77"/>
      <c r="ED56" s="23"/>
      <c r="EE56" s="23"/>
      <c r="EF56" s="23"/>
      <c r="EG56" s="23"/>
      <c r="EH56" s="23"/>
      <c r="EI56" s="23"/>
      <c r="EJ56" s="23"/>
      <c r="EK56" s="23"/>
      <c r="EL56" s="23"/>
      <c r="EM56" s="23"/>
      <c r="EN56" s="23"/>
      <c r="EO56" s="23"/>
      <c r="EP56" s="23"/>
      <c r="EQ56" s="23"/>
      <c r="ER56" s="23"/>
      <c r="ES56" s="23"/>
      <c r="ET56" s="23"/>
      <c r="EU56" s="23"/>
      <c r="EV56" s="23"/>
      <c r="EW56" s="23"/>
      <c r="EX56" s="23"/>
      <c r="EY56" s="80" t="s">
        <v>70</v>
      </c>
      <c r="EZ56" s="76"/>
      <c r="FA56" s="77"/>
      <c r="FB56" s="77"/>
      <c r="FC56" s="23"/>
      <c r="FD56" s="23"/>
      <c r="FE56" s="23"/>
      <c r="FF56" s="23"/>
      <c r="FG56" s="23"/>
      <c r="FH56" s="23"/>
      <c r="FI56" s="23"/>
      <c r="FJ56" s="23"/>
      <c r="FK56" s="23"/>
      <c r="FL56" s="23"/>
      <c r="FM56" s="23"/>
      <c r="FN56" s="23"/>
      <c r="FO56" s="23"/>
      <c r="FP56" s="23"/>
      <c r="FQ56" s="23"/>
      <c r="FR56" s="23"/>
      <c r="FS56" s="23"/>
    </row>
    <row r="57" spans="1:175" ht="15" customHeight="1" x14ac:dyDescent="0.35">
      <c r="A57" s="23"/>
      <c r="B57" s="23"/>
      <c r="C57" s="23"/>
      <c r="D57" s="23"/>
      <c r="E57" s="40"/>
      <c r="F57" s="19"/>
      <c r="G57" s="29"/>
      <c r="H57" s="29"/>
      <c r="I57" s="23"/>
      <c r="J57" s="23"/>
      <c r="K57" s="23"/>
      <c r="L57" s="23"/>
      <c r="M57" s="23"/>
      <c r="N57" s="23"/>
      <c r="O57" s="23"/>
      <c r="P57" s="23"/>
      <c r="Q57" s="23"/>
      <c r="R57" s="23"/>
      <c r="S57" s="23"/>
      <c r="T57" s="23"/>
      <c r="U57" s="23"/>
      <c r="V57" s="23"/>
      <c r="W57" s="23"/>
      <c r="X57" s="23"/>
      <c r="Y57" s="23"/>
      <c r="Z57" s="23"/>
      <c r="AA57" s="23"/>
      <c r="AB57" s="23"/>
      <c r="AC57" s="23"/>
      <c r="AD57" s="39"/>
      <c r="AE57" s="39"/>
      <c r="AF57" s="39"/>
      <c r="AG57" s="39"/>
      <c r="AH57" s="23"/>
      <c r="AI57" s="23"/>
      <c r="AJ57" s="23"/>
      <c r="AK57" s="23"/>
      <c r="AL57" s="23"/>
      <c r="AM57" s="23"/>
      <c r="AN57" s="23"/>
      <c r="AO57" s="23"/>
      <c r="AP57" s="23"/>
      <c r="AQ57" s="23"/>
      <c r="AR57" s="23"/>
      <c r="AS57" s="23"/>
      <c r="AT57" s="23"/>
      <c r="AU57" s="23"/>
      <c r="AV57" s="23"/>
      <c r="AW57" s="23"/>
      <c r="AX57" s="23"/>
      <c r="AY57" s="23"/>
      <c r="AZ57" s="23"/>
      <c r="BA57" s="23"/>
      <c r="BB57" s="23"/>
      <c r="BC57" s="79"/>
      <c r="BD57" s="79"/>
      <c r="BE57" s="79"/>
      <c r="BF57" s="79"/>
      <c r="BG57" s="23"/>
      <c r="BH57" s="23"/>
      <c r="BI57" s="23"/>
      <c r="BJ57" s="23"/>
      <c r="BK57" s="23"/>
      <c r="BL57" s="23"/>
      <c r="BM57" s="23"/>
      <c r="BN57" s="23"/>
      <c r="BO57" s="23"/>
      <c r="BP57" s="23"/>
      <c r="BQ57" s="23"/>
      <c r="BR57" s="23"/>
      <c r="BS57" s="23"/>
      <c r="BT57" s="23"/>
      <c r="BU57" s="23"/>
      <c r="BV57" s="23"/>
      <c r="BW57" s="23"/>
      <c r="BX57" s="23"/>
      <c r="BY57" s="23"/>
      <c r="BZ57" s="23"/>
      <c r="CA57" s="23"/>
      <c r="CB57" s="80"/>
      <c r="CC57" s="78"/>
      <c r="CD57" s="79"/>
      <c r="CE57" s="79"/>
      <c r="CF57" s="23"/>
      <c r="CG57" s="23"/>
      <c r="CH57" s="23"/>
      <c r="CI57" s="23"/>
      <c r="CJ57" s="23"/>
      <c r="CK57" s="23"/>
      <c r="CL57" s="23"/>
      <c r="CM57" s="23"/>
      <c r="CN57" s="23"/>
      <c r="CO57" s="23"/>
      <c r="CP57" s="23"/>
      <c r="CQ57" s="23"/>
      <c r="CR57" s="23"/>
      <c r="CS57" s="23"/>
      <c r="CT57" s="23"/>
      <c r="CU57" s="23"/>
      <c r="CV57" s="23"/>
      <c r="CW57" s="23"/>
      <c r="CX57" s="23"/>
      <c r="CY57" s="23"/>
      <c r="CZ57" s="23"/>
      <c r="DA57" s="80"/>
      <c r="DB57" s="78"/>
      <c r="DC57" s="79"/>
      <c r="DD57" s="79"/>
      <c r="DE57" s="23"/>
      <c r="DF57" s="23"/>
      <c r="DG57" s="23"/>
      <c r="DH57" s="23"/>
      <c r="DI57" s="23"/>
      <c r="DJ57" s="23"/>
      <c r="DK57" s="23"/>
      <c r="DL57" s="23"/>
      <c r="DM57" s="23"/>
      <c r="DN57" s="23"/>
      <c r="DO57" s="23"/>
      <c r="DP57" s="23"/>
      <c r="DQ57" s="23"/>
      <c r="DR57" s="23"/>
      <c r="DS57" s="23"/>
      <c r="DT57" s="23"/>
      <c r="DU57" s="23"/>
      <c r="DV57" s="23"/>
      <c r="DW57" s="23"/>
      <c r="DX57" s="23"/>
      <c r="DY57" s="23"/>
      <c r="DZ57" s="80"/>
      <c r="EA57" s="78"/>
      <c r="EB57" s="79"/>
      <c r="EC57" s="79"/>
      <c r="ED57" s="23"/>
      <c r="EE57" s="23"/>
      <c r="EF57" s="23"/>
      <c r="EG57" s="23"/>
      <c r="EH57" s="23"/>
      <c r="EI57" s="23"/>
      <c r="EJ57" s="23"/>
      <c r="EK57" s="23"/>
      <c r="EL57" s="23"/>
      <c r="EM57" s="23"/>
      <c r="EN57" s="23"/>
      <c r="EO57" s="23"/>
      <c r="EP57" s="23"/>
      <c r="EQ57" s="23"/>
      <c r="ER57" s="23"/>
      <c r="ES57" s="23"/>
      <c r="ET57" s="23"/>
      <c r="EU57" s="23"/>
      <c r="EV57" s="23"/>
      <c r="EW57" s="23"/>
      <c r="EX57" s="23"/>
      <c r="EY57" s="80"/>
      <c r="EZ57" s="78"/>
      <c r="FA57" s="79"/>
      <c r="FB57" s="79"/>
      <c r="FC57" s="23"/>
      <c r="FD57" s="23"/>
      <c r="FE57" s="23"/>
      <c r="FF57" s="23"/>
      <c r="FG57" s="23"/>
      <c r="FH57" s="23"/>
      <c r="FI57" s="23"/>
      <c r="FJ57" s="23"/>
      <c r="FK57" s="23"/>
      <c r="FL57" s="23"/>
      <c r="FM57" s="23"/>
      <c r="FN57" s="23"/>
      <c r="FO57" s="23"/>
      <c r="FP57" s="23"/>
      <c r="FQ57" s="23"/>
      <c r="FR57" s="23"/>
      <c r="FS57" s="23"/>
    </row>
    <row r="58" spans="1:175" ht="14.5" customHeight="1" x14ac:dyDescent="0.35">
      <c r="A58" s="23"/>
      <c r="B58" s="23"/>
      <c r="C58" s="23"/>
      <c r="D58" s="23"/>
      <c r="E58" s="40"/>
      <c r="F58" s="19"/>
      <c r="G58" s="29"/>
      <c r="H58" s="29"/>
      <c r="I58" s="23"/>
      <c r="J58" s="23"/>
      <c r="K58" s="23"/>
      <c r="L58" s="23"/>
      <c r="M58" s="23"/>
      <c r="N58" s="23"/>
      <c r="O58" s="23"/>
      <c r="P58" s="23"/>
      <c r="Q58" s="23"/>
      <c r="R58" s="23"/>
      <c r="S58" s="23"/>
      <c r="T58" s="23"/>
      <c r="U58" s="23"/>
      <c r="V58" s="23"/>
      <c r="W58" s="23"/>
      <c r="X58" s="23"/>
      <c r="Y58" s="23"/>
      <c r="Z58" s="23"/>
      <c r="AA58" s="23"/>
      <c r="AB58" s="23"/>
      <c r="AC58" s="23"/>
      <c r="AD58" s="39"/>
      <c r="AE58" s="39"/>
      <c r="AF58" s="39"/>
      <c r="AG58" s="39"/>
      <c r="AH58" s="23"/>
      <c r="AI58" s="23"/>
      <c r="AJ58" s="23"/>
      <c r="AK58" s="23"/>
      <c r="AL58" s="23"/>
      <c r="AM58" s="23"/>
      <c r="AN58" s="23"/>
      <c r="AO58" s="23"/>
      <c r="AP58" s="23"/>
      <c r="AQ58" s="23"/>
      <c r="AR58" s="23"/>
      <c r="AS58" s="23"/>
      <c r="AT58" s="23"/>
      <c r="AU58" s="23"/>
      <c r="AV58" s="23"/>
      <c r="AW58" s="23"/>
      <c r="AX58" s="23"/>
      <c r="AY58" s="23"/>
      <c r="AZ58" s="23"/>
      <c r="BA58" s="23"/>
      <c r="BB58" s="23"/>
      <c r="BC58" s="79"/>
      <c r="BD58" s="79"/>
      <c r="BE58" s="79"/>
      <c r="BF58" s="79"/>
      <c r="BG58" s="23"/>
      <c r="BH58" s="23"/>
      <c r="BI58" s="23"/>
      <c r="BJ58" s="23"/>
      <c r="BK58" s="23"/>
      <c r="BL58" s="23"/>
      <c r="BM58" s="23"/>
      <c r="BN58" s="23"/>
      <c r="BO58" s="23"/>
      <c r="BP58" s="23"/>
      <c r="BQ58" s="23"/>
      <c r="BR58" s="23"/>
      <c r="BS58" s="23"/>
      <c r="BT58" s="23"/>
      <c r="BU58" s="23"/>
      <c r="BV58" s="23"/>
      <c r="BW58" s="23"/>
      <c r="BX58" s="23"/>
      <c r="BY58" s="23"/>
      <c r="BZ58" s="23"/>
      <c r="CA58" s="23"/>
      <c r="CB58" s="80"/>
      <c r="CC58" s="78"/>
      <c r="CD58" s="79"/>
      <c r="CE58" s="79"/>
      <c r="CF58" s="23"/>
      <c r="CG58" s="23"/>
      <c r="CH58" s="23"/>
      <c r="CI58" s="23"/>
      <c r="CJ58" s="23"/>
      <c r="CK58" s="23"/>
      <c r="CL58" s="23"/>
      <c r="CM58" s="23"/>
      <c r="CN58" s="23"/>
      <c r="CO58" s="23"/>
      <c r="CP58" s="23"/>
      <c r="CQ58" s="23"/>
      <c r="CR58" s="23"/>
      <c r="CS58" s="23"/>
      <c r="CT58" s="23"/>
      <c r="CU58" s="23"/>
      <c r="CV58" s="23"/>
      <c r="CW58" s="23"/>
      <c r="CX58" s="23"/>
      <c r="CY58" s="23"/>
      <c r="CZ58" s="23"/>
      <c r="DA58" s="80"/>
      <c r="DB58" s="78"/>
      <c r="DC58" s="79"/>
      <c r="DD58" s="79"/>
      <c r="DE58" s="23"/>
      <c r="DF58" s="23"/>
      <c r="DG58" s="23"/>
      <c r="DH58" s="23"/>
      <c r="DI58" s="23"/>
      <c r="DJ58" s="23"/>
      <c r="DK58" s="23"/>
      <c r="DL58" s="23"/>
      <c r="DM58" s="23"/>
      <c r="DN58" s="23"/>
      <c r="DO58" s="23"/>
      <c r="DP58" s="23"/>
      <c r="DQ58" s="23"/>
      <c r="DR58" s="23"/>
      <c r="DS58" s="23"/>
      <c r="DT58" s="23"/>
      <c r="DU58" s="23"/>
      <c r="DV58" s="23"/>
      <c r="DW58" s="23"/>
      <c r="DX58" s="23"/>
      <c r="DY58" s="23"/>
      <c r="DZ58" s="80"/>
      <c r="EA58" s="78"/>
      <c r="EB58" s="79"/>
      <c r="EC58" s="79"/>
      <c r="ED58" s="23"/>
      <c r="EE58" s="23"/>
      <c r="EF58" s="23"/>
      <c r="EG58" s="23"/>
      <c r="EH58" s="23"/>
      <c r="EI58" s="23"/>
      <c r="EJ58" s="23"/>
      <c r="EK58" s="23"/>
      <c r="EL58" s="23"/>
      <c r="EM58" s="23"/>
      <c r="EN58" s="23"/>
      <c r="EO58" s="23"/>
      <c r="EP58" s="23"/>
      <c r="EQ58" s="23"/>
      <c r="ER58" s="23"/>
      <c r="ES58" s="23"/>
      <c r="ET58" s="23"/>
      <c r="EU58" s="23"/>
      <c r="EV58" s="23"/>
      <c r="EW58" s="23"/>
      <c r="EX58" s="23"/>
      <c r="EY58" s="80"/>
      <c r="EZ58" s="78"/>
      <c r="FA58" s="79"/>
      <c r="FB58" s="79"/>
      <c r="FC58" s="23"/>
      <c r="FD58" s="23"/>
      <c r="FE58" s="23"/>
      <c r="FF58" s="23"/>
      <c r="FG58" s="23"/>
      <c r="FH58" s="23"/>
      <c r="FI58" s="23"/>
      <c r="FJ58" s="23"/>
      <c r="FK58" s="23"/>
      <c r="FL58" s="23"/>
      <c r="FM58" s="23"/>
      <c r="FN58" s="23"/>
      <c r="FO58" s="23"/>
      <c r="FP58" s="23"/>
      <c r="FQ58" s="23"/>
      <c r="FR58" s="23"/>
      <c r="FS58" s="23"/>
    </row>
    <row r="59" spans="1:175" ht="15" customHeight="1" thickBot="1" x14ac:dyDescent="0.4">
      <c r="A59" s="23"/>
      <c r="B59" s="23"/>
      <c r="C59" s="23"/>
      <c r="D59" s="23"/>
      <c r="E59" s="41"/>
      <c r="F59" s="19"/>
      <c r="G59" s="29"/>
      <c r="H59" s="29"/>
      <c r="I59" s="23"/>
      <c r="J59" s="23"/>
      <c r="K59" s="23"/>
      <c r="L59" s="23"/>
      <c r="M59" s="23"/>
      <c r="N59" s="23"/>
      <c r="O59" s="23"/>
      <c r="P59" s="23"/>
      <c r="Q59" s="23"/>
      <c r="R59" s="23"/>
      <c r="S59" s="23"/>
      <c r="T59" s="23"/>
      <c r="U59" s="23"/>
      <c r="V59" s="23"/>
      <c r="W59" s="23"/>
      <c r="X59" s="23"/>
      <c r="Y59" s="23"/>
      <c r="Z59" s="23"/>
      <c r="AA59" s="23"/>
      <c r="AB59" s="23"/>
      <c r="AC59" s="23"/>
      <c r="AD59" s="39"/>
      <c r="AE59" s="39"/>
      <c r="AF59" s="39"/>
      <c r="AG59" s="39"/>
      <c r="AH59" s="23"/>
      <c r="AI59" s="23"/>
      <c r="AJ59" s="23"/>
      <c r="AK59" s="23"/>
      <c r="AL59" s="23"/>
      <c r="AM59" s="23"/>
      <c r="AN59" s="23"/>
      <c r="AO59" s="23"/>
      <c r="AP59" s="23"/>
      <c r="AQ59" s="23"/>
      <c r="AR59" s="23"/>
      <c r="AS59" s="23"/>
      <c r="AT59" s="23"/>
      <c r="AU59" s="23"/>
      <c r="AV59" s="23"/>
      <c r="AW59" s="23"/>
      <c r="AX59" s="23"/>
      <c r="AY59" s="23"/>
      <c r="AZ59" s="23"/>
      <c r="BA59" s="23"/>
      <c r="BB59" s="23"/>
      <c r="BC59" s="79"/>
      <c r="BD59" s="79"/>
      <c r="BE59" s="79"/>
      <c r="BF59" s="79"/>
      <c r="BG59" s="23"/>
      <c r="BH59" s="23"/>
      <c r="BI59" s="23"/>
      <c r="BJ59" s="23"/>
      <c r="BK59" s="23"/>
      <c r="BL59" s="23"/>
      <c r="BM59" s="23"/>
      <c r="BN59" s="23"/>
      <c r="BO59" s="23"/>
      <c r="BP59" s="23"/>
      <c r="BQ59" s="23"/>
      <c r="BR59" s="23"/>
      <c r="BS59" s="23"/>
      <c r="BT59" s="23"/>
      <c r="BU59" s="23"/>
      <c r="BV59" s="23"/>
      <c r="BW59" s="23"/>
      <c r="BX59" s="23"/>
      <c r="BY59" s="23"/>
      <c r="BZ59" s="23"/>
      <c r="CA59" s="23"/>
      <c r="CB59" s="81"/>
      <c r="CC59" s="78"/>
      <c r="CD59" s="79"/>
      <c r="CE59" s="79"/>
      <c r="CF59" s="23"/>
      <c r="CG59" s="23"/>
      <c r="CH59" s="23"/>
      <c r="CI59" s="23"/>
      <c r="CJ59" s="23"/>
      <c r="CK59" s="23"/>
      <c r="CL59" s="23"/>
      <c r="CM59" s="23"/>
      <c r="CN59" s="23"/>
      <c r="CO59" s="23"/>
      <c r="CP59" s="23"/>
      <c r="CQ59" s="23"/>
      <c r="CR59" s="23"/>
      <c r="CS59" s="23"/>
      <c r="CT59" s="23"/>
      <c r="CU59" s="23"/>
      <c r="CV59" s="23"/>
      <c r="CW59" s="23"/>
      <c r="CX59" s="23"/>
      <c r="CY59" s="23"/>
      <c r="CZ59" s="23"/>
      <c r="DA59" s="81"/>
      <c r="DB59" s="78"/>
      <c r="DC59" s="79"/>
      <c r="DD59" s="79"/>
      <c r="DE59" s="23"/>
      <c r="DF59" s="23"/>
      <c r="DG59" s="23"/>
      <c r="DH59" s="23"/>
      <c r="DI59" s="23"/>
      <c r="DJ59" s="23"/>
      <c r="DK59" s="23"/>
      <c r="DL59" s="23"/>
      <c r="DM59" s="23"/>
      <c r="DN59" s="23"/>
      <c r="DO59" s="23"/>
      <c r="DP59" s="23"/>
      <c r="DQ59" s="23"/>
      <c r="DR59" s="23"/>
      <c r="DS59" s="23"/>
      <c r="DT59" s="23"/>
      <c r="DU59" s="23"/>
      <c r="DV59" s="23"/>
      <c r="DW59" s="23"/>
      <c r="DX59" s="23"/>
      <c r="DY59" s="23"/>
      <c r="DZ59" s="81"/>
      <c r="EA59" s="78"/>
      <c r="EB59" s="79"/>
      <c r="EC59" s="79"/>
      <c r="ED59" s="23"/>
      <c r="EE59" s="23"/>
      <c r="EF59" s="23"/>
      <c r="EG59" s="23"/>
      <c r="EH59" s="23"/>
      <c r="EI59" s="23"/>
      <c r="EJ59" s="23"/>
      <c r="EK59" s="23"/>
      <c r="EL59" s="23"/>
      <c r="EM59" s="23"/>
      <c r="EN59" s="23"/>
      <c r="EO59" s="23"/>
      <c r="EP59" s="23"/>
      <c r="EQ59" s="23"/>
      <c r="ER59" s="23"/>
      <c r="ES59" s="23"/>
      <c r="ET59" s="23"/>
      <c r="EU59" s="23"/>
      <c r="EV59" s="23"/>
      <c r="EW59" s="23"/>
      <c r="EX59" s="23"/>
      <c r="EY59" s="81"/>
      <c r="EZ59" s="78"/>
      <c r="FA59" s="79"/>
      <c r="FB59" s="79"/>
      <c r="FC59" s="23"/>
      <c r="FD59" s="23"/>
      <c r="FE59" s="23"/>
      <c r="FF59" s="23"/>
      <c r="FG59" s="23"/>
      <c r="FH59" s="23"/>
      <c r="FI59" s="23"/>
      <c r="FJ59" s="23"/>
      <c r="FK59" s="23"/>
      <c r="FL59" s="23"/>
      <c r="FM59" s="23"/>
      <c r="FN59" s="23"/>
      <c r="FO59" s="23"/>
      <c r="FP59" s="23"/>
      <c r="FQ59" s="23"/>
      <c r="FR59" s="23"/>
      <c r="FS59" s="23"/>
    </row>
    <row r="60" spans="1:175" ht="14.5" customHeight="1" x14ac:dyDescent="0.35">
      <c r="A60" s="23"/>
      <c r="B60" s="23"/>
      <c r="C60" s="23"/>
      <c r="D60" s="23"/>
      <c r="E60" s="40" t="s">
        <v>73</v>
      </c>
      <c r="F60" s="17">
        <f>F56-F52</f>
        <v>51710</v>
      </c>
      <c r="G60" s="28"/>
      <c r="H60" s="28"/>
      <c r="I60" s="23"/>
      <c r="J60" s="23"/>
      <c r="K60" s="23"/>
      <c r="L60" s="23"/>
      <c r="M60" s="23"/>
      <c r="N60" s="23"/>
      <c r="O60" s="23"/>
      <c r="P60" s="23"/>
      <c r="Q60" s="23"/>
      <c r="R60" s="23"/>
      <c r="S60" s="23"/>
      <c r="T60" s="23"/>
      <c r="U60" s="23"/>
      <c r="V60" s="23"/>
      <c r="W60" s="23"/>
      <c r="X60" s="23"/>
      <c r="Y60" s="23"/>
      <c r="Z60" s="23"/>
      <c r="AA60" s="23"/>
      <c r="AB60" s="23"/>
      <c r="AC60" s="23"/>
      <c r="AD60" s="23"/>
      <c r="AE60" s="23"/>
      <c r="AF60" s="37"/>
      <c r="AG60" s="37"/>
      <c r="AH60" s="37"/>
      <c r="AI60" s="37"/>
      <c r="AJ60" s="37"/>
      <c r="AK60" s="37"/>
      <c r="AL60" s="37"/>
      <c r="AM60" s="37"/>
      <c r="AN60" s="37"/>
      <c r="AO60" s="23"/>
      <c r="AP60" s="23"/>
      <c r="AQ60" s="23"/>
      <c r="AR60" s="23"/>
      <c r="AS60" s="23"/>
      <c r="AT60" s="23"/>
      <c r="AU60" s="23"/>
      <c r="AV60" s="23"/>
      <c r="AW60" s="23"/>
      <c r="AX60" s="23"/>
      <c r="AY60" s="23"/>
      <c r="AZ60" s="23"/>
      <c r="BA60" s="23"/>
      <c r="BB60" s="23"/>
      <c r="BC60" s="79"/>
      <c r="BD60" s="79"/>
      <c r="BE60" s="79"/>
      <c r="BF60" s="79"/>
      <c r="BG60" s="23"/>
      <c r="BH60" s="23"/>
      <c r="BI60" s="23"/>
      <c r="BJ60" s="23"/>
      <c r="BK60" s="23"/>
      <c r="BL60" s="23"/>
      <c r="BM60" s="23"/>
      <c r="BN60" s="23"/>
      <c r="BO60" s="23"/>
      <c r="BP60" s="23"/>
      <c r="BQ60" s="23"/>
      <c r="BR60" s="23"/>
      <c r="BS60" s="23"/>
      <c r="BT60" s="23"/>
      <c r="BU60" s="23"/>
      <c r="BV60" s="23"/>
      <c r="BW60" s="23"/>
      <c r="BX60" s="23"/>
      <c r="BY60" s="23"/>
      <c r="BZ60" s="23"/>
      <c r="CA60" s="23"/>
      <c r="CB60" s="80" t="s">
        <v>73</v>
      </c>
      <c r="CC60" s="76"/>
      <c r="CD60" s="77"/>
      <c r="CE60" s="77"/>
      <c r="CF60" s="23"/>
      <c r="CG60" s="23"/>
      <c r="CH60" s="23"/>
      <c r="CI60" s="23"/>
      <c r="CJ60" s="23"/>
      <c r="CK60" s="23"/>
      <c r="CL60" s="23"/>
      <c r="CM60" s="23"/>
      <c r="CN60" s="23"/>
      <c r="CO60" s="23"/>
      <c r="CP60" s="23"/>
      <c r="CQ60" s="23"/>
      <c r="CR60" s="23"/>
      <c r="CS60" s="23"/>
      <c r="CT60" s="23"/>
      <c r="CU60" s="23"/>
      <c r="CV60" s="23"/>
      <c r="CW60" s="23"/>
      <c r="CX60" s="23"/>
      <c r="CY60" s="23"/>
      <c r="CZ60" s="23"/>
      <c r="DA60" s="80" t="s">
        <v>73</v>
      </c>
      <c r="DB60" s="76"/>
      <c r="DC60" s="77"/>
      <c r="DD60" s="77"/>
      <c r="DE60" s="23"/>
      <c r="DF60" s="23"/>
      <c r="DG60" s="23"/>
      <c r="DH60" s="23"/>
      <c r="DI60" s="23"/>
      <c r="DJ60" s="23"/>
      <c r="DK60" s="23"/>
      <c r="DL60" s="23"/>
      <c r="DM60" s="23"/>
      <c r="DN60" s="23"/>
      <c r="DO60" s="23"/>
      <c r="DP60" s="23"/>
      <c r="DQ60" s="23"/>
      <c r="DR60" s="23"/>
      <c r="DS60" s="23"/>
      <c r="DT60" s="23"/>
      <c r="DU60" s="23"/>
      <c r="DV60" s="23"/>
      <c r="DW60" s="23"/>
      <c r="DX60" s="23"/>
      <c r="DY60" s="23"/>
      <c r="DZ60" s="80" t="s">
        <v>73</v>
      </c>
      <c r="EA60" s="76"/>
      <c r="EB60" s="77"/>
      <c r="EC60" s="77"/>
      <c r="ED60" s="23"/>
      <c r="EE60" s="23"/>
      <c r="EF60" s="23"/>
      <c r="EG60" s="23"/>
      <c r="EH60" s="23"/>
      <c r="EI60" s="23"/>
      <c r="EJ60" s="23"/>
      <c r="EK60" s="23"/>
      <c r="EL60" s="23"/>
      <c r="EM60" s="23"/>
      <c r="EN60" s="23"/>
      <c r="EO60" s="23"/>
      <c r="EP60" s="23"/>
      <c r="EQ60" s="23"/>
      <c r="ER60" s="23"/>
      <c r="ES60" s="23"/>
      <c r="ET60" s="23"/>
      <c r="EU60" s="23"/>
      <c r="EV60" s="23"/>
      <c r="EW60" s="23"/>
      <c r="EX60" s="23"/>
      <c r="EY60" s="80" t="s">
        <v>73</v>
      </c>
      <c r="EZ60" s="76"/>
      <c r="FA60" s="77"/>
      <c r="FB60" s="77"/>
      <c r="FC60" s="23"/>
      <c r="FD60" s="23"/>
      <c r="FE60" s="23"/>
      <c r="FF60" s="23"/>
      <c r="FG60" s="23"/>
      <c r="FH60" s="23"/>
      <c r="FI60" s="23"/>
      <c r="FJ60" s="23"/>
      <c r="FK60" s="23"/>
      <c r="FL60" s="23"/>
      <c r="FM60" s="23"/>
      <c r="FN60" s="23"/>
      <c r="FO60" s="23"/>
      <c r="FP60" s="23"/>
      <c r="FQ60" s="23"/>
      <c r="FR60" s="23"/>
      <c r="FS60" s="23"/>
    </row>
    <row r="61" spans="1:175" ht="15" customHeight="1" x14ac:dyDescent="0.35">
      <c r="A61" s="23"/>
      <c r="B61" s="23"/>
      <c r="C61" s="23"/>
      <c r="D61" s="23"/>
      <c r="E61" s="40"/>
      <c r="F61" s="19"/>
      <c r="G61" s="29"/>
      <c r="H61" s="29"/>
      <c r="I61" s="23"/>
      <c r="J61" s="23"/>
      <c r="K61" s="23"/>
      <c r="L61" s="23"/>
      <c r="M61" s="23"/>
      <c r="N61" s="23"/>
      <c r="O61" s="23"/>
      <c r="P61" s="23"/>
      <c r="Q61" s="23"/>
      <c r="R61" s="23"/>
      <c r="S61" s="23"/>
      <c r="T61" s="23"/>
      <c r="U61" s="23"/>
      <c r="V61" s="23"/>
      <c r="W61" s="23"/>
      <c r="X61" s="23"/>
      <c r="Y61" s="23"/>
      <c r="Z61" s="2"/>
      <c r="AA61" s="2"/>
      <c r="AB61" s="2"/>
      <c r="AC61" s="2"/>
      <c r="AD61" s="2"/>
      <c r="AE61" s="2"/>
      <c r="AF61" s="2"/>
      <c r="AG61" s="2"/>
      <c r="AH61" s="2"/>
      <c r="AI61" s="2"/>
      <c r="AJ61" s="2"/>
      <c r="AK61" s="2"/>
      <c r="AL61" s="2"/>
      <c r="AM61" s="2"/>
      <c r="AN61" s="2"/>
      <c r="AO61" s="2"/>
      <c r="AP61" s="2"/>
      <c r="AQ61" s="2"/>
      <c r="AR61" s="2"/>
      <c r="AS61" s="2"/>
      <c r="AT61" s="2"/>
      <c r="AU61" s="23"/>
      <c r="AV61" s="23"/>
      <c r="AW61" s="23"/>
      <c r="AX61" s="23"/>
      <c r="AY61" s="23"/>
      <c r="AZ61" s="23"/>
      <c r="BA61" s="23"/>
      <c r="BB61" s="23"/>
      <c r="BC61" s="79"/>
      <c r="BD61" s="79"/>
      <c r="BE61" s="79"/>
      <c r="BF61" s="79"/>
      <c r="BG61" s="23"/>
      <c r="BH61" s="23"/>
      <c r="BI61" s="23"/>
      <c r="BJ61" s="23"/>
      <c r="BK61" s="23"/>
      <c r="BL61" s="23"/>
      <c r="BM61" s="23"/>
      <c r="BN61" s="23"/>
      <c r="BO61" s="23"/>
      <c r="BP61" s="23"/>
      <c r="BQ61" s="23"/>
      <c r="BR61" s="23"/>
      <c r="BS61" s="23"/>
      <c r="BT61" s="23"/>
      <c r="BU61" s="23"/>
      <c r="BV61" s="23"/>
      <c r="BW61" s="23"/>
      <c r="BX61" s="23"/>
      <c r="BY61" s="23"/>
      <c r="BZ61" s="23"/>
      <c r="CA61" s="23"/>
      <c r="CB61" s="80"/>
      <c r="CC61" s="78"/>
      <c r="CD61" s="79"/>
      <c r="CE61" s="79"/>
      <c r="CF61" s="23"/>
      <c r="CG61" s="23"/>
      <c r="CH61" s="23"/>
      <c r="CI61" s="23"/>
      <c r="CJ61" s="23"/>
      <c r="CK61" s="23"/>
      <c r="CL61" s="23"/>
      <c r="CM61" s="23"/>
      <c r="CN61" s="23"/>
      <c r="CO61" s="23"/>
      <c r="CP61" s="23"/>
      <c r="CQ61" s="23"/>
      <c r="CR61" s="23"/>
      <c r="CS61" s="23"/>
      <c r="CT61" s="23"/>
      <c r="CU61" s="23"/>
      <c r="CV61" s="23"/>
      <c r="CW61" s="23"/>
      <c r="CX61" s="23"/>
      <c r="CY61" s="23"/>
      <c r="CZ61" s="23"/>
      <c r="DA61" s="80"/>
      <c r="DB61" s="78"/>
      <c r="DC61" s="79"/>
      <c r="DD61" s="79"/>
      <c r="DE61" s="23"/>
      <c r="DF61" s="23"/>
      <c r="DG61" s="23"/>
      <c r="DH61" s="23"/>
      <c r="DI61" s="23"/>
      <c r="DJ61" s="23"/>
      <c r="DK61" s="23"/>
      <c r="DL61" s="23"/>
      <c r="DM61" s="23"/>
      <c r="DN61" s="23"/>
      <c r="DO61" s="23"/>
      <c r="DP61" s="23"/>
      <c r="DQ61" s="23"/>
      <c r="DR61" s="23"/>
      <c r="DS61" s="23"/>
      <c r="DT61" s="23"/>
      <c r="DU61" s="23"/>
      <c r="DV61" s="23"/>
      <c r="DW61" s="23"/>
      <c r="DX61" s="23"/>
      <c r="DY61" s="23"/>
      <c r="DZ61" s="80"/>
      <c r="EA61" s="78"/>
      <c r="EB61" s="79"/>
      <c r="EC61" s="79"/>
      <c r="ED61" s="23"/>
      <c r="EE61" s="23"/>
      <c r="EF61" s="23"/>
      <c r="EG61" s="23"/>
      <c r="EH61" s="23"/>
      <c r="EI61" s="23"/>
      <c r="EJ61" s="23"/>
      <c r="EK61" s="23"/>
      <c r="EL61" s="23"/>
      <c r="EM61" s="23"/>
      <c r="EN61" s="23"/>
      <c r="EO61" s="23"/>
      <c r="EP61" s="23"/>
      <c r="EQ61" s="23"/>
      <c r="ER61" s="23"/>
      <c r="ES61" s="23"/>
      <c r="ET61" s="23"/>
      <c r="EU61" s="23"/>
      <c r="EV61" s="23"/>
      <c r="EW61" s="23"/>
      <c r="EX61" s="23"/>
      <c r="EY61" s="80"/>
      <c r="EZ61" s="78"/>
      <c r="FA61" s="79"/>
      <c r="FB61" s="79"/>
      <c r="FC61" s="23"/>
      <c r="FD61" s="23"/>
      <c r="FE61" s="23"/>
      <c r="FF61" s="23"/>
      <c r="FG61" s="23"/>
      <c r="FH61" s="23"/>
      <c r="FI61" s="23"/>
      <c r="FJ61" s="23"/>
      <c r="FK61" s="23"/>
      <c r="FL61" s="23"/>
      <c r="FM61" s="23"/>
      <c r="FN61" s="23"/>
      <c r="FO61" s="23"/>
      <c r="FP61" s="23"/>
      <c r="FQ61" s="23"/>
      <c r="FR61" s="23"/>
      <c r="FS61" s="23"/>
    </row>
    <row r="62" spans="1:175" ht="14.5" customHeight="1" x14ac:dyDescent="0.35">
      <c r="A62" s="23"/>
      <c r="B62" s="23"/>
      <c r="C62" s="23"/>
      <c r="D62" s="23"/>
      <c r="E62" s="40"/>
      <c r="F62" s="19"/>
      <c r="G62" s="29"/>
      <c r="H62" s="29"/>
      <c r="I62" s="23"/>
      <c r="J62" s="23"/>
      <c r="K62" s="23"/>
      <c r="L62" s="23"/>
      <c r="M62" s="23"/>
      <c r="N62" s="23"/>
      <c r="O62" s="23"/>
      <c r="P62" s="23"/>
      <c r="Q62" s="23"/>
      <c r="R62" s="23"/>
      <c r="S62" s="23"/>
      <c r="T62" s="23"/>
      <c r="U62" s="23"/>
      <c r="V62" s="23"/>
      <c r="W62" s="23"/>
      <c r="X62" s="23"/>
      <c r="Y62" s="23"/>
      <c r="Z62" s="2"/>
      <c r="AA62" s="2"/>
      <c r="AB62" s="2"/>
      <c r="AC62" s="2"/>
      <c r="AD62" s="2"/>
      <c r="AE62" s="2"/>
      <c r="AF62" s="2"/>
      <c r="AG62" s="2"/>
      <c r="AH62" s="2"/>
      <c r="AI62" s="2"/>
      <c r="AJ62" s="2"/>
      <c r="AK62" s="2"/>
      <c r="AL62" s="2"/>
      <c r="AM62" s="2"/>
      <c r="AN62" s="2"/>
      <c r="AO62" s="2"/>
      <c r="AP62" s="2"/>
      <c r="AQ62" s="2"/>
      <c r="AR62" s="2"/>
      <c r="AS62" s="2"/>
      <c r="AT62" s="2"/>
      <c r="AU62" s="23"/>
      <c r="AV62" s="23"/>
      <c r="AW62" s="23"/>
      <c r="AX62" s="23"/>
      <c r="AY62" s="23"/>
      <c r="AZ62" s="23"/>
      <c r="BA62" s="23"/>
      <c r="BB62" s="23"/>
      <c r="BC62" s="79"/>
      <c r="BD62" s="79"/>
      <c r="BE62" s="79"/>
      <c r="BF62" s="79"/>
      <c r="BG62" s="23"/>
      <c r="BH62" s="23"/>
      <c r="BI62" s="23"/>
      <c r="BJ62" s="23"/>
      <c r="BK62" s="23"/>
      <c r="BL62" s="23"/>
      <c r="BM62" s="23"/>
      <c r="BN62" s="23"/>
      <c r="BO62" s="23"/>
      <c r="BP62" s="23"/>
      <c r="BQ62" s="23"/>
      <c r="BR62" s="23"/>
      <c r="BS62" s="23"/>
      <c r="BT62" s="23"/>
      <c r="BU62" s="23"/>
      <c r="BV62" s="23"/>
      <c r="BW62" s="23"/>
      <c r="BX62" s="23"/>
      <c r="BY62" s="23"/>
      <c r="BZ62" s="23"/>
      <c r="CA62" s="23"/>
      <c r="CB62" s="80"/>
      <c r="CC62" s="78"/>
      <c r="CD62" s="79"/>
      <c r="CE62" s="79"/>
      <c r="CF62" s="23"/>
      <c r="CG62" s="23"/>
      <c r="CH62" s="23"/>
      <c r="CI62" s="23"/>
      <c r="CJ62" s="23"/>
      <c r="CK62" s="23"/>
      <c r="CL62" s="23"/>
      <c r="CM62" s="23"/>
      <c r="CN62" s="23"/>
      <c r="CO62" s="23"/>
      <c r="CP62" s="23"/>
      <c r="CQ62" s="23"/>
      <c r="CR62" s="23"/>
      <c r="CS62" s="23"/>
      <c r="CT62" s="23"/>
      <c r="CU62" s="23"/>
      <c r="CV62" s="23"/>
      <c r="CW62" s="23"/>
      <c r="CX62" s="23"/>
      <c r="CY62" s="23"/>
      <c r="CZ62" s="23"/>
      <c r="DA62" s="80"/>
      <c r="DB62" s="78"/>
      <c r="DC62" s="79"/>
      <c r="DD62" s="79"/>
      <c r="DE62" s="23"/>
      <c r="DF62" s="23"/>
      <c r="DG62" s="23"/>
      <c r="DH62" s="23"/>
      <c r="DI62" s="23"/>
      <c r="DJ62" s="23"/>
      <c r="DK62" s="23"/>
      <c r="DL62" s="23"/>
      <c r="DM62" s="23"/>
      <c r="DN62" s="23"/>
      <c r="DO62" s="23"/>
      <c r="DP62" s="23"/>
      <c r="DQ62" s="23"/>
      <c r="DR62" s="23"/>
      <c r="DS62" s="23"/>
      <c r="DT62" s="23"/>
      <c r="DU62" s="23"/>
      <c r="DV62" s="23"/>
      <c r="DW62" s="23"/>
      <c r="DX62" s="23"/>
      <c r="DY62" s="23"/>
      <c r="DZ62" s="80"/>
      <c r="EA62" s="78"/>
      <c r="EB62" s="79"/>
      <c r="EC62" s="79"/>
      <c r="ED62" s="23"/>
      <c r="EE62" s="23"/>
      <c r="EF62" s="23"/>
      <c r="EG62" s="23"/>
      <c r="EH62" s="23"/>
      <c r="EI62" s="23"/>
      <c r="EJ62" s="23"/>
      <c r="EK62" s="23"/>
      <c r="EL62" s="23"/>
      <c r="EM62" s="23"/>
      <c r="EN62" s="23"/>
      <c r="EO62" s="23"/>
      <c r="EP62" s="23"/>
      <c r="EQ62" s="23"/>
      <c r="ER62" s="23"/>
      <c r="ES62" s="23"/>
      <c r="ET62" s="23"/>
      <c r="EU62" s="23"/>
      <c r="EV62" s="23"/>
      <c r="EW62" s="23"/>
      <c r="EX62" s="23"/>
      <c r="EY62" s="80"/>
      <c r="EZ62" s="78"/>
      <c r="FA62" s="79"/>
      <c r="FB62" s="79"/>
      <c r="FC62" s="23"/>
      <c r="FD62" s="23"/>
      <c r="FE62" s="23"/>
      <c r="FF62" s="23"/>
      <c r="FG62" s="23"/>
      <c r="FH62" s="23"/>
      <c r="FI62" s="23"/>
      <c r="FJ62" s="23"/>
      <c r="FK62" s="23"/>
      <c r="FL62" s="23"/>
      <c r="FM62" s="23"/>
      <c r="FN62" s="23"/>
      <c r="FO62" s="23"/>
      <c r="FP62" s="23"/>
      <c r="FQ62" s="23"/>
      <c r="FR62" s="23"/>
      <c r="FS62" s="23"/>
    </row>
    <row r="63" spans="1:175" ht="15" customHeight="1" thickBot="1" x14ac:dyDescent="0.4">
      <c r="A63" s="23"/>
      <c r="B63" s="23"/>
      <c r="C63" s="23"/>
      <c r="D63" s="23"/>
      <c r="E63" s="41"/>
      <c r="F63" s="19"/>
      <c r="G63" s="29"/>
      <c r="H63" s="29"/>
      <c r="I63" s="23"/>
      <c r="J63" s="23"/>
      <c r="K63" s="23"/>
      <c r="L63" s="23"/>
      <c r="M63" s="23"/>
      <c r="N63" s="23"/>
      <c r="O63" s="23"/>
      <c r="P63" s="23"/>
      <c r="Q63" s="23"/>
      <c r="R63" s="23"/>
      <c r="S63" s="23"/>
      <c r="T63" s="23"/>
      <c r="U63" s="23"/>
      <c r="V63" s="23"/>
      <c r="W63" s="23"/>
      <c r="X63" s="23"/>
      <c r="Y63" s="23"/>
      <c r="Z63" s="2"/>
      <c r="AA63" s="2"/>
      <c r="AB63" s="2"/>
      <c r="AC63" s="2"/>
      <c r="AD63" s="2"/>
      <c r="AE63" s="2"/>
      <c r="AF63" s="2"/>
      <c r="AG63" s="2"/>
      <c r="AH63" s="2"/>
      <c r="AI63" s="2"/>
      <c r="AJ63" s="2"/>
      <c r="AK63" s="2"/>
      <c r="AL63" s="2"/>
      <c r="AM63" s="2"/>
      <c r="AN63" s="2"/>
      <c r="AO63" s="2"/>
      <c r="AP63" s="2"/>
      <c r="AQ63" s="2"/>
      <c r="AR63" s="2"/>
      <c r="AS63" s="2"/>
      <c r="AT63" s="2"/>
      <c r="AU63" s="23"/>
      <c r="AV63" s="23"/>
      <c r="AW63" s="23"/>
      <c r="AX63" s="23"/>
      <c r="AY63" s="23"/>
      <c r="AZ63" s="23"/>
      <c r="BA63" s="23"/>
      <c r="BB63" s="23"/>
      <c r="BC63" s="79"/>
      <c r="BD63" s="79"/>
      <c r="BE63" s="79"/>
      <c r="BF63" s="79"/>
      <c r="BG63" s="23"/>
      <c r="BH63" s="23"/>
      <c r="BI63" s="23"/>
      <c r="BJ63" s="23"/>
      <c r="BK63" s="23"/>
      <c r="BL63" s="23"/>
      <c r="BM63" s="23"/>
      <c r="BN63" s="23"/>
      <c r="BO63" s="23"/>
      <c r="BP63" s="23"/>
      <c r="BQ63" s="23"/>
      <c r="BR63" s="23"/>
      <c r="BS63" s="23"/>
      <c r="BT63" s="23"/>
      <c r="BU63" s="23"/>
      <c r="BV63" s="23"/>
      <c r="BW63" s="23"/>
      <c r="BX63" s="23"/>
      <c r="BY63" s="23"/>
      <c r="BZ63" s="23"/>
      <c r="CA63" s="23"/>
      <c r="CB63" s="81"/>
      <c r="CC63" s="78"/>
      <c r="CD63" s="79"/>
      <c r="CE63" s="79"/>
      <c r="CF63" s="23"/>
      <c r="CG63" s="23"/>
      <c r="CH63" s="23"/>
      <c r="CI63" s="23"/>
      <c r="CJ63" s="23"/>
      <c r="CK63" s="23"/>
      <c r="CL63" s="23"/>
      <c r="CM63" s="23"/>
      <c r="CN63" s="23"/>
      <c r="CO63" s="23"/>
      <c r="CP63" s="23"/>
      <c r="CQ63" s="23"/>
      <c r="CR63" s="23"/>
      <c r="CS63" s="23"/>
      <c r="CT63" s="23"/>
      <c r="CU63" s="23"/>
      <c r="CV63" s="23"/>
      <c r="CW63" s="23"/>
      <c r="CX63" s="23"/>
      <c r="CY63" s="23"/>
      <c r="CZ63" s="23"/>
      <c r="DA63" s="81"/>
      <c r="DB63" s="78"/>
      <c r="DC63" s="79"/>
      <c r="DD63" s="79"/>
      <c r="DE63" s="23"/>
      <c r="DF63" s="23"/>
      <c r="DG63" s="23"/>
      <c r="DH63" s="23"/>
      <c r="DI63" s="23"/>
      <c r="DJ63" s="23"/>
      <c r="DK63" s="23"/>
      <c r="DL63" s="23"/>
      <c r="DM63" s="23"/>
      <c r="DN63" s="23"/>
      <c r="DO63" s="23"/>
      <c r="DP63" s="23"/>
      <c r="DQ63" s="23"/>
      <c r="DR63" s="23"/>
      <c r="DS63" s="23"/>
      <c r="DT63" s="23"/>
      <c r="DU63" s="23"/>
      <c r="DV63" s="23"/>
      <c r="DW63" s="23"/>
      <c r="DX63" s="23"/>
      <c r="DY63" s="23"/>
      <c r="DZ63" s="81"/>
      <c r="EA63" s="78"/>
      <c r="EB63" s="79"/>
      <c r="EC63" s="79"/>
      <c r="ED63" s="23"/>
      <c r="EE63" s="23"/>
      <c r="EF63" s="23"/>
      <c r="EG63" s="23"/>
      <c r="EH63" s="23"/>
      <c r="EI63" s="23"/>
      <c r="EJ63" s="23"/>
      <c r="EK63" s="23"/>
      <c r="EL63" s="23"/>
      <c r="EM63" s="23"/>
      <c r="EN63" s="23"/>
      <c r="EO63" s="23"/>
      <c r="EP63" s="23"/>
      <c r="EQ63" s="23"/>
      <c r="ER63" s="23"/>
      <c r="ES63" s="23"/>
      <c r="ET63" s="23"/>
      <c r="EU63" s="23"/>
      <c r="EV63" s="23"/>
      <c r="EW63" s="23"/>
      <c r="EX63" s="23"/>
      <c r="EY63" s="81"/>
      <c r="EZ63" s="78"/>
      <c r="FA63" s="79"/>
      <c r="FB63" s="79"/>
      <c r="FC63" s="23"/>
      <c r="FD63" s="23"/>
      <c r="FE63" s="23"/>
      <c r="FF63" s="23"/>
      <c r="FG63" s="23"/>
      <c r="FH63" s="23"/>
      <c r="FI63" s="23"/>
      <c r="FJ63" s="23"/>
      <c r="FK63" s="23"/>
      <c r="FL63" s="23"/>
      <c r="FM63" s="23"/>
      <c r="FN63" s="23"/>
      <c r="FO63" s="23"/>
      <c r="FP63" s="23"/>
      <c r="FQ63" s="23"/>
      <c r="FR63" s="23"/>
      <c r="FS63" s="23"/>
    </row>
    <row r="64" spans="1:175" ht="14.5" customHeight="1" x14ac:dyDescent="0.35">
      <c r="A64" s="23"/>
      <c r="B64" s="23"/>
      <c r="C64" s="23"/>
      <c r="D64" s="23"/>
      <c r="E64" s="40" t="s">
        <v>74</v>
      </c>
      <c r="F64" s="17">
        <f>(F60)/7700</f>
        <v>6.7155844155844155</v>
      </c>
      <c r="G64" s="28"/>
      <c r="H64" s="28"/>
      <c r="I64" s="23"/>
      <c r="J64" s="23"/>
      <c r="K64" s="23"/>
      <c r="L64" s="23"/>
      <c r="M64" s="23"/>
      <c r="N64" s="23"/>
      <c r="O64" s="23"/>
      <c r="P64" s="23"/>
      <c r="Q64" s="23"/>
      <c r="R64" s="23"/>
      <c r="S64" s="23"/>
      <c r="T64" s="23"/>
      <c r="U64" s="23"/>
      <c r="V64" s="23"/>
      <c r="W64" s="23"/>
      <c r="X64" s="23"/>
      <c r="Y64" s="23"/>
      <c r="Z64" s="2"/>
      <c r="AA64" s="2"/>
      <c r="AB64" s="2"/>
      <c r="AC64" s="2"/>
      <c r="AD64" s="2"/>
      <c r="AE64" s="2"/>
      <c r="AF64" s="2"/>
      <c r="AG64" s="2"/>
      <c r="AH64" s="2"/>
      <c r="AI64" s="2"/>
      <c r="AJ64" s="2"/>
      <c r="AK64" s="2"/>
      <c r="AL64" s="2"/>
      <c r="AM64" s="2"/>
      <c r="AN64" s="2"/>
      <c r="AO64" s="2"/>
      <c r="AP64" s="2"/>
      <c r="AQ64" s="2"/>
      <c r="AR64" s="2"/>
      <c r="AS64" s="2"/>
      <c r="AT64" s="2"/>
      <c r="AU64" s="23"/>
      <c r="AV64" s="23"/>
      <c r="AW64" s="23"/>
      <c r="AX64" s="23"/>
      <c r="AY64" s="23"/>
      <c r="AZ64" s="23"/>
      <c r="BA64" s="23"/>
      <c r="BB64" s="23"/>
      <c r="BC64" s="79"/>
      <c r="BD64" s="79"/>
      <c r="BE64" s="79"/>
      <c r="BF64" s="79"/>
      <c r="BG64" s="23"/>
      <c r="BH64" s="23"/>
      <c r="BI64" s="23"/>
      <c r="BJ64" s="23"/>
      <c r="BK64" s="23"/>
      <c r="BL64" s="23"/>
      <c r="BM64" s="23"/>
      <c r="BN64" s="23"/>
      <c r="BO64" s="23"/>
      <c r="BP64" s="23"/>
      <c r="BQ64" s="23"/>
      <c r="BR64" s="23"/>
      <c r="BS64" s="23"/>
      <c r="BT64" s="23"/>
      <c r="BU64" s="23"/>
      <c r="BV64" s="23"/>
      <c r="BW64" s="23"/>
      <c r="BX64" s="23"/>
      <c r="BY64" s="23"/>
      <c r="BZ64" s="23"/>
      <c r="CA64" s="23"/>
      <c r="CB64" s="80" t="s">
        <v>74</v>
      </c>
      <c r="CC64" s="76"/>
      <c r="CD64" s="77"/>
      <c r="CE64" s="77"/>
      <c r="CF64" s="23"/>
      <c r="CG64" s="23"/>
      <c r="CH64" s="23"/>
      <c r="CI64" s="23"/>
      <c r="CJ64" s="23"/>
      <c r="CK64" s="23"/>
      <c r="CL64" s="23"/>
      <c r="CM64" s="23"/>
      <c r="CN64" s="23"/>
      <c r="CO64" s="23"/>
      <c r="CP64" s="23"/>
      <c r="CQ64" s="23"/>
      <c r="CR64" s="23"/>
      <c r="CS64" s="23"/>
      <c r="CT64" s="23"/>
      <c r="CU64" s="23"/>
      <c r="CV64" s="23"/>
      <c r="CW64" s="23"/>
      <c r="CX64" s="23"/>
      <c r="CY64" s="23"/>
      <c r="CZ64" s="23"/>
      <c r="DA64" s="80" t="s">
        <v>74</v>
      </c>
      <c r="DB64" s="76"/>
      <c r="DC64" s="77"/>
      <c r="DD64" s="77"/>
      <c r="DE64" s="23"/>
      <c r="DF64" s="23"/>
      <c r="DG64" s="23"/>
      <c r="DH64" s="23"/>
      <c r="DI64" s="23"/>
      <c r="DJ64" s="23"/>
      <c r="DK64" s="23"/>
      <c r="DL64" s="23"/>
      <c r="DM64" s="23"/>
      <c r="DN64" s="23"/>
      <c r="DO64" s="23"/>
      <c r="DP64" s="23"/>
      <c r="DQ64" s="23"/>
      <c r="DR64" s="23"/>
      <c r="DS64" s="23"/>
      <c r="DT64" s="23"/>
      <c r="DU64" s="23"/>
      <c r="DV64" s="23"/>
      <c r="DW64" s="23"/>
      <c r="DX64" s="23"/>
      <c r="DY64" s="23"/>
      <c r="DZ64" s="80" t="s">
        <v>74</v>
      </c>
      <c r="EA64" s="76"/>
      <c r="EB64" s="77"/>
      <c r="EC64" s="77"/>
      <c r="ED64" s="23"/>
      <c r="EE64" s="23"/>
      <c r="EF64" s="23"/>
      <c r="EG64" s="23"/>
      <c r="EH64" s="23"/>
      <c r="EI64" s="23"/>
      <c r="EJ64" s="23"/>
      <c r="EK64" s="23"/>
      <c r="EL64" s="23"/>
      <c r="EM64" s="23"/>
      <c r="EN64" s="23"/>
      <c r="EO64" s="23"/>
      <c r="EP64" s="23"/>
      <c r="EQ64" s="23"/>
      <c r="ER64" s="23"/>
      <c r="ES64" s="23"/>
      <c r="ET64" s="23"/>
      <c r="EU64" s="23"/>
      <c r="EV64" s="23"/>
      <c r="EW64" s="23"/>
      <c r="EX64" s="23"/>
      <c r="EY64" s="80" t="s">
        <v>74</v>
      </c>
      <c r="EZ64" s="76"/>
      <c r="FA64" s="77"/>
      <c r="FB64" s="77"/>
      <c r="FC64" s="23"/>
      <c r="FD64" s="23"/>
      <c r="FE64" s="23"/>
      <c r="FF64" s="23"/>
      <c r="FG64" s="23"/>
      <c r="FH64" s="23"/>
      <c r="FI64" s="23"/>
      <c r="FJ64" s="23"/>
      <c r="FK64" s="23"/>
      <c r="FL64" s="23"/>
      <c r="FM64" s="23"/>
      <c r="FN64" s="23"/>
      <c r="FO64" s="23"/>
      <c r="FP64" s="23"/>
      <c r="FQ64" s="23"/>
      <c r="FR64" s="23"/>
      <c r="FS64" s="23"/>
    </row>
    <row r="65" spans="1:175" ht="15" customHeight="1" x14ac:dyDescent="0.35">
      <c r="A65" s="23"/>
      <c r="B65" s="23"/>
      <c r="C65" s="23"/>
      <c r="D65" s="23"/>
      <c r="E65" s="40"/>
      <c r="F65" s="19"/>
      <c r="G65" s="29"/>
      <c r="H65" s="29"/>
      <c r="I65" s="23"/>
      <c r="J65" s="23"/>
      <c r="K65" s="23"/>
      <c r="L65" s="23"/>
      <c r="M65" s="23"/>
      <c r="N65" s="23"/>
      <c r="O65" s="23"/>
      <c r="P65" s="23"/>
      <c r="Q65" s="23"/>
      <c r="R65" s="23"/>
      <c r="S65" s="23"/>
      <c r="T65" s="23"/>
      <c r="U65" s="23"/>
      <c r="V65" s="23"/>
      <c r="W65" s="23"/>
      <c r="X65" s="23"/>
      <c r="Y65" s="23"/>
      <c r="Z65" s="2"/>
      <c r="AA65" s="2"/>
      <c r="AB65" s="2"/>
      <c r="AC65" s="2"/>
      <c r="AD65" s="2"/>
      <c r="AE65" s="2"/>
      <c r="AF65" s="2"/>
      <c r="AG65" s="2"/>
      <c r="AH65" s="2"/>
      <c r="AI65" s="2"/>
      <c r="AJ65" s="2"/>
      <c r="AK65" s="2"/>
      <c r="AL65" s="2"/>
      <c r="AM65" s="2"/>
      <c r="AN65" s="2"/>
      <c r="AO65" s="2"/>
      <c r="AP65" s="2"/>
      <c r="AQ65" s="2"/>
      <c r="AR65" s="2"/>
      <c r="AS65" s="2"/>
      <c r="AT65" s="2"/>
      <c r="AU65" s="23"/>
      <c r="AV65" s="23"/>
      <c r="AW65" s="23"/>
      <c r="AX65" s="23"/>
      <c r="AY65" s="23"/>
      <c r="AZ65" s="23"/>
      <c r="BA65" s="23"/>
      <c r="BB65" s="23"/>
      <c r="BC65" s="79"/>
      <c r="BD65" s="79"/>
      <c r="BE65" s="79"/>
      <c r="BF65" s="79"/>
      <c r="BG65" s="23"/>
      <c r="BH65" s="23"/>
      <c r="BI65" s="23"/>
      <c r="BJ65" s="23"/>
      <c r="BK65" s="23"/>
      <c r="BL65" s="23"/>
      <c r="BM65" s="23"/>
      <c r="BN65" s="23"/>
      <c r="BO65" s="23"/>
      <c r="BP65" s="23"/>
      <c r="BQ65" s="23"/>
      <c r="BR65" s="23"/>
      <c r="BS65" s="23"/>
      <c r="BT65" s="23"/>
      <c r="BU65" s="23"/>
      <c r="BV65" s="23"/>
      <c r="BW65" s="23"/>
      <c r="BX65" s="23"/>
      <c r="BY65" s="23"/>
      <c r="BZ65" s="23"/>
      <c r="CA65" s="23"/>
      <c r="CB65" s="80"/>
      <c r="CC65" s="78"/>
      <c r="CD65" s="79"/>
      <c r="CE65" s="79"/>
      <c r="CF65" s="23"/>
      <c r="CG65" s="23"/>
      <c r="CH65" s="23"/>
      <c r="CI65" s="23"/>
      <c r="CJ65" s="23"/>
      <c r="CK65" s="23"/>
      <c r="CL65" s="23"/>
      <c r="CM65" s="23"/>
      <c r="CN65" s="23"/>
      <c r="CO65" s="23"/>
      <c r="CP65" s="23"/>
      <c r="CQ65" s="23"/>
      <c r="CR65" s="23"/>
      <c r="CS65" s="23"/>
      <c r="CT65" s="23"/>
      <c r="CU65" s="23"/>
      <c r="CV65" s="23"/>
      <c r="CW65" s="23"/>
      <c r="CX65" s="23"/>
      <c r="CY65" s="23"/>
      <c r="CZ65" s="23"/>
      <c r="DA65" s="80"/>
      <c r="DB65" s="78"/>
      <c r="DC65" s="79"/>
      <c r="DD65" s="79"/>
      <c r="DE65" s="23"/>
      <c r="DF65" s="23"/>
      <c r="DG65" s="23"/>
      <c r="DH65" s="23"/>
      <c r="DI65" s="23"/>
      <c r="DJ65" s="23"/>
      <c r="DK65" s="23"/>
      <c r="DL65" s="23"/>
      <c r="DM65" s="23"/>
      <c r="DN65" s="23"/>
      <c r="DO65" s="23"/>
      <c r="DP65" s="23"/>
      <c r="DQ65" s="23"/>
      <c r="DR65" s="23"/>
      <c r="DS65" s="23"/>
      <c r="DT65" s="23"/>
      <c r="DU65" s="23"/>
      <c r="DV65" s="23"/>
      <c r="DW65" s="23"/>
      <c r="DX65" s="23"/>
      <c r="DY65" s="23"/>
      <c r="DZ65" s="80"/>
      <c r="EA65" s="78"/>
      <c r="EB65" s="79"/>
      <c r="EC65" s="79"/>
      <c r="ED65" s="23"/>
      <c r="EE65" s="23"/>
      <c r="EF65" s="23"/>
      <c r="EG65" s="23"/>
      <c r="EH65" s="23"/>
      <c r="EI65" s="23"/>
      <c r="EJ65" s="23"/>
      <c r="EK65" s="23"/>
      <c r="EL65" s="23"/>
      <c r="EM65" s="23"/>
      <c r="EN65" s="23"/>
      <c r="EO65" s="23"/>
      <c r="EP65" s="23"/>
      <c r="EQ65" s="23"/>
      <c r="ER65" s="23"/>
      <c r="ES65" s="23"/>
      <c r="ET65" s="23"/>
      <c r="EU65" s="23"/>
      <c r="EV65" s="23"/>
      <c r="EW65" s="23"/>
      <c r="EX65" s="23"/>
      <c r="EY65" s="80"/>
      <c r="EZ65" s="78"/>
      <c r="FA65" s="79"/>
      <c r="FB65" s="79"/>
      <c r="FC65" s="23"/>
      <c r="FD65" s="23"/>
      <c r="FE65" s="23"/>
      <c r="FF65" s="23"/>
      <c r="FG65" s="23"/>
      <c r="FH65" s="23"/>
      <c r="FI65" s="23"/>
      <c r="FJ65" s="23"/>
      <c r="FK65" s="23"/>
      <c r="FL65" s="23"/>
      <c r="FM65" s="23"/>
      <c r="FN65" s="23"/>
      <c r="FO65" s="23"/>
      <c r="FP65" s="23"/>
      <c r="FQ65" s="23"/>
      <c r="FR65" s="23"/>
      <c r="FS65" s="23"/>
    </row>
    <row r="66" spans="1:175" ht="14.5" customHeight="1" x14ac:dyDescent="0.35">
      <c r="A66" s="23"/>
      <c r="B66" s="23"/>
      <c r="C66" s="23"/>
      <c r="D66" s="23"/>
      <c r="E66" s="40"/>
      <c r="F66" s="19"/>
      <c r="G66" s="29"/>
      <c r="H66" s="29"/>
      <c r="I66" s="23"/>
      <c r="J66" s="23"/>
      <c r="K66" s="23"/>
      <c r="L66" s="23"/>
      <c r="M66" s="23"/>
      <c r="N66" s="23"/>
      <c r="O66" s="23"/>
      <c r="P66" s="23"/>
      <c r="Q66" s="23"/>
      <c r="R66" s="23"/>
      <c r="S66" s="23"/>
      <c r="T66" s="23"/>
      <c r="U66" s="23"/>
      <c r="V66" s="23"/>
      <c r="W66" s="23"/>
      <c r="X66" s="23"/>
      <c r="Y66" s="23"/>
      <c r="Z66" s="2"/>
      <c r="AA66" s="2"/>
      <c r="AB66" s="2"/>
      <c r="AC66" s="2"/>
      <c r="AD66" s="2"/>
      <c r="AE66" s="2"/>
      <c r="AF66" s="2"/>
      <c r="AG66" s="2"/>
      <c r="AH66" s="2"/>
      <c r="AI66" s="2"/>
      <c r="AJ66" s="2"/>
      <c r="AK66" s="2"/>
      <c r="AL66" s="2"/>
      <c r="AM66" s="2"/>
      <c r="AN66" s="2"/>
      <c r="AO66" s="2"/>
      <c r="AP66" s="2"/>
      <c r="AQ66" s="2"/>
      <c r="AR66" s="2"/>
      <c r="AS66" s="2"/>
      <c r="AT66" s="2"/>
      <c r="AU66" s="23"/>
      <c r="AV66" s="23"/>
      <c r="AW66" s="23"/>
      <c r="AX66" s="23"/>
      <c r="AY66" s="23"/>
      <c r="AZ66" s="23"/>
      <c r="BA66" s="23"/>
      <c r="BB66" s="23"/>
      <c r="BC66" s="79"/>
      <c r="BD66" s="79"/>
      <c r="BE66" s="79"/>
      <c r="BF66" s="79"/>
      <c r="BG66" s="23"/>
      <c r="BH66" s="23"/>
      <c r="BI66" s="23"/>
      <c r="BJ66" s="23"/>
      <c r="BK66" s="23"/>
      <c r="BL66" s="23"/>
      <c r="BM66" s="23"/>
      <c r="BN66" s="23"/>
      <c r="BO66" s="23"/>
      <c r="BP66" s="23"/>
      <c r="BQ66" s="23"/>
      <c r="BR66" s="23"/>
      <c r="BS66" s="23"/>
      <c r="BT66" s="23"/>
      <c r="BU66" s="23"/>
      <c r="BV66" s="23"/>
      <c r="BW66" s="23"/>
      <c r="BX66" s="23"/>
      <c r="BY66" s="23"/>
      <c r="BZ66" s="23"/>
      <c r="CA66" s="23"/>
      <c r="CB66" s="80"/>
      <c r="CC66" s="78"/>
      <c r="CD66" s="79"/>
      <c r="CE66" s="79"/>
      <c r="CF66" s="23"/>
      <c r="CG66" s="23"/>
      <c r="CH66" s="23"/>
      <c r="CI66" s="23"/>
      <c r="CJ66" s="23"/>
      <c r="CK66" s="23"/>
      <c r="CL66" s="23"/>
      <c r="CM66" s="23"/>
      <c r="CN66" s="23"/>
      <c r="CO66" s="23"/>
      <c r="CP66" s="23"/>
      <c r="CQ66" s="23"/>
      <c r="CR66" s="23"/>
      <c r="CS66" s="23"/>
      <c r="CT66" s="23"/>
      <c r="CU66" s="23"/>
      <c r="CV66" s="23"/>
      <c r="CW66" s="23"/>
      <c r="CX66" s="23"/>
      <c r="CY66" s="23"/>
      <c r="CZ66" s="23"/>
      <c r="DA66" s="80"/>
      <c r="DB66" s="78"/>
      <c r="DC66" s="79"/>
      <c r="DD66" s="79"/>
      <c r="DE66" s="23"/>
      <c r="DF66" s="23"/>
      <c r="DG66" s="23"/>
      <c r="DH66" s="23"/>
      <c r="DI66" s="23"/>
      <c r="DJ66" s="23"/>
      <c r="DK66" s="23"/>
      <c r="DL66" s="23"/>
      <c r="DM66" s="23"/>
      <c r="DN66" s="23"/>
      <c r="DO66" s="23"/>
      <c r="DP66" s="23"/>
      <c r="DQ66" s="23"/>
      <c r="DR66" s="23"/>
      <c r="DS66" s="23"/>
      <c r="DT66" s="23"/>
      <c r="DU66" s="23"/>
      <c r="DV66" s="23"/>
      <c r="DW66" s="23"/>
      <c r="DX66" s="23"/>
      <c r="DY66" s="23"/>
      <c r="DZ66" s="80"/>
      <c r="EA66" s="78"/>
      <c r="EB66" s="79"/>
      <c r="EC66" s="79"/>
      <c r="ED66" s="23"/>
      <c r="EE66" s="23"/>
      <c r="EF66" s="23"/>
      <c r="EG66" s="23"/>
      <c r="EH66" s="23"/>
      <c r="EI66" s="23"/>
      <c r="EJ66" s="23"/>
      <c r="EK66" s="23"/>
      <c r="EL66" s="23"/>
      <c r="EM66" s="23"/>
      <c r="EN66" s="23"/>
      <c r="EO66" s="23"/>
      <c r="EP66" s="23"/>
      <c r="EQ66" s="23"/>
      <c r="ER66" s="23"/>
      <c r="ES66" s="23"/>
      <c r="ET66" s="23"/>
      <c r="EU66" s="23"/>
      <c r="EV66" s="23"/>
      <c r="EW66" s="23"/>
      <c r="EX66" s="23"/>
      <c r="EY66" s="80"/>
      <c r="EZ66" s="78"/>
      <c r="FA66" s="79"/>
      <c r="FB66" s="79"/>
      <c r="FC66" s="23"/>
      <c r="FD66" s="23"/>
      <c r="FE66" s="23"/>
      <c r="FF66" s="23"/>
      <c r="FG66" s="23"/>
      <c r="FH66" s="23"/>
      <c r="FI66" s="23"/>
      <c r="FJ66" s="23"/>
      <c r="FK66" s="23"/>
      <c r="FL66" s="23"/>
      <c r="FM66" s="23"/>
      <c r="FN66" s="23"/>
      <c r="FO66" s="23"/>
      <c r="FP66" s="23"/>
      <c r="FQ66" s="23"/>
      <c r="FR66" s="23"/>
      <c r="FS66" s="23"/>
    </row>
    <row r="67" spans="1:175" ht="15" customHeight="1" thickBot="1" x14ac:dyDescent="0.4">
      <c r="A67" s="23"/>
      <c r="B67" s="23"/>
      <c r="C67" s="23"/>
      <c r="D67" s="23"/>
      <c r="E67" s="41"/>
      <c r="F67" s="19"/>
      <c r="G67" s="29"/>
      <c r="H67" s="29"/>
      <c r="I67" s="23"/>
      <c r="J67" s="23"/>
      <c r="K67" s="23"/>
      <c r="L67" s="23"/>
      <c r="M67" s="23"/>
      <c r="N67" s="23"/>
      <c r="O67" s="23"/>
      <c r="P67" s="23"/>
      <c r="Q67" s="23"/>
      <c r="R67" s="23"/>
      <c r="S67" s="23"/>
      <c r="T67" s="23"/>
      <c r="U67" s="23"/>
      <c r="V67" s="23"/>
      <c r="W67" s="23"/>
      <c r="X67" s="23"/>
      <c r="Y67" s="23"/>
      <c r="Z67" s="23"/>
      <c r="AA67" s="23"/>
      <c r="AB67" s="23"/>
      <c r="AC67" s="23"/>
      <c r="AD67" s="39"/>
      <c r="AE67" s="39"/>
      <c r="AF67" s="39"/>
      <c r="AG67" s="39"/>
      <c r="AH67" s="23"/>
      <c r="AI67" s="23"/>
      <c r="AJ67" s="23"/>
      <c r="AK67" s="23"/>
      <c r="AL67" s="23"/>
      <c r="AM67" s="23"/>
      <c r="AN67" s="23"/>
      <c r="AO67" s="23"/>
      <c r="AP67" s="23"/>
      <c r="AQ67" s="23"/>
      <c r="AR67" s="23"/>
      <c r="AS67" s="23"/>
      <c r="AT67" s="23"/>
      <c r="AU67" s="23"/>
      <c r="AV67" s="23"/>
      <c r="AW67" s="23"/>
      <c r="AX67" s="23"/>
      <c r="AY67" s="23"/>
      <c r="AZ67" s="23"/>
      <c r="BA67" s="23"/>
      <c r="BB67" s="23"/>
      <c r="BC67" s="79"/>
      <c r="BD67" s="79"/>
      <c r="BE67" s="79"/>
      <c r="BF67" s="79"/>
      <c r="BG67" s="23"/>
      <c r="BH67" s="23"/>
      <c r="BI67" s="23"/>
      <c r="BJ67" s="23"/>
      <c r="BK67" s="23"/>
      <c r="BL67" s="23"/>
      <c r="BM67" s="23"/>
      <c r="BN67" s="23"/>
      <c r="BO67" s="23"/>
      <c r="BP67" s="23"/>
      <c r="BQ67" s="23"/>
      <c r="BR67" s="23"/>
      <c r="BS67" s="23"/>
      <c r="BT67" s="23"/>
      <c r="BU67" s="23"/>
      <c r="BV67" s="23"/>
      <c r="BW67" s="23"/>
      <c r="BX67" s="23"/>
      <c r="BY67" s="23"/>
      <c r="BZ67" s="23"/>
      <c r="CA67" s="23"/>
      <c r="CB67" s="81"/>
      <c r="CC67" s="78"/>
      <c r="CD67" s="79"/>
      <c r="CE67" s="79"/>
      <c r="CF67" s="23"/>
      <c r="CG67" s="23"/>
      <c r="CH67" s="23"/>
      <c r="CI67" s="23"/>
      <c r="CJ67" s="23"/>
      <c r="CK67" s="23"/>
      <c r="CL67" s="23"/>
      <c r="CM67" s="23"/>
      <c r="CN67" s="23"/>
      <c r="CO67" s="23"/>
      <c r="CP67" s="23"/>
      <c r="CQ67" s="23"/>
      <c r="CR67" s="23"/>
      <c r="CS67" s="23"/>
      <c r="CT67" s="23"/>
      <c r="CU67" s="23"/>
      <c r="CV67" s="23"/>
      <c r="CW67" s="23"/>
      <c r="CX67" s="23"/>
      <c r="CY67" s="23"/>
      <c r="CZ67" s="23"/>
      <c r="DA67" s="81"/>
      <c r="DB67" s="78"/>
      <c r="DC67" s="79"/>
      <c r="DD67" s="79"/>
      <c r="DE67" s="23"/>
      <c r="DF67" s="23"/>
      <c r="DG67" s="23"/>
      <c r="DH67" s="23"/>
      <c r="DI67" s="23"/>
      <c r="DJ67" s="23"/>
      <c r="DK67" s="23"/>
      <c r="DL67" s="23"/>
      <c r="DM67" s="23"/>
      <c r="DN67" s="23"/>
      <c r="DO67" s="23"/>
      <c r="DP67" s="23"/>
      <c r="DQ67" s="23"/>
      <c r="DR67" s="23"/>
      <c r="DS67" s="23"/>
      <c r="DT67" s="23"/>
      <c r="DU67" s="23"/>
      <c r="DV67" s="23"/>
      <c r="DW67" s="23"/>
      <c r="DX67" s="23"/>
      <c r="DY67" s="23"/>
      <c r="DZ67" s="81"/>
      <c r="EA67" s="78"/>
      <c r="EB67" s="79"/>
      <c r="EC67" s="79"/>
      <c r="ED67" s="23"/>
      <c r="EE67" s="23"/>
      <c r="EF67" s="23"/>
      <c r="EG67" s="23"/>
      <c r="EH67" s="23"/>
      <c r="EI67" s="23"/>
      <c r="EJ67" s="23"/>
      <c r="EK67" s="23"/>
      <c r="EL67" s="23"/>
      <c r="EM67" s="23"/>
      <c r="EN67" s="23"/>
      <c r="EO67" s="23"/>
      <c r="EP67" s="23"/>
      <c r="EQ67" s="23"/>
      <c r="ER67" s="23"/>
      <c r="ES67" s="23"/>
      <c r="ET67" s="23"/>
      <c r="EU67" s="23"/>
      <c r="EV67" s="23"/>
      <c r="EW67" s="23"/>
      <c r="EX67" s="23"/>
      <c r="EY67" s="81"/>
      <c r="EZ67" s="78"/>
      <c r="FA67" s="79"/>
      <c r="FB67" s="79"/>
      <c r="FC67" s="23"/>
      <c r="FD67" s="23"/>
      <c r="FE67" s="23"/>
      <c r="FF67" s="23"/>
      <c r="FG67" s="23"/>
      <c r="FH67" s="23"/>
      <c r="FI67" s="23"/>
      <c r="FJ67" s="23"/>
      <c r="FK67" s="23"/>
      <c r="FL67" s="23"/>
      <c r="FM67" s="23"/>
      <c r="FN67" s="23"/>
      <c r="FO67" s="23"/>
      <c r="FP67" s="23"/>
      <c r="FQ67" s="23"/>
      <c r="FR67" s="23"/>
      <c r="FS67" s="23"/>
    </row>
    <row r="68" spans="1:175" ht="14.5" customHeight="1" x14ac:dyDescent="0.35">
      <c r="A68" s="23"/>
      <c r="B68" s="23"/>
      <c r="C68" s="23"/>
      <c r="D68" s="23"/>
      <c r="E68" s="40" t="s">
        <v>75</v>
      </c>
      <c r="F68" s="17">
        <f>D3-Weight1KG</f>
        <v>193.2844155844156</v>
      </c>
      <c r="G68" s="28"/>
      <c r="H68" s="28"/>
      <c r="I68" s="23"/>
      <c r="J68" s="23"/>
      <c r="K68" s="23"/>
      <c r="L68" s="23"/>
      <c r="M68" s="23"/>
      <c r="N68" s="23"/>
      <c r="O68" s="23"/>
      <c r="P68" s="23"/>
      <c r="Q68" s="23"/>
      <c r="R68" s="23"/>
      <c r="S68" s="23"/>
      <c r="T68" s="23"/>
      <c r="U68" s="23"/>
      <c r="V68" s="23"/>
      <c r="W68" s="23"/>
      <c r="X68" s="23"/>
      <c r="Y68" s="23"/>
      <c r="Z68" s="23"/>
      <c r="AA68" s="23"/>
      <c r="AB68" s="23"/>
      <c r="AC68" s="23"/>
      <c r="AD68" s="39"/>
      <c r="AE68" s="39"/>
      <c r="AF68" s="39"/>
      <c r="AG68" s="39"/>
      <c r="AH68" s="23"/>
      <c r="AI68" s="23"/>
      <c r="AJ68" s="23"/>
      <c r="AK68" s="23"/>
      <c r="AL68" s="23"/>
      <c r="AM68" s="23"/>
      <c r="AN68" s="23"/>
      <c r="AO68" s="23"/>
      <c r="AP68" s="23"/>
      <c r="AQ68" s="23"/>
      <c r="AR68" s="23"/>
      <c r="AS68" s="23"/>
      <c r="AT68" s="23"/>
      <c r="AU68" s="23"/>
      <c r="AV68" s="23"/>
      <c r="AW68" s="23"/>
      <c r="AX68" s="23"/>
      <c r="AY68" s="23"/>
      <c r="AZ68" s="23"/>
      <c r="BA68" s="23"/>
      <c r="BB68" s="23"/>
      <c r="BC68" s="79"/>
      <c r="BD68" s="79"/>
      <c r="BE68" s="79"/>
      <c r="BF68" s="79"/>
      <c r="BG68" s="23"/>
      <c r="BH68" s="23"/>
      <c r="BI68" s="23"/>
      <c r="BJ68" s="23"/>
      <c r="BK68" s="23"/>
      <c r="BL68" s="23"/>
      <c r="BM68" s="23"/>
      <c r="BN68" s="23"/>
      <c r="BO68" s="23"/>
      <c r="BP68" s="23"/>
      <c r="BQ68" s="23"/>
      <c r="BR68" s="23"/>
      <c r="BS68" s="23"/>
      <c r="BT68" s="23"/>
      <c r="BU68" s="23"/>
      <c r="BV68" s="23"/>
      <c r="BW68" s="23"/>
      <c r="BX68" s="23"/>
      <c r="BY68" s="23"/>
      <c r="BZ68" s="23"/>
      <c r="CA68" s="23"/>
      <c r="CB68" s="80" t="s">
        <v>75</v>
      </c>
      <c r="CC68" s="76"/>
      <c r="CD68" s="77"/>
      <c r="CE68" s="77"/>
      <c r="CF68" s="23"/>
      <c r="CG68" s="23"/>
      <c r="CH68" s="23"/>
      <c r="CI68" s="23"/>
      <c r="CJ68" s="23"/>
      <c r="CK68" s="23"/>
      <c r="CL68" s="23"/>
      <c r="CM68" s="23"/>
      <c r="CN68" s="23"/>
      <c r="CO68" s="23"/>
      <c r="CP68" s="23"/>
      <c r="CQ68" s="23"/>
      <c r="CR68" s="23"/>
      <c r="CS68" s="23"/>
      <c r="CT68" s="23"/>
      <c r="CU68" s="23"/>
      <c r="CV68" s="23"/>
      <c r="CW68" s="23"/>
      <c r="CX68" s="23"/>
      <c r="CY68" s="23"/>
      <c r="CZ68" s="23"/>
      <c r="DA68" s="80" t="s">
        <v>75</v>
      </c>
      <c r="DB68" s="76"/>
      <c r="DC68" s="77"/>
      <c r="DD68" s="77"/>
      <c r="DE68" s="23"/>
      <c r="DF68" s="23"/>
      <c r="DG68" s="23"/>
      <c r="DH68" s="23"/>
      <c r="DI68" s="23"/>
      <c r="DJ68" s="23"/>
      <c r="DK68" s="23"/>
      <c r="DL68" s="23"/>
      <c r="DM68" s="23"/>
      <c r="DN68" s="23"/>
      <c r="DO68" s="23"/>
      <c r="DP68" s="23"/>
      <c r="DQ68" s="23"/>
      <c r="DR68" s="23"/>
      <c r="DS68" s="23"/>
      <c r="DT68" s="23"/>
      <c r="DU68" s="23"/>
      <c r="DV68" s="23"/>
      <c r="DW68" s="23"/>
      <c r="DX68" s="23"/>
      <c r="DY68" s="23"/>
      <c r="DZ68" s="80" t="s">
        <v>75</v>
      </c>
      <c r="EA68" s="76"/>
      <c r="EB68" s="77"/>
      <c r="EC68" s="77"/>
      <c r="ED68" s="23"/>
      <c r="EE68" s="23"/>
      <c r="EF68" s="23"/>
      <c r="EG68" s="23"/>
      <c r="EH68" s="23"/>
      <c r="EI68" s="23"/>
      <c r="EJ68" s="23"/>
      <c r="EK68" s="23"/>
      <c r="EL68" s="23"/>
      <c r="EM68" s="23"/>
      <c r="EN68" s="23"/>
      <c r="EO68" s="23"/>
      <c r="EP68" s="23"/>
      <c r="EQ68" s="23"/>
      <c r="ER68" s="23"/>
      <c r="ES68" s="23"/>
      <c r="ET68" s="23"/>
      <c r="EU68" s="23"/>
      <c r="EV68" s="23"/>
      <c r="EW68" s="23"/>
      <c r="EX68" s="23"/>
      <c r="EY68" s="80" t="s">
        <v>75</v>
      </c>
      <c r="EZ68" s="76"/>
      <c r="FA68" s="77"/>
      <c r="FB68" s="77"/>
      <c r="FC68" s="23"/>
      <c r="FD68" s="23"/>
      <c r="FE68" s="23"/>
      <c r="FF68" s="23"/>
      <c r="FG68" s="23"/>
      <c r="FH68" s="23"/>
      <c r="FI68" s="23"/>
      <c r="FJ68" s="23"/>
      <c r="FK68" s="23"/>
      <c r="FL68" s="23"/>
      <c r="FM68" s="23"/>
      <c r="FN68" s="23"/>
      <c r="FO68" s="23"/>
      <c r="FP68" s="23"/>
      <c r="FQ68" s="23"/>
      <c r="FR68" s="23"/>
      <c r="FS68" s="23"/>
    </row>
    <row r="69" spans="1:175" ht="15" customHeight="1" x14ac:dyDescent="0.35">
      <c r="A69" s="23"/>
      <c r="B69" s="23"/>
      <c r="C69" s="23"/>
      <c r="D69" s="23"/>
      <c r="E69" s="40"/>
      <c r="F69" s="19"/>
      <c r="G69" s="29"/>
      <c r="H69" s="29"/>
      <c r="I69" s="23"/>
      <c r="J69" s="23"/>
      <c r="K69" s="23"/>
      <c r="L69" s="23"/>
      <c r="M69" s="23"/>
      <c r="N69" s="23"/>
      <c r="O69" s="23"/>
      <c r="P69" s="23"/>
      <c r="Q69" s="23"/>
      <c r="R69" s="23"/>
      <c r="S69" s="23"/>
      <c r="T69" s="23"/>
      <c r="U69" s="23"/>
      <c r="V69" s="23"/>
      <c r="W69" s="23"/>
      <c r="X69" s="23"/>
      <c r="Y69" s="23"/>
      <c r="Z69" s="23"/>
      <c r="AA69" s="23"/>
      <c r="AB69" s="23"/>
      <c r="AC69" s="23"/>
      <c r="AD69" s="39"/>
      <c r="AE69" s="39"/>
      <c r="AF69" s="39"/>
      <c r="AG69" s="39"/>
      <c r="AH69" s="23"/>
      <c r="AI69" s="23"/>
      <c r="AJ69" s="23"/>
      <c r="AK69" s="23"/>
      <c r="AL69" s="23"/>
      <c r="AM69" s="23"/>
      <c r="AN69" s="23"/>
      <c r="AO69" s="23"/>
      <c r="AP69" s="23"/>
      <c r="AQ69" s="23"/>
      <c r="AR69" s="23"/>
      <c r="AS69" s="23"/>
      <c r="AT69" s="23"/>
      <c r="AU69" s="23"/>
      <c r="AV69" s="23"/>
      <c r="AW69" s="23"/>
      <c r="AX69" s="23"/>
      <c r="AY69" s="23"/>
      <c r="AZ69" s="23"/>
      <c r="BA69" s="23"/>
      <c r="BB69" s="23"/>
      <c r="BC69" s="79"/>
      <c r="BD69" s="79"/>
      <c r="BE69" s="79"/>
      <c r="BF69" s="79"/>
      <c r="BG69" s="23"/>
      <c r="BH69" s="23"/>
      <c r="BI69" s="23"/>
      <c r="BJ69" s="23"/>
      <c r="BK69" s="23"/>
      <c r="BL69" s="23"/>
      <c r="BM69" s="23"/>
      <c r="BN69" s="23"/>
      <c r="BO69" s="23"/>
      <c r="BP69" s="23"/>
      <c r="BQ69" s="23"/>
      <c r="BR69" s="23"/>
      <c r="BS69" s="23"/>
      <c r="BT69" s="23"/>
      <c r="BU69" s="23"/>
      <c r="BV69" s="23"/>
      <c r="BW69" s="23"/>
      <c r="BX69" s="23"/>
      <c r="BY69" s="23"/>
      <c r="BZ69" s="23"/>
      <c r="CA69" s="23"/>
      <c r="CB69" s="80"/>
      <c r="CC69" s="78"/>
      <c r="CD69" s="79"/>
      <c r="CE69" s="79"/>
      <c r="CF69" s="23"/>
      <c r="CG69" s="23"/>
      <c r="CH69" s="23"/>
      <c r="CI69" s="23"/>
      <c r="CJ69" s="23"/>
      <c r="CK69" s="23"/>
      <c r="CL69" s="23"/>
      <c r="CM69" s="23"/>
      <c r="CN69" s="23"/>
      <c r="CO69" s="23"/>
      <c r="CP69" s="23"/>
      <c r="CQ69" s="23"/>
      <c r="CR69" s="23"/>
      <c r="CS69" s="23"/>
      <c r="CT69" s="23"/>
      <c r="CU69" s="23"/>
      <c r="CV69" s="23"/>
      <c r="CW69" s="23"/>
      <c r="CX69" s="23"/>
      <c r="CY69" s="23"/>
      <c r="CZ69" s="23"/>
      <c r="DA69" s="80"/>
      <c r="DB69" s="78"/>
      <c r="DC69" s="79"/>
      <c r="DD69" s="79"/>
      <c r="DE69" s="23"/>
      <c r="DF69" s="23"/>
      <c r="DG69" s="23"/>
      <c r="DH69" s="23"/>
      <c r="DI69" s="23"/>
      <c r="DJ69" s="23"/>
      <c r="DK69" s="23"/>
      <c r="DL69" s="23"/>
      <c r="DM69" s="23"/>
      <c r="DN69" s="23"/>
      <c r="DO69" s="23"/>
      <c r="DP69" s="23"/>
      <c r="DQ69" s="23"/>
      <c r="DR69" s="23"/>
      <c r="DS69" s="23"/>
      <c r="DT69" s="23"/>
      <c r="DU69" s="23"/>
      <c r="DV69" s="23"/>
      <c r="DW69" s="23"/>
      <c r="DX69" s="23"/>
      <c r="DY69" s="23"/>
      <c r="DZ69" s="80"/>
      <c r="EA69" s="78"/>
      <c r="EB69" s="79"/>
      <c r="EC69" s="79"/>
      <c r="ED69" s="23"/>
      <c r="EE69" s="23"/>
      <c r="EF69" s="23"/>
      <c r="EG69" s="23"/>
      <c r="EH69" s="23"/>
      <c r="EI69" s="23"/>
      <c r="EJ69" s="23"/>
      <c r="EK69" s="23"/>
      <c r="EL69" s="23"/>
      <c r="EM69" s="23"/>
      <c r="EN69" s="23"/>
      <c r="EO69" s="23"/>
      <c r="EP69" s="23"/>
      <c r="EQ69" s="23"/>
      <c r="ER69" s="23"/>
      <c r="ES69" s="23"/>
      <c r="ET69" s="23"/>
      <c r="EU69" s="23"/>
      <c r="EV69" s="23"/>
      <c r="EW69" s="23"/>
      <c r="EX69" s="23"/>
      <c r="EY69" s="80"/>
      <c r="EZ69" s="78"/>
      <c r="FA69" s="79"/>
      <c r="FB69" s="79"/>
      <c r="FC69" s="23"/>
      <c r="FD69" s="23"/>
      <c r="FE69" s="23"/>
      <c r="FF69" s="23"/>
      <c r="FG69" s="23"/>
      <c r="FH69" s="23"/>
      <c r="FI69" s="23"/>
      <c r="FJ69" s="23"/>
      <c r="FK69" s="23"/>
      <c r="FL69" s="23"/>
      <c r="FM69" s="23"/>
      <c r="FN69" s="23"/>
      <c r="FO69" s="23"/>
      <c r="FP69" s="23"/>
      <c r="FQ69" s="23"/>
      <c r="FR69" s="23"/>
      <c r="FS69" s="23"/>
    </row>
    <row r="70" spans="1:175" ht="14.5" customHeight="1" x14ac:dyDescent="0.35">
      <c r="A70" s="23"/>
      <c r="B70" s="23"/>
      <c r="C70" s="23"/>
      <c r="D70" s="23"/>
      <c r="E70" s="40"/>
      <c r="F70" s="19"/>
      <c r="G70" s="29"/>
      <c r="H70" s="29"/>
      <c r="I70" s="23"/>
      <c r="J70" s="23"/>
      <c r="K70" s="23"/>
      <c r="L70" s="23"/>
      <c r="M70" s="23"/>
      <c r="N70" s="23"/>
      <c r="O70" s="23"/>
      <c r="P70" s="23"/>
      <c r="Q70" s="23"/>
      <c r="R70" s="23"/>
      <c r="S70" s="23"/>
      <c r="T70" s="23"/>
      <c r="U70" s="23"/>
      <c r="V70" s="23"/>
      <c r="W70" s="23"/>
      <c r="X70" s="23"/>
      <c r="Y70" s="23"/>
      <c r="Z70" s="23"/>
      <c r="AA70" s="23"/>
      <c r="AB70" s="23"/>
      <c r="AC70" s="23"/>
      <c r="AD70" s="39"/>
      <c r="AE70" s="39"/>
      <c r="AF70" s="39"/>
      <c r="AG70" s="39"/>
      <c r="AH70" s="23"/>
      <c r="AI70" s="23"/>
      <c r="AJ70" s="23"/>
      <c r="AK70" s="23"/>
      <c r="AL70" s="23"/>
      <c r="AM70" s="23"/>
      <c r="AN70" s="23"/>
      <c r="AO70" s="23"/>
      <c r="AP70" s="23"/>
      <c r="AQ70" s="23"/>
      <c r="AR70" s="23"/>
      <c r="AS70" s="23"/>
      <c r="AT70" s="23"/>
      <c r="AU70" s="23"/>
      <c r="AV70" s="23"/>
      <c r="AW70" s="23"/>
      <c r="AX70" s="23"/>
      <c r="AY70" s="23"/>
      <c r="AZ70" s="23"/>
      <c r="BA70" s="23"/>
      <c r="BB70" s="23"/>
      <c r="BC70" s="79"/>
      <c r="BD70" s="79"/>
      <c r="BE70" s="79"/>
      <c r="BF70" s="79"/>
      <c r="BG70" s="23"/>
      <c r="BH70" s="23"/>
      <c r="BI70" s="23"/>
      <c r="BJ70" s="23"/>
      <c r="BK70" s="23"/>
      <c r="BL70" s="23"/>
      <c r="BM70" s="23"/>
      <c r="BN70" s="23"/>
      <c r="BO70" s="23"/>
      <c r="BP70" s="23"/>
      <c r="BQ70" s="23"/>
      <c r="BR70" s="23"/>
      <c r="BS70" s="23"/>
      <c r="BT70" s="23"/>
      <c r="BU70" s="23"/>
      <c r="BV70" s="23"/>
      <c r="BW70" s="23"/>
      <c r="BX70" s="23"/>
      <c r="BY70" s="23"/>
      <c r="BZ70" s="23"/>
      <c r="CA70" s="23"/>
      <c r="CB70" s="80"/>
      <c r="CC70" s="78"/>
      <c r="CD70" s="79"/>
      <c r="CE70" s="79"/>
      <c r="CF70" s="23"/>
      <c r="CG70" s="23"/>
      <c r="CH70" s="23"/>
      <c r="CI70" s="23"/>
      <c r="CJ70" s="23"/>
      <c r="CK70" s="23"/>
      <c r="CL70" s="23"/>
      <c r="CM70" s="23"/>
      <c r="CN70" s="23"/>
      <c r="CO70" s="23"/>
      <c r="CP70" s="23"/>
      <c r="CQ70" s="23"/>
      <c r="CR70" s="23"/>
      <c r="CS70" s="23"/>
      <c r="CT70" s="23"/>
      <c r="CU70" s="23"/>
      <c r="CV70" s="23"/>
      <c r="CW70" s="23"/>
      <c r="CX70" s="23"/>
      <c r="CY70" s="23"/>
      <c r="CZ70" s="23"/>
      <c r="DA70" s="80"/>
      <c r="DB70" s="78"/>
      <c r="DC70" s="79"/>
      <c r="DD70" s="79"/>
      <c r="DE70" s="23"/>
      <c r="DF70" s="23"/>
      <c r="DG70" s="23"/>
      <c r="DH70" s="23"/>
      <c r="DI70" s="23"/>
      <c r="DJ70" s="23"/>
      <c r="DK70" s="23"/>
      <c r="DL70" s="23"/>
      <c r="DM70" s="23"/>
      <c r="DN70" s="23"/>
      <c r="DO70" s="23"/>
      <c r="DP70" s="23"/>
      <c r="DQ70" s="23"/>
      <c r="DR70" s="23"/>
      <c r="DS70" s="23"/>
      <c r="DT70" s="23"/>
      <c r="DU70" s="23"/>
      <c r="DV70" s="23"/>
      <c r="DW70" s="23"/>
      <c r="DX70" s="23"/>
      <c r="DY70" s="23"/>
      <c r="DZ70" s="80"/>
      <c r="EA70" s="78"/>
      <c r="EB70" s="79"/>
      <c r="EC70" s="79"/>
      <c r="ED70" s="23"/>
      <c r="EE70" s="23"/>
      <c r="EF70" s="23"/>
      <c r="EG70" s="23"/>
      <c r="EH70" s="23"/>
      <c r="EI70" s="23"/>
      <c r="EJ70" s="23"/>
      <c r="EK70" s="23"/>
      <c r="EL70" s="23"/>
      <c r="EM70" s="23"/>
      <c r="EN70" s="23"/>
      <c r="EO70" s="23"/>
      <c r="EP70" s="23"/>
      <c r="EQ70" s="23"/>
      <c r="ER70" s="23"/>
      <c r="ES70" s="23"/>
      <c r="ET70" s="23"/>
      <c r="EU70" s="23"/>
      <c r="EV70" s="23"/>
      <c r="EW70" s="23"/>
      <c r="EX70" s="23"/>
      <c r="EY70" s="80"/>
      <c r="EZ70" s="78"/>
      <c r="FA70" s="79"/>
      <c r="FB70" s="79"/>
      <c r="FC70" s="23"/>
      <c r="FD70" s="23"/>
      <c r="FE70" s="23"/>
      <c r="FF70" s="23"/>
      <c r="FG70" s="23"/>
      <c r="FH70" s="23"/>
      <c r="FI70" s="23"/>
      <c r="FJ70" s="23"/>
      <c r="FK70" s="23"/>
      <c r="FL70" s="23"/>
      <c r="FM70" s="23"/>
      <c r="FN70" s="23"/>
      <c r="FO70" s="23"/>
      <c r="FP70" s="23"/>
      <c r="FQ70" s="23"/>
      <c r="FR70" s="23"/>
      <c r="FS70" s="23"/>
    </row>
    <row r="71" spans="1:175" ht="15" customHeight="1" thickBot="1" x14ac:dyDescent="0.4">
      <c r="A71" s="23"/>
      <c r="B71" s="23"/>
      <c r="C71" s="23"/>
      <c r="D71" s="23"/>
      <c r="E71" s="41"/>
      <c r="F71" s="19"/>
      <c r="G71" s="29"/>
      <c r="H71" s="29"/>
      <c r="I71" s="23"/>
      <c r="J71" s="23"/>
      <c r="K71" s="23"/>
      <c r="L71" s="23"/>
      <c r="M71" s="23"/>
      <c r="N71" s="23"/>
      <c r="O71" s="23"/>
      <c r="P71" s="23"/>
      <c r="Q71" s="23"/>
      <c r="R71" s="23"/>
      <c r="S71" s="23"/>
      <c r="T71" s="23"/>
      <c r="U71" s="23"/>
      <c r="V71" s="23"/>
      <c r="W71" s="23"/>
      <c r="X71" s="23"/>
      <c r="Y71" s="23"/>
      <c r="Z71" s="23"/>
      <c r="AA71" s="23"/>
      <c r="AB71" s="23"/>
      <c r="AC71" s="23"/>
      <c r="AD71" s="39"/>
      <c r="AE71" s="39"/>
      <c r="AF71" s="39"/>
      <c r="AG71" s="39"/>
      <c r="AH71" s="23"/>
      <c r="AI71" s="23"/>
      <c r="AJ71" s="23"/>
      <c r="AK71" s="23"/>
      <c r="AL71" s="23"/>
      <c r="AM71" s="23"/>
      <c r="AN71" s="23"/>
      <c r="AO71" s="23"/>
      <c r="AP71" s="23"/>
      <c r="AQ71" s="23"/>
      <c r="AR71" s="23"/>
      <c r="AS71" s="23"/>
      <c r="AT71" s="23"/>
      <c r="AU71" s="23"/>
      <c r="AV71" s="23"/>
      <c r="AW71" s="23"/>
      <c r="AX71" s="23"/>
      <c r="AY71" s="23"/>
      <c r="AZ71" s="23"/>
      <c r="BA71" s="23"/>
      <c r="BB71" s="23"/>
      <c r="BC71" s="79"/>
      <c r="BD71" s="79"/>
      <c r="BE71" s="79"/>
      <c r="BF71" s="79"/>
      <c r="BG71" s="23"/>
      <c r="BH71" s="23"/>
      <c r="BI71" s="23"/>
      <c r="BJ71" s="23"/>
      <c r="BK71" s="23"/>
      <c r="BL71" s="23"/>
      <c r="BM71" s="23"/>
      <c r="BN71" s="23"/>
      <c r="BO71" s="23"/>
      <c r="BP71" s="23"/>
      <c r="BQ71" s="23"/>
      <c r="BR71" s="23"/>
      <c r="BS71" s="23"/>
      <c r="BT71" s="23"/>
      <c r="BU71" s="23"/>
      <c r="BV71" s="23"/>
      <c r="BW71" s="23"/>
      <c r="BX71" s="23"/>
      <c r="BY71" s="23"/>
      <c r="BZ71" s="23"/>
      <c r="CA71" s="23"/>
      <c r="CB71" s="81"/>
      <c r="CC71" s="78"/>
      <c r="CD71" s="79"/>
      <c r="CE71" s="79"/>
      <c r="CF71" s="23"/>
      <c r="CG71" s="23"/>
      <c r="CH71" s="23"/>
      <c r="CI71" s="23"/>
      <c r="CJ71" s="23"/>
      <c r="CK71" s="23"/>
      <c r="CL71" s="23"/>
      <c r="CM71" s="23"/>
      <c r="CN71" s="23"/>
      <c r="CO71" s="23"/>
      <c r="CP71" s="23"/>
      <c r="CQ71" s="23"/>
      <c r="CR71" s="23"/>
      <c r="CS71" s="23"/>
      <c r="CT71" s="23"/>
      <c r="CU71" s="23"/>
      <c r="CV71" s="23"/>
      <c r="CW71" s="23"/>
      <c r="CX71" s="23"/>
      <c r="CY71" s="23"/>
      <c r="CZ71" s="23"/>
      <c r="DA71" s="81"/>
      <c r="DB71" s="78"/>
      <c r="DC71" s="79"/>
      <c r="DD71" s="79"/>
      <c r="DE71" s="23"/>
      <c r="DF71" s="23"/>
      <c r="DG71" s="23"/>
      <c r="DH71" s="23"/>
      <c r="DI71" s="23"/>
      <c r="DJ71" s="23"/>
      <c r="DK71" s="23"/>
      <c r="DL71" s="23"/>
      <c r="DM71" s="23"/>
      <c r="DN71" s="23"/>
      <c r="DO71" s="23"/>
      <c r="DP71" s="23"/>
      <c r="DQ71" s="23"/>
      <c r="DR71" s="23"/>
      <c r="DS71" s="23"/>
      <c r="DT71" s="23"/>
      <c r="DU71" s="23"/>
      <c r="DV71" s="23"/>
      <c r="DW71" s="23"/>
      <c r="DX71" s="23"/>
      <c r="DY71" s="23"/>
      <c r="DZ71" s="81"/>
      <c r="EA71" s="78"/>
      <c r="EB71" s="79"/>
      <c r="EC71" s="79"/>
      <c r="ED71" s="23"/>
      <c r="EE71" s="23"/>
      <c r="EF71" s="23"/>
      <c r="EG71" s="23"/>
      <c r="EH71" s="23"/>
      <c r="EI71" s="23"/>
      <c r="EJ71" s="23"/>
      <c r="EK71" s="23"/>
      <c r="EL71" s="23"/>
      <c r="EM71" s="23"/>
      <c r="EN71" s="23"/>
      <c r="EO71" s="23"/>
      <c r="EP71" s="23"/>
      <c r="EQ71" s="23"/>
      <c r="ER71" s="23"/>
      <c r="ES71" s="23"/>
      <c r="ET71" s="23"/>
      <c r="EU71" s="23"/>
      <c r="EV71" s="23"/>
      <c r="EW71" s="23"/>
      <c r="EX71" s="23"/>
      <c r="EY71" s="81"/>
      <c r="EZ71" s="78"/>
      <c r="FA71" s="79"/>
      <c r="FB71" s="79"/>
      <c r="FC71" s="23"/>
      <c r="FD71" s="23"/>
      <c r="FE71" s="23"/>
      <c r="FF71" s="23"/>
      <c r="FG71" s="23"/>
      <c r="FH71" s="23"/>
      <c r="FI71" s="23"/>
      <c r="FJ71" s="23"/>
      <c r="FK71" s="23"/>
      <c r="FL71" s="23"/>
      <c r="FM71" s="23"/>
      <c r="FN71" s="23"/>
      <c r="FO71" s="23"/>
      <c r="FP71" s="23"/>
      <c r="FQ71" s="23"/>
      <c r="FR71" s="23"/>
      <c r="FS71" s="23"/>
    </row>
    <row r="72" spans="1:175" ht="14.5" customHeight="1" x14ac:dyDescent="0.35">
      <c r="A72" s="23"/>
      <c r="B72" s="23"/>
      <c r="C72" s="23"/>
      <c r="D72" s="23"/>
      <c r="E72" s="40" t="s">
        <v>76</v>
      </c>
      <c r="F72" s="17">
        <f>Week1endweight/(HeightMeters*HeightMeters)</f>
        <v>48.321103896103899</v>
      </c>
      <c r="G72" s="28"/>
      <c r="H72" s="28"/>
      <c r="I72" s="23"/>
      <c r="J72" s="23"/>
      <c r="K72" s="23"/>
      <c r="L72" s="23"/>
      <c r="M72" s="23"/>
      <c r="N72" s="23"/>
      <c r="O72" s="23"/>
      <c r="P72" s="23"/>
      <c r="Q72" s="23"/>
      <c r="R72" s="23"/>
      <c r="S72" s="23"/>
      <c r="T72" s="23"/>
      <c r="U72" s="23"/>
      <c r="V72" s="23"/>
      <c r="W72" s="23"/>
      <c r="X72" s="23"/>
      <c r="Y72" s="23"/>
      <c r="Z72" s="23"/>
      <c r="AA72" s="23"/>
      <c r="AB72" s="23"/>
      <c r="AC72" s="23"/>
      <c r="AD72" s="39"/>
      <c r="AE72" s="39"/>
      <c r="AF72" s="39"/>
      <c r="AG72" s="39"/>
      <c r="AH72" s="23"/>
      <c r="AI72" s="23"/>
      <c r="AJ72" s="23"/>
      <c r="AK72" s="23"/>
      <c r="AL72" s="23"/>
      <c r="AM72" s="23"/>
      <c r="AN72" s="23"/>
      <c r="AO72" s="23"/>
      <c r="AP72" s="23"/>
      <c r="AQ72" s="23"/>
      <c r="AR72" s="23"/>
      <c r="AS72" s="23"/>
      <c r="AT72" s="23"/>
      <c r="AU72" s="23"/>
      <c r="AV72" s="23"/>
      <c r="AW72" s="23"/>
      <c r="AX72" s="23"/>
      <c r="AY72" s="23"/>
      <c r="AZ72" s="23"/>
      <c r="BA72" s="23"/>
      <c r="BB72" s="23"/>
      <c r="BC72" s="79"/>
      <c r="BD72" s="79"/>
      <c r="BE72" s="79"/>
      <c r="BF72" s="79"/>
      <c r="BG72" s="23"/>
      <c r="BH72" s="23"/>
      <c r="BI72" s="23"/>
      <c r="BJ72" s="23"/>
      <c r="BK72" s="23"/>
      <c r="BL72" s="23"/>
      <c r="BM72" s="23"/>
      <c r="BN72" s="23"/>
      <c r="BO72" s="23"/>
      <c r="BP72" s="23"/>
      <c r="BQ72" s="23"/>
      <c r="BR72" s="23"/>
      <c r="BS72" s="23"/>
      <c r="BT72" s="23"/>
      <c r="BU72" s="23"/>
      <c r="BV72" s="23"/>
      <c r="BW72" s="23"/>
      <c r="BX72" s="23"/>
      <c r="BY72" s="23"/>
      <c r="BZ72" s="23"/>
      <c r="CA72" s="23"/>
      <c r="CB72" s="80" t="s">
        <v>76</v>
      </c>
      <c r="CC72" s="76"/>
      <c r="CD72" s="77"/>
      <c r="CE72" s="77"/>
      <c r="CF72" s="23"/>
      <c r="CG72" s="23"/>
      <c r="CH72" s="23"/>
      <c r="CI72" s="23"/>
      <c r="CJ72" s="23"/>
      <c r="CK72" s="23"/>
      <c r="CL72" s="23"/>
      <c r="CM72" s="23"/>
      <c r="CN72" s="23"/>
      <c r="CO72" s="23"/>
      <c r="CP72" s="23"/>
      <c r="CQ72" s="23"/>
      <c r="CR72" s="23"/>
      <c r="CS72" s="23"/>
      <c r="CT72" s="23"/>
      <c r="CU72" s="23"/>
      <c r="CV72" s="23"/>
      <c r="CW72" s="23"/>
      <c r="CX72" s="23"/>
      <c r="CY72" s="23"/>
      <c r="CZ72" s="23"/>
      <c r="DA72" s="80" t="s">
        <v>76</v>
      </c>
      <c r="DB72" s="76"/>
      <c r="DC72" s="77"/>
      <c r="DD72" s="77"/>
      <c r="DE72" s="23"/>
      <c r="DF72" s="23"/>
      <c r="DG72" s="23"/>
      <c r="DH72" s="23"/>
      <c r="DI72" s="23"/>
      <c r="DJ72" s="23"/>
      <c r="DK72" s="23"/>
      <c r="DL72" s="23"/>
      <c r="DM72" s="23"/>
      <c r="DN72" s="23"/>
      <c r="DO72" s="23"/>
      <c r="DP72" s="23"/>
      <c r="DQ72" s="23"/>
      <c r="DR72" s="23"/>
      <c r="DS72" s="23"/>
      <c r="DT72" s="23"/>
      <c r="DU72" s="23"/>
      <c r="DV72" s="23"/>
      <c r="DW72" s="23"/>
      <c r="DX72" s="23"/>
      <c r="DY72" s="23"/>
      <c r="DZ72" s="80" t="s">
        <v>76</v>
      </c>
      <c r="EA72" s="76"/>
      <c r="EB72" s="77"/>
      <c r="EC72" s="77"/>
      <c r="ED72" s="23"/>
      <c r="EE72" s="23"/>
      <c r="EF72" s="23"/>
      <c r="EG72" s="23"/>
      <c r="EH72" s="23"/>
      <c r="EI72" s="23"/>
      <c r="EJ72" s="23"/>
      <c r="EK72" s="23"/>
      <c r="EL72" s="23"/>
      <c r="EM72" s="23"/>
      <c r="EN72" s="23"/>
      <c r="EO72" s="23"/>
      <c r="EP72" s="23"/>
      <c r="EQ72" s="23"/>
      <c r="ER72" s="23"/>
      <c r="ES72" s="23"/>
      <c r="ET72" s="23"/>
      <c r="EU72" s="23"/>
      <c r="EV72" s="23"/>
      <c r="EW72" s="23"/>
      <c r="EX72" s="23"/>
      <c r="EY72" s="80" t="s">
        <v>76</v>
      </c>
      <c r="EZ72" s="76"/>
      <c r="FA72" s="77"/>
      <c r="FB72" s="77"/>
      <c r="FC72" s="23"/>
      <c r="FD72" s="23"/>
      <c r="FE72" s="23"/>
      <c r="FF72" s="23"/>
      <c r="FG72" s="23"/>
      <c r="FH72" s="23"/>
      <c r="FI72" s="23"/>
      <c r="FJ72" s="23"/>
      <c r="FK72" s="23"/>
      <c r="FL72" s="23"/>
      <c r="FM72" s="23"/>
      <c r="FN72" s="23"/>
      <c r="FO72" s="23"/>
      <c r="FP72" s="23"/>
      <c r="FQ72" s="23"/>
      <c r="FR72" s="23"/>
      <c r="FS72" s="23"/>
    </row>
    <row r="73" spans="1:175" ht="15" customHeight="1" x14ac:dyDescent="0.35">
      <c r="A73" s="23"/>
      <c r="B73" s="23"/>
      <c r="C73" s="23"/>
      <c r="D73" s="23"/>
      <c r="E73" s="40"/>
      <c r="F73" s="19"/>
      <c r="G73" s="29"/>
      <c r="H73" s="29"/>
      <c r="I73" s="23"/>
      <c r="J73" s="23"/>
      <c r="K73" s="23"/>
      <c r="L73" s="23"/>
      <c r="M73" s="23"/>
      <c r="N73" s="23"/>
      <c r="O73" s="23"/>
      <c r="P73" s="23"/>
      <c r="Q73" s="23"/>
      <c r="R73" s="23"/>
      <c r="S73" s="23"/>
      <c r="T73" s="23"/>
      <c r="U73" s="23"/>
      <c r="V73" s="23"/>
      <c r="W73" s="23"/>
      <c r="X73" s="23"/>
      <c r="Y73" s="23"/>
      <c r="Z73" s="23"/>
      <c r="AA73" s="23"/>
      <c r="AB73" s="23"/>
      <c r="AC73" s="23"/>
      <c r="AD73" s="39"/>
      <c r="AE73" s="39"/>
      <c r="AF73" s="39"/>
      <c r="AG73" s="39"/>
      <c r="AH73" s="23"/>
      <c r="AI73" s="23"/>
      <c r="AJ73" s="23"/>
      <c r="AK73" s="23"/>
      <c r="AL73" s="23"/>
      <c r="AM73" s="23"/>
      <c r="AN73" s="23"/>
      <c r="AO73" s="23"/>
      <c r="AP73" s="23"/>
      <c r="AQ73" s="23"/>
      <c r="AR73" s="23"/>
      <c r="AS73" s="23"/>
      <c r="AT73" s="23"/>
      <c r="AU73" s="23"/>
      <c r="AV73" s="23"/>
      <c r="AW73" s="23"/>
      <c r="AX73" s="23"/>
      <c r="AY73" s="23"/>
      <c r="AZ73" s="23"/>
      <c r="BA73" s="23"/>
      <c r="BB73" s="23"/>
      <c r="BC73" s="79"/>
      <c r="BD73" s="79"/>
      <c r="BE73" s="79"/>
      <c r="BF73" s="79"/>
      <c r="BG73" s="23"/>
      <c r="BH73" s="23"/>
      <c r="BI73" s="23"/>
      <c r="BJ73" s="23"/>
      <c r="BK73" s="23"/>
      <c r="BL73" s="23"/>
      <c r="BM73" s="23"/>
      <c r="BN73" s="23"/>
      <c r="BO73" s="23"/>
      <c r="BP73" s="23"/>
      <c r="BQ73" s="23"/>
      <c r="BR73" s="23"/>
      <c r="BS73" s="23"/>
      <c r="BT73" s="23"/>
      <c r="BU73" s="23"/>
      <c r="BV73" s="23"/>
      <c r="BW73" s="23"/>
      <c r="BX73" s="23"/>
      <c r="BY73" s="23"/>
      <c r="BZ73" s="23"/>
      <c r="CA73" s="23"/>
      <c r="CB73" s="80"/>
      <c r="CC73" s="78"/>
      <c r="CD73" s="79"/>
      <c r="CE73" s="79"/>
      <c r="CF73" s="23"/>
      <c r="CG73" s="23"/>
      <c r="CH73" s="23"/>
      <c r="CI73" s="23"/>
      <c r="CJ73" s="23"/>
      <c r="CK73" s="23"/>
      <c r="CL73" s="23"/>
      <c r="CM73" s="23"/>
      <c r="CN73" s="23"/>
      <c r="CO73" s="23"/>
      <c r="CP73" s="23"/>
      <c r="CQ73" s="23"/>
      <c r="CR73" s="23"/>
      <c r="CS73" s="23"/>
      <c r="CT73" s="23"/>
      <c r="CU73" s="23"/>
      <c r="CV73" s="23"/>
      <c r="CW73" s="23"/>
      <c r="CX73" s="23"/>
      <c r="CY73" s="23"/>
      <c r="CZ73" s="23"/>
      <c r="DA73" s="80"/>
      <c r="DB73" s="78"/>
      <c r="DC73" s="79"/>
      <c r="DD73" s="79"/>
      <c r="DE73" s="23"/>
      <c r="DF73" s="23"/>
      <c r="DG73" s="23"/>
      <c r="DH73" s="23"/>
      <c r="DI73" s="23"/>
      <c r="DJ73" s="23"/>
      <c r="DK73" s="23"/>
      <c r="DL73" s="23"/>
      <c r="DM73" s="23"/>
      <c r="DN73" s="23"/>
      <c r="DO73" s="23"/>
      <c r="DP73" s="23"/>
      <c r="DQ73" s="23"/>
      <c r="DR73" s="23"/>
      <c r="DS73" s="23"/>
      <c r="DT73" s="23"/>
      <c r="DU73" s="23"/>
      <c r="DV73" s="23"/>
      <c r="DW73" s="23"/>
      <c r="DX73" s="23"/>
      <c r="DY73" s="23"/>
      <c r="DZ73" s="80"/>
      <c r="EA73" s="78"/>
      <c r="EB73" s="79"/>
      <c r="EC73" s="79"/>
      <c r="ED73" s="23"/>
      <c r="EE73" s="23"/>
      <c r="EF73" s="23"/>
      <c r="EG73" s="23"/>
      <c r="EH73" s="23"/>
      <c r="EI73" s="23"/>
      <c r="EJ73" s="23"/>
      <c r="EK73" s="23"/>
      <c r="EL73" s="23"/>
      <c r="EM73" s="23"/>
      <c r="EN73" s="23"/>
      <c r="EO73" s="23"/>
      <c r="EP73" s="23"/>
      <c r="EQ73" s="23"/>
      <c r="ER73" s="23"/>
      <c r="ES73" s="23"/>
      <c r="ET73" s="23"/>
      <c r="EU73" s="23"/>
      <c r="EV73" s="23"/>
      <c r="EW73" s="23"/>
      <c r="EX73" s="23"/>
      <c r="EY73" s="80"/>
      <c r="EZ73" s="78"/>
      <c r="FA73" s="79"/>
      <c r="FB73" s="79"/>
      <c r="FC73" s="23"/>
      <c r="FD73" s="23"/>
      <c r="FE73" s="23"/>
      <c r="FF73" s="23"/>
      <c r="FG73" s="23"/>
      <c r="FH73" s="23"/>
      <c r="FI73" s="23"/>
      <c r="FJ73" s="23"/>
      <c r="FK73" s="23"/>
      <c r="FL73" s="23"/>
      <c r="FM73" s="23"/>
      <c r="FN73" s="23"/>
      <c r="FO73" s="23"/>
      <c r="FP73" s="23"/>
      <c r="FQ73" s="23"/>
      <c r="FR73" s="23"/>
      <c r="FS73" s="23"/>
    </row>
    <row r="74" spans="1:175" ht="14.5" customHeight="1" x14ac:dyDescent="0.35">
      <c r="A74" s="23"/>
      <c r="B74" s="23"/>
      <c r="C74" s="23"/>
      <c r="D74" s="23"/>
      <c r="E74" s="40"/>
      <c r="F74" s="19"/>
      <c r="G74" s="29"/>
      <c r="H74" s="29"/>
      <c r="I74" s="23"/>
      <c r="J74" s="23"/>
      <c r="K74" s="23"/>
      <c r="L74" s="23"/>
      <c r="M74" s="23"/>
      <c r="N74" s="23"/>
      <c r="O74" s="23"/>
      <c r="P74" s="23"/>
      <c r="Q74" s="23"/>
      <c r="R74" s="23"/>
      <c r="S74" s="23"/>
      <c r="T74" s="23"/>
      <c r="U74" s="23"/>
      <c r="V74" s="23"/>
      <c r="W74" s="23"/>
      <c r="X74" s="23"/>
      <c r="Y74" s="23"/>
      <c r="Z74" s="23"/>
      <c r="AA74" s="23"/>
      <c r="AB74" s="23"/>
      <c r="AC74" s="23"/>
      <c r="AD74" s="39"/>
      <c r="AE74" s="39"/>
      <c r="AF74" s="39"/>
      <c r="AG74" s="39"/>
      <c r="AH74" s="23"/>
      <c r="AI74" s="23"/>
      <c r="AJ74" s="23"/>
      <c r="AK74" s="23"/>
      <c r="AL74" s="23"/>
      <c r="AM74" s="23"/>
      <c r="AN74" s="23"/>
      <c r="AO74" s="23"/>
      <c r="AP74" s="23"/>
      <c r="AQ74" s="23"/>
      <c r="AR74" s="23"/>
      <c r="AS74" s="23"/>
      <c r="AT74" s="23"/>
      <c r="AU74" s="23"/>
      <c r="AV74" s="23"/>
      <c r="AW74" s="23"/>
      <c r="AX74" s="23"/>
      <c r="AY74" s="23"/>
      <c r="AZ74" s="23"/>
      <c r="BA74" s="23"/>
      <c r="BB74" s="23"/>
      <c r="BC74" s="79"/>
      <c r="BD74" s="79"/>
      <c r="BE74" s="79"/>
      <c r="BF74" s="79"/>
      <c r="BG74" s="23"/>
      <c r="BH74" s="23"/>
      <c r="BI74" s="23"/>
      <c r="BJ74" s="23"/>
      <c r="BK74" s="23"/>
      <c r="BL74" s="23"/>
      <c r="BM74" s="23"/>
      <c r="BN74" s="23"/>
      <c r="BO74" s="23"/>
      <c r="BP74" s="23"/>
      <c r="BQ74" s="23"/>
      <c r="BR74" s="23"/>
      <c r="BS74" s="23"/>
      <c r="BT74" s="23"/>
      <c r="BU74" s="23"/>
      <c r="BV74" s="23"/>
      <c r="BW74" s="23"/>
      <c r="BX74" s="23"/>
      <c r="BY74" s="23"/>
      <c r="BZ74" s="23"/>
      <c r="CA74" s="23"/>
      <c r="CB74" s="80"/>
      <c r="CC74" s="78"/>
      <c r="CD74" s="79"/>
      <c r="CE74" s="79"/>
      <c r="CF74" s="23"/>
      <c r="CG74" s="23"/>
      <c r="CH74" s="23"/>
      <c r="CI74" s="23"/>
      <c r="CJ74" s="23"/>
      <c r="CK74" s="23"/>
      <c r="CL74" s="23"/>
      <c r="CM74" s="23"/>
      <c r="CN74" s="23"/>
      <c r="CO74" s="23"/>
      <c r="CP74" s="23"/>
      <c r="CQ74" s="23"/>
      <c r="CR74" s="23"/>
      <c r="CS74" s="23"/>
      <c r="CT74" s="23"/>
      <c r="CU74" s="23"/>
      <c r="CV74" s="23"/>
      <c r="CW74" s="23"/>
      <c r="CX74" s="23"/>
      <c r="CY74" s="23"/>
      <c r="CZ74" s="23"/>
      <c r="DA74" s="80"/>
      <c r="DB74" s="78"/>
      <c r="DC74" s="79"/>
      <c r="DD74" s="79"/>
      <c r="DE74" s="23"/>
      <c r="DF74" s="23"/>
      <c r="DG74" s="23"/>
      <c r="DH74" s="23"/>
      <c r="DI74" s="23"/>
      <c r="DJ74" s="23"/>
      <c r="DK74" s="23"/>
      <c r="DL74" s="23"/>
      <c r="DM74" s="23"/>
      <c r="DN74" s="23"/>
      <c r="DO74" s="23"/>
      <c r="DP74" s="23"/>
      <c r="DQ74" s="23"/>
      <c r="DR74" s="23"/>
      <c r="DS74" s="23"/>
      <c r="DT74" s="23"/>
      <c r="DU74" s="23"/>
      <c r="DV74" s="23"/>
      <c r="DW74" s="23"/>
      <c r="DX74" s="23"/>
      <c r="DY74" s="23"/>
      <c r="DZ74" s="80"/>
      <c r="EA74" s="78"/>
      <c r="EB74" s="79"/>
      <c r="EC74" s="79"/>
      <c r="ED74" s="23"/>
      <c r="EE74" s="23"/>
      <c r="EF74" s="23"/>
      <c r="EG74" s="23"/>
      <c r="EH74" s="23"/>
      <c r="EI74" s="23"/>
      <c r="EJ74" s="23"/>
      <c r="EK74" s="23"/>
      <c r="EL74" s="23"/>
      <c r="EM74" s="23"/>
      <c r="EN74" s="23"/>
      <c r="EO74" s="23"/>
      <c r="EP74" s="23"/>
      <c r="EQ74" s="23"/>
      <c r="ER74" s="23"/>
      <c r="ES74" s="23"/>
      <c r="ET74" s="23"/>
      <c r="EU74" s="23"/>
      <c r="EV74" s="23"/>
      <c r="EW74" s="23"/>
      <c r="EX74" s="23"/>
      <c r="EY74" s="80"/>
      <c r="EZ74" s="78"/>
      <c r="FA74" s="79"/>
      <c r="FB74" s="79"/>
      <c r="FC74" s="23"/>
      <c r="FD74" s="23"/>
      <c r="FE74" s="23"/>
      <c r="FF74" s="23"/>
      <c r="FG74" s="23"/>
      <c r="FH74" s="23"/>
      <c r="FI74" s="23"/>
      <c r="FJ74" s="23"/>
      <c r="FK74" s="23"/>
      <c r="FL74" s="23"/>
      <c r="FM74" s="23"/>
      <c r="FN74" s="23"/>
      <c r="FO74" s="23"/>
      <c r="FP74" s="23"/>
      <c r="FQ74" s="23"/>
      <c r="FR74" s="23"/>
      <c r="FS74" s="23"/>
    </row>
    <row r="75" spans="1:175" ht="15" customHeight="1" thickBot="1" x14ac:dyDescent="0.4">
      <c r="A75" s="23"/>
      <c r="B75" s="23"/>
      <c r="C75" s="23"/>
      <c r="D75" s="23"/>
      <c r="E75" s="41"/>
      <c r="F75" s="19"/>
      <c r="G75" s="29"/>
      <c r="H75" s="29"/>
      <c r="I75" s="23"/>
      <c r="J75" s="23"/>
      <c r="K75" s="23"/>
      <c r="L75" s="23"/>
      <c r="M75" s="23"/>
      <c r="N75" s="23"/>
      <c r="O75" s="23"/>
      <c r="P75" s="23"/>
      <c r="Q75" s="23"/>
      <c r="R75" s="23"/>
      <c r="S75" s="23"/>
      <c r="T75" s="23"/>
      <c r="U75" s="23"/>
      <c r="V75" s="23"/>
      <c r="W75" s="23"/>
      <c r="X75" s="23"/>
      <c r="Y75" s="23"/>
      <c r="Z75" s="23"/>
      <c r="AA75" s="23"/>
      <c r="AB75" s="23"/>
      <c r="AC75" s="23"/>
      <c r="AD75" s="39"/>
      <c r="AE75" s="39"/>
      <c r="AF75" s="39"/>
      <c r="AG75" s="39" t="s">
        <v>77</v>
      </c>
      <c r="AH75" s="23"/>
      <c r="AI75" s="23"/>
      <c r="AJ75" s="23"/>
      <c r="AK75" s="23"/>
      <c r="AL75" s="23"/>
      <c r="AM75" s="23"/>
      <c r="AN75" s="23"/>
      <c r="AO75" s="23"/>
      <c r="AP75" s="23"/>
      <c r="AQ75" s="23"/>
      <c r="AR75" s="23"/>
      <c r="AS75" s="23"/>
      <c r="AT75" s="23"/>
      <c r="AU75" s="23"/>
      <c r="AV75" s="23"/>
      <c r="AW75" s="23"/>
      <c r="AX75" s="23"/>
      <c r="AY75" s="23"/>
      <c r="AZ75" s="23"/>
      <c r="BA75" s="23"/>
      <c r="BB75" s="23"/>
      <c r="BC75" s="79"/>
      <c r="BD75" s="79"/>
      <c r="BE75" s="79"/>
      <c r="BF75" s="79"/>
      <c r="BG75" s="23"/>
      <c r="BH75" s="23"/>
      <c r="BI75" s="23"/>
      <c r="BJ75" s="23"/>
      <c r="BK75" s="23"/>
      <c r="BL75" s="23"/>
      <c r="BM75" s="23"/>
      <c r="BN75" s="23"/>
      <c r="BO75" s="23"/>
      <c r="BP75" s="23"/>
      <c r="BQ75" s="23"/>
      <c r="BR75" s="23"/>
      <c r="BS75" s="23"/>
      <c r="BT75" s="23"/>
      <c r="BU75" s="23"/>
      <c r="BV75" s="23"/>
      <c r="BW75" s="23"/>
      <c r="BX75" s="23"/>
      <c r="BY75" s="23"/>
      <c r="BZ75" s="23"/>
      <c r="CA75" s="23"/>
      <c r="CB75" s="81"/>
      <c r="CC75" s="78"/>
      <c r="CD75" s="79"/>
      <c r="CE75" s="79"/>
      <c r="CF75" s="23"/>
      <c r="CG75" s="23"/>
      <c r="CH75" s="23"/>
      <c r="CI75" s="23"/>
      <c r="CJ75" s="23"/>
      <c r="CK75" s="23"/>
      <c r="CL75" s="23"/>
      <c r="CM75" s="23"/>
      <c r="CN75" s="23"/>
      <c r="CO75" s="23"/>
      <c r="CP75" s="23"/>
      <c r="CQ75" s="23"/>
      <c r="CR75" s="23"/>
      <c r="CS75" s="23"/>
      <c r="CT75" s="23"/>
      <c r="CU75" s="23"/>
      <c r="CV75" s="23"/>
      <c r="CW75" s="23"/>
      <c r="CX75" s="23"/>
      <c r="CY75" s="23"/>
      <c r="CZ75" s="23"/>
      <c r="DA75" s="81"/>
      <c r="DB75" s="78"/>
      <c r="DC75" s="79"/>
      <c r="DD75" s="79"/>
      <c r="DE75" s="23"/>
      <c r="DF75" s="23"/>
      <c r="DG75" s="23"/>
      <c r="DH75" s="23"/>
      <c r="DI75" s="23"/>
      <c r="DJ75" s="23"/>
      <c r="DK75" s="23"/>
      <c r="DL75" s="23"/>
      <c r="DM75" s="23"/>
      <c r="DN75" s="23"/>
      <c r="DO75" s="23"/>
      <c r="DP75" s="23"/>
      <c r="DQ75" s="23"/>
      <c r="DR75" s="23"/>
      <c r="DS75" s="23"/>
      <c r="DT75" s="23"/>
      <c r="DU75" s="23"/>
      <c r="DV75" s="23"/>
      <c r="DW75" s="23"/>
      <c r="DX75" s="23"/>
      <c r="DY75" s="23"/>
      <c r="DZ75" s="81"/>
      <c r="EA75" s="78"/>
      <c r="EB75" s="79"/>
      <c r="EC75" s="79"/>
      <c r="ED75" s="23"/>
      <c r="EE75" s="23"/>
      <c r="EF75" s="23"/>
      <c r="EG75" s="23"/>
      <c r="EH75" s="23"/>
      <c r="EI75" s="23"/>
      <c r="EJ75" s="23"/>
      <c r="EK75" s="23"/>
      <c r="EL75" s="23"/>
      <c r="EM75" s="23"/>
      <c r="EN75" s="23"/>
      <c r="EO75" s="23"/>
      <c r="EP75" s="23"/>
      <c r="EQ75" s="23"/>
      <c r="ER75" s="23"/>
      <c r="ES75" s="23"/>
      <c r="ET75" s="23"/>
      <c r="EU75" s="23"/>
      <c r="EV75" s="23"/>
      <c r="EW75" s="23"/>
      <c r="EX75" s="23"/>
      <c r="EY75" s="81"/>
      <c r="EZ75" s="78"/>
      <c r="FA75" s="79"/>
      <c r="FB75" s="79"/>
      <c r="FC75" s="23"/>
      <c r="FD75" s="23"/>
      <c r="FE75" s="23"/>
      <c r="FF75" s="23"/>
      <c r="FG75" s="23"/>
      <c r="FH75" s="23"/>
      <c r="FI75" s="23"/>
      <c r="FJ75" s="23"/>
      <c r="FK75" s="23"/>
      <c r="FL75" s="23"/>
      <c r="FM75" s="23"/>
      <c r="FN75" s="23"/>
      <c r="FO75" s="23"/>
      <c r="FP75" s="23"/>
      <c r="FQ75" s="23"/>
      <c r="FR75" s="23"/>
      <c r="FS75" s="23"/>
    </row>
    <row r="76" spans="1:175" ht="14.5" customHeight="1" x14ac:dyDescent="0.3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row>
    <row r="77" spans="1:175" ht="15" customHeight="1" x14ac:dyDescent="0.3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23"/>
      <c r="FG77" s="23"/>
      <c r="FH77" s="23"/>
      <c r="FI77" s="23"/>
      <c r="FJ77" s="23"/>
      <c r="FK77" s="23"/>
      <c r="FL77" s="23"/>
      <c r="FM77" s="23"/>
      <c r="FN77" s="23"/>
      <c r="FO77" s="23"/>
      <c r="FP77" s="23"/>
      <c r="FQ77" s="23"/>
      <c r="FR77" s="23"/>
      <c r="FS77" s="23"/>
    </row>
    <row r="78" spans="1:175" x14ac:dyDescent="0.3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row>
  </sheetData>
  <mergeCells count="241">
    <mergeCell ref="E50:H51"/>
    <mergeCell ref="I9:R10"/>
    <mergeCell ref="C39:C42"/>
    <mergeCell ref="D39:D42"/>
    <mergeCell ref="E39:E42"/>
    <mergeCell ref="F39:F42"/>
    <mergeCell ref="C35:C38"/>
    <mergeCell ref="D35:D38"/>
    <mergeCell ref="E35:E38"/>
    <mergeCell ref="F35:F38"/>
    <mergeCell ref="C33:F34"/>
    <mergeCell ref="A19:B22"/>
    <mergeCell ref="C19:C22"/>
    <mergeCell ref="D19:E22"/>
    <mergeCell ref="F19:F22"/>
    <mergeCell ref="AA3:AB4"/>
    <mergeCell ref="AC3:AC4"/>
    <mergeCell ref="Z9:AE10"/>
    <mergeCell ref="AH9:AQ10"/>
    <mergeCell ref="Z11:AA14"/>
    <mergeCell ref="AB11:AB14"/>
    <mergeCell ref="AC11:AD14"/>
    <mergeCell ref="AE11:AE14"/>
    <mergeCell ref="B3:C4"/>
    <mergeCell ref="D3:D4"/>
    <mergeCell ref="A11:B14"/>
    <mergeCell ref="C11:C14"/>
    <mergeCell ref="A9:F10"/>
    <mergeCell ref="D11:E14"/>
    <mergeCell ref="F11:F14"/>
    <mergeCell ref="A15:B18"/>
    <mergeCell ref="C15:C18"/>
    <mergeCell ref="D15:E18"/>
    <mergeCell ref="F15:F18"/>
    <mergeCell ref="AB39:AB42"/>
    <mergeCell ref="AC39:AC42"/>
    <mergeCell ref="AD39:AD42"/>
    <mergeCell ref="AE39:AE42"/>
    <mergeCell ref="Z15:AA18"/>
    <mergeCell ref="AB15:AB18"/>
    <mergeCell ref="AC15:AD18"/>
    <mergeCell ref="AE15:AE18"/>
    <mergeCell ref="Z19:AA22"/>
    <mergeCell ref="AB19:AB22"/>
    <mergeCell ref="AC19:AD22"/>
    <mergeCell ref="AE19:AE22"/>
    <mergeCell ref="BG9:BP10"/>
    <mergeCell ref="AY11:AZ14"/>
    <mergeCell ref="BA11:BA14"/>
    <mergeCell ref="BB11:BC14"/>
    <mergeCell ref="BD11:BD14"/>
    <mergeCell ref="AB33:AE34"/>
    <mergeCell ref="AB35:AB38"/>
    <mergeCell ref="AC35:AC38"/>
    <mergeCell ref="AD35:AD38"/>
    <mergeCell ref="AE35:AE38"/>
    <mergeCell ref="AY15:AZ18"/>
    <mergeCell ref="BA15:BA18"/>
    <mergeCell ref="BB15:BC18"/>
    <mergeCell ref="BD15:BD18"/>
    <mergeCell ref="AY19:AZ22"/>
    <mergeCell ref="BA19:BA22"/>
    <mergeCell ref="BB19:BC22"/>
    <mergeCell ref="BD19:BD22"/>
    <mergeCell ref="AZ3:BA4"/>
    <mergeCell ref="BB3:BB4"/>
    <mergeCell ref="AY9:BD10"/>
    <mergeCell ref="BA39:BA42"/>
    <mergeCell ref="BB39:BB42"/>
    <mergeCell ref="BC39:BC42"/>
    <mergeCell ref="BD39:BD42"/>
    <mergeCell ref="BC50:BF51"/>
    <mergeCell ref="BA33:BD34"/>
    <mergeCell ref="BA35:BA38"/>
    <mergeCell ref="BB35:BB38"/>
    <mergeCell ref="BC35:BC38"/>
    <mergeCell ref="BD35:BD38"/>
    <mergeCell ref="BC64:BC67"/>
    <mergeCell ref="BD64:BF67"/>
    <mergeCell ref="BC68:BC71"/>
    <mergeCell ref="BD68:BF71"/>
    <mergeCell ref="BC72:BC75"/>
    <mergeCell ref="BD72:BF75"/>
    <mergeCell ref="BC52:BC55"/>
    <mergeCell ref="BD52:BF55"/>
    <mergeCell ref="BC56:BC59"/>
    <mergeCell ref="BD56:BF59"/>
    <mergeCell ref="BC60:BC63"/>
    <mergeCell ref="BD60:BF63"/>
    <mergeCell ref="BX15:BY18"/>
    <mergeCell ref="BZ15:BZ18"/>
    <mergeCell ref="CA15:CB18"/>
    <mergeCell ref="CC15:CC18"/>
    <mergeCell ref="BX19:BY22"/>
    <mergeCell ref="BZ19:BZ22"/>
    <mergeCell ref="CA19:CB22"/>
    <mergeCell ref="CC19:CC22"/>
    <mergeCell ref="BY3:BZ4"/>
    <mergeCell ref="CA3:CA4"/>
    <mergeCell ref="BX9:CC10"/>
    <mergeCell ref="BX11:BY14"/>
    <mergeCell ref="BZ11:BZ14"/>
    <mergeCell ref="CA11:CB14"/>
    <mergeCell ref="CC11:CC14"/>
    <mergeCell ref="CB72:CB75"/>
    <mergeCell ref="CC72:CE75"/>
    <mergeCell ref="CB52:CB55"/>
    <mergeCell ref="CC52:CE55"/>
    <mergeCell ref="CB56:CB59"/>
    <mergeCell ref="CC56:CE59"/>
    <mergeCell ref="CB60:CB63"/>
    <mergeCell ref="CC60:CE63"/>
    <mergeCell ref="BZ39:BZ42"/>
    <mergeCell ref="CA39:CA42"/>
    <mergeCell ref="CB39:CB42"/>
    <mergeCell ref="CC39:CC42"/>
    <mergeCell ref="CB50:CE51"/>
    <mergeCell ref="DE9:DN10"/>
    <mergeCell ref="CW11:CX14"/>
    <mergeCell ref="CY11:CY14"/>
    <mergeCell ref="CZ11:DA14"/>
    <mergeCell ref="DB11:DB14"/>
    <mergeCell ref="CB64:CB67"/>
    <mergeCell ref="CC64:CE67"/>
    <mergeCell ref="CB68:CB71"/>
    <mergeCell ref="CC68:CE71"/>
    <mergeCell ref="BZ33:CC34"/>
    <mergeCell ref="BZ35:BZ38"/>
    <mergeCell ref="CA35:CA38"/>
    <mergeCell ref="CB35:CB38"/>
    <mergeCell ref="CC35:CC38"/>
    <mergeCell ref="CF9:CO10"/>
    <mergeCell ref="CW15:CX18"/>
    <mergeCell ref="CY15:CY18"/>
    <mergeCell ref="CZ15:DA18"/>
    <mergeCell ref="DB15:DB18"/>
    <mergeCell ref="CW19:CX22"/>
    <mergeCell ref="CY19:CY22"/>
    <mergeCell ref="CZ19:DA22"/>
    <mergeCell ref="DB19:DB22"/>
    <mergeCell ref="DA64:DA67"/>
    <mergeCell ref="CX3:CY4"/>
    <mergeCell ref="CZ3:CZ4"/>
    <mergeCell ref="CW9:DB10"/>
    <mergeCell ref="CY39:CY42"/>
    <mergeCell ref="CZ39:CZ42"/>
    <mergeCell ref="DA39:DA42"/>
    <mergeCell ref="DB39:DB42"/>
    <mergeCell ref="DA50:DD51"/>
    <mergeCell ref="CY33:DB34"/>
    <mergeCell ref="CY35:CY38"/>
    <mergeCell ref="CZ35:CZ38"/>
    <mergeCell ref="DA35:DA38"/>
    <mergeCell ref="DB35:DB38"/>
    <mergeCell ref="DB64:DD67"/>
    <mergeCell ref="DA68:DA71"/>
    <mergeCell ref="DB68:DD71"/>
    <mergeCell ref="DA72:DA75"/>
    <mergeCell ref="DB72:DD75"/>
    <mergeCell ref="DA52:DA55"/>
    <mergeCell ref="DB52:DD55"/>
    <mergeCell ref="DA56:DA59"/>
    <mergeCell ref="DB56:DD59"/>
    <mergeCell ref="DA60:DA63"/>
    <mergeCell ref="DB60:DD63"/>
    <mergeCell ref="DV15:DW18"/>
    <mergeCell ref="DX15:DX18"/>
    <mergeCell ref="DY15:DZ18"/>
    <mergeCell ref="EA15:EA18"/>
    <mergeCell ref="DV19:DW22"/>
    <mergeCell ref="DX19:DX22"/>
    <mergeCell ref="DY19:DZ22"/>
    <mergeCell ref="EA19:EA22"/>
    <mergeCell ref="DW3:DX4"/>
    <mergeCell ref="DY3:DY4"/>
    <mergeCell ref="DV9:EA10"/>
    <mergeCell ref="DV11:DW14"/>
    <mergeCell ref="DX11:DX14"/>
    <mergeCell ref="DY11:DZ14"/>
    <mergeCell ref="EA11:EA14"/>
    <mergeCell ref="DZ72:DZ75"/>
    <mergeCell ref="EA72:EC75"/>
    <mergeCell ref="DZ52:DZ55"/>
    <mergeCell ref="EA52:EC55"/>
    <mergeCell ref="DZ56:DZ59"/>
    <mergeCell ref="EA56:EC59"/>
    <mergeCell ref="DZ60:DZ63"/>
    <mergeCell ref="EA60:EC63"/>
    <mergeCell ref="DX39:DX42"/>
    <mergeCell ref="DY39:DY42"/>
    <mergeCell ref="DZ39:DZ42"/>
    <mergeCell ref="EA39:EA42"/>
    <mergeCell ref="DZ50:EC51"/>
    <mergeCell ref="FC9:FL10"/>
    <mergeCell ref="EU11:EV14"/>
    <mergeCell ref="EW11:EW14"/>
    <mergeCell ref="EX11:EY14"/>
    <mergeCell ref="EZ11:EZ14"/>
    <mergeCell ref="DZ64:DZ67"/>
    <mergeCell ref="EA64:EC67"/>
    <mergeCell ref="DZ68:DZ71"/>
    <mergeCell ref="EA68:EC71"/>
    <mergeCell ref="DX33:EA34"/>
    <mergeCell ref="DX35:DX38"/>
    <mergeCell ref="DY35:DY38"/>
    <mergeCell ref="DZ35:DZ38"/>
    <mergeCell ref="EA35:EA38"/>
    <mergeCell ref="ED9:EM10"/>
    <mergeCell ref="EU15:EV18"/>
    <mergeCell ref="EW15:EW18"/>
    <mergeCell ref="EX15:EY18"/>
    <mergeCell ref="EZ15:EZ18"/>
    <mergeCell ref="EU19:EV22"/>
    <mergeCell ref="EW19:EW22"/>
    <mergeCell ref="EX19:EY22"/>
    <mergeCell ref="EZ19:EZ22"/>
    <mergeCell ref="EY64:EY67"/>
    <mergeCell ref="EV3:EW4"/>
    <mergeCell ref="EX3:EX4"/>
    <mergeCell ref="EU9:EZ10"/>
    <mergeCell ref="EW39:EW42"/>
    <mergeCell ref="EX39:EX42"/>
    <mergeCell ref="EY39:EY42"/>
    <mergeCell ref="EZ39:EZ42"/>
    <mergeCell ref="EY50:FB51"/>
    <mergeCell ref="EW33:EZ34"/>
    <mergeCell ref="EW35:EW38"/>
    <mergeCell ref="EX35:EX38"/>
    <mergeCell ref="EY35:EY38"/>
    <mergeCell ref="EZ35:EZ38"/>
    <mergeCell ref="EZ64:FB67"/>
    <mergeCell ref="EY68:EY71"/>
    <mergeCell ref="EZ68:FB71"/>
    <mergeCell ref="EY72:EY75"/>
    <mergeCell ref="EZ72:FB75"/>
    <mergeCell ref="EY52:EY55"/>
    <mergeCell ref="EZ52:FB55"/>
    <mergeCell ref="EY56:EY59"/>
    <mergeCell ref="EZ56:FB59"/>
    <mergeCell ref="EY60:EY63"/>
    <mergeCell ref="EZ60:FB63"/>
  </mergeCells>
  <conditionalFormatting sqref="F39:F42">
    <cfRule type="containsText" dxfId="69" priority="13" operator="containsText" text="Bad shape">
      <formula>NOT(ISERROR(SEARCH("Bad shape",F39)))</formula>
    </cfRule>
    <cfRule type="containsText" dxfId="68" priority="14" operator="containsText" text="Fit shape">
      <formula>NOT(ISERROR(SEARCH("Fit shape",F39)))</formula>
    </cfRule>
  </conditionalFormatting>
  <conditionalFormatting sqref="AE39:AE42">
    <cfRule type="containsText" dxfId="67" priority="11" operator="containsText" text="Bad shape">
      <formula>NOT(ISERROR(SEARCH("Bad shape",AE39)))</formula>
    </cfRule>
    <cfRule type="containsText" dxfId="66" priority="12" operator="containsText" text="Fit shape">
      <formula>NOT(ISERROR(SEARCH("Fit shape",AE39)))</formula>
    </cfRule>
  </conditionalFormatting>
  <conditionalFormatting sqref="BD39:BD42">
    <cfRule type="containsText" dxfId="65" priority="9" operator="containsText" text="Bad shape">
      <formula>NOT(ISERROR(SEARCH("Bad shape",BD39)))</formula>
    </cfRule>
    <cfRule type="containsText" dxfId="64" priority="10" operator="containsText" text="Fit shape">
      <formula>NOT(ISERROR(SEARCH("Fit shape",BD39)))</formula>
    </cfRule>
  </conditionalFormatting>
  <conditionalFormatting sqref="CC39:CC42">
    <cfRule type="containsText" dxfId="63" priority="7" operator="containsText" text="Bad shape">
      <formula>NOT(ISERROR(SEARCH("Bad shape",CC39)))</formula>
    </cfRule>
    <cfRule type="containsText" dxfId="62" priority="8" operator="containsText" text="Fit shape">
      <formula>NOT(ISERROR(SEARCH("Fit shape",CC39)))</formula>
    </cfRule>
  </conditionalFormatting>
  <conditionalFormatting sqref="DB39:DB42">
    <cfRule type="containsText" dxfId="61" priority="5" operator="containsText" text="Bad shape">
      <formula>NOT(ISERROR(SEARCH("Bad shape",DB39)))</formula>
    </cfRule>
    <cfRule type="containsText" dxfId="60" priority="6" operator="containsText" text="Fit shape">
      <formula>NOT(ISERROR(SEARCH("Fit shape",DB39)))</formula>
    </cfRule>
  </conditionalFormatting>
  <conditionalFormatting sqref="EA39:EA42">
    <cfRule type="containsText" dxfId="59" priority="3" operator="containsText" text="Bad shape">
      <formula>NOT(ISERROR(SEARCH("Bad shape",EA39)))</formula>
    </cfRule>
    <cfRule type="containsText" dxfId="58" priority="4" operator="containsText" text="Fit shape">
      <formula>NOT(ISERROR(SEARCH("Fit shape",EA39)))</formula>
    </cfRule>
  </conditionalFormatting>
  <conditionalFormatting sqref="EZ39:EZ42">
    <cfRule type="containsText" dxfId="57" priority="1" operator="containsText" text="Bad shape">
      <formula>NOT(ISERROR(SEARCH("Bad shape",EZ39)))</formula>
    </cfRule>
    <cfRule type="containsText" dxfId="56" priority="2" operator="containsText" text="Fit shape">
      <formula>NOT(ISERROR(SEARCH("Fit shape",EZ39)))</formula>
    </cfRule>
  </conditionalFormatting>
  <dataValidations count="9">
    <dataValidation type="list" allowBlank="1" showInputMessage="1" showErrorMessage="1" errorTitle="error" error="Please ensure the right breakfast" promptTitle="Hint" prompt="Select your breakfast" sqref="C11:C14 DX11:DX14 AB11:AB14 BA11:BA14 BZ11:BZ14 CY11:CY14 EW11:EW14" xr:uid="{3464B6FF-17D4-4C43-98E1-952BD50E3D5F}">
      <formula1>BREAKFAST</formula1>
    </dataValidation>
    <dataValidation type="list" allowBlank="1" showInputMessage="1" showErrorMessage="1" errorTitle="error" error="Please ensure the right lunch" promptTitle="Hint" prompt="select your lunch" sqref="C15:C18 DX15:DX18 AB15:AB18 BA15:BA18 BZ15:BZ18 CY15:CY18 EW15:EW18" xr:uid="{7A85DA6F-0942-42AD-8495-DE2C384E070A}">
      <formula1>LUNCH</formula1>
    </dataValidation>
    <dataValidation type="list" allowBlank="1" showInputMessage="1" showErrorMessage="1" errorTitle="Error" error="Please ensure the right dinner" promptTitle="Hint" prompt="Select your dinner" sqref="C19:C22 DX19:DX22 AB19:AB22 BA19:BA22 BZ19:BZ22 CY19:CY22 EW19:EW22" xr:uid="{CEB389E9-D8FF-43E3-8BE8-85899E43D078}">
      <formula1>DINNER</formula1>
    </dataValidation>
    <dataValidation type="list" allowBlank="1" showInputMessage="1" showErrorMessage="1" sqref="FC13:FD30 AH13:AI30 BG13:BH30 CF13:CG30 DE13:DF30 ED13:EE30 J13:J30 I14:I15 I17:I18 I20:I21 I23:I24 I26:I27 I29:I30" xr:uid="{095BA024-D279-431A-BBDA-0FEDECB4A286}">
      <formula1>EXERCISES</formula1>
    </dataValidation>
    <dataValidation type="list" allowBlank="1" showInputMessage="1" showErrorMessage="1" errorTitle="Error" error="Please select the right activity_x000a_" sqref="I13" xr:uid="{1276FD72-84A4-4C6A-A57B-29F11E47BA3B}">
      <formula1>EXERCISES</formula1>
    </dataValidation>
    <dataValidation type="list" allowBlank="1" showInputMessage="1" showErrorMessage="1" errorTitle="Error " error="Please select correct activity" sqref="I16" xr:uid="{6A669FDF-D0DF-4A61-80F4-97C8ABE6C3B7}">
      <formula1>EXERCISES</formula1>
    </dataValidation>
    <dataValidation type="list" allowBlank="1" showInputMessage="1" showErrorMessage="1" errorTitle="error" error="Please select correct activity" sqref="I19 I22 I25 I28" xr:uid="{FFF0DE65-2D1C-4E92-B1DB-CCD4CE10B959}">
      <formula1>EXERCISES</formula1>
    </dataValidation>
    <dataValidation type="list" allowBlank="1" showInputMessage="1" showErrorMessage="1" errorTitle="Error" error="Please enter a number between 0 and 2" sqref="M13:N30 CJ13:CK30 DI13:DJ30 EH12:EI30 FG13:FH30 BK13:BL30" xr:uid="{AD27D6DA-5BF7-468B-8BBA-550D5F828810}">
      <formula1>ExercisesTime</formula1>
    </dataValidation>
    <dataValidation type="list" allowBlank="1" showInputMessage="1" showErrorMessage="1" errorTitle="error" error="Please enter a number between 0 and 2" sqref="AL13:AM30" xr:uid="{FE0B36D6-89EB-4F87-B3C4-3EA80F9A109B}">
      <formula1>ExercisesTime</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78FB0-A5CD-41AD-9F22-7C6947B79821}">
  <dimension ref="A1:GG78"/>
  <sheetViews>
    <sheetView topLeftCell="N1" zoomScale="40" zoomScaleNormal="40" workbookViewId="0">
      <selection activeCell="AC3" sqref="AC3:AC4"/>
    </sheetView>
  </sheetViews>
  <sheetFormatPr defaultColWidth="9.1796875" defaultRowHeight="14.5" x14ac:dyDescent="0.35"/>
  <cols>
    <col min="1" max="2" width="9.1796875" style="24"/>
    <col min="3" max="3" width="47.26953125" style="24" bestFit="1" customWidth="1"/>
    <col min="4" max="4" width="12.54296875" style="24" bestFit="1" customWidth="1"/>
    <col min="5" max="5" width="33.453125" style="24" bestFit="1" customWidth="1"/>
    <col min="6" max="6" width="14.453125" style="24" bestFit="1" customWidth="1"/>
    <col min="7" max="8" width="9.1796875" style="24"/>
    <col min="9" max="9" width="37.26953125" style="24" bestFit="1" customWidth="1"/>
    <col min="10" max="10" width="14.7265625" style="24" customWidth="1"/>
    <col min="11" max="11" width="14.7265625" style="24" bestFit="1" customWidth="1"/>
    <col min="12" max="12" width="18.1796875" style="24" customWidth="1"/>
    <col min="13" max="13" width="31.54296875" style="24" bestFit="1" customWidth="1"/>
    <col min="14" max="14" width="14.54296875" style="24" customWidth="1"/>
    <col min="15" max="15" width="24.81640625" style="24" bestFit="1" customWidth="1"/>
    <col min="16" max="16" width="14.453125" style="24" customWidth="1"/>
    <col min="17" max="17" width="29.1796875" style="24" bestFit="1" customWidth="1"/>
    <col min="18" max="27" width="9.1796875" style="24"/>
    <col min="28" max="28" width="41.81640625" style="24" bestFit="1" customWidth="1"/>
    <col min="29" max="29" width="13.7265625" style="24" bestFit="1" customWidth="1"/>
    <col min="30" max="30" width="27.54296875" style="24" bestFit="1" customWidth="1"/>
    <col min="31" max="31" width="15.54296875" style="24" bestFit="1" customWidth="1"/>
    <col min="32" max="32" width="9.1796875" style="24"/>
    <col min="33" max="33" width="3.7265625" style="24" bestFit="1" customWidth="1"/>
    <col min="34" max="34" width="37.26953125" style="24" bestFit="1" customWidth="1"/>
    <col min="35" max="35" width="9.1796875" style="24"/>
    <col min="36" max="36" width="14.7265625" style="24" bestFit="1" customWidth="1"/>
    <col min="37" max="37" width="9.1796875" style="24"/>
    <col min="38" max="38" width="31.54296875" style="24" bestFit="1" customWidth="1"/>
    <col min="39" max="39" width="9.1796875" style="24"/>
    <col min="40" max="40" width="24.81640625" style="24" bestFit="1" customWidth="1"/>
    <col min="41" max="41" width="9.1796875" style="24"/>
    <col min="42" max="42" width="29.1796875" style="24" bestFit="1" customWidth="1"/>
    <col min="43" max="52" width="9.1796875" style="24"/>
    <col min="53" max="53" width="55.1796875" style="24" bestFit="1" customWidth="1"/>
    <col min="54" max="54" width="13.7265625" style="24" bestFit="1" customWidth="1"/>
    <col min="55" max="55" width="27.54296875" style="24" bestFit="1" customWidth="1"/>
    <col min="56" max="56" width="15.54296875" style="24" bestFit="1" customWidth="1"/>
    <col min="57" max="58" width="9.1796875" style="24"/>
    <col min="59" max="59" width="37.26953125" style="24" bestFit="1" customWidth="1"/>
    <col min="60" max="60" width="9.1796875" style="24"/>
    <col min="61" max="61" width="14.7265625" style="24" bestFit="1" customWidth="1"/>
    <col min="62" max="62" width="9.1796875" style="24"/>
    <col min="63" max="63" width="31.54296875" style="24" bestFit="1" customWidth="1"/>
    <col min="64" max="64" width="9.1796875" style="24"/>
    <col min="65" max="65" width="24.81640625" style="24" bestFit="1" customWidth="1"/>
    <col min="66" max="66" width="9.1796875" style="24"/>
    <col min="67" max="67" width="29.1796875" style="24" bestFit="1" customWidth="1"/>
    <col min="68" max="77" width="9.1796875" style="24"/>
    <col min="78" max="78" width="44.7265625" style="24" bestFit="1" customWidth="1"/>
    <col min="79" max="79" width="13.7265625" style="24" bestFit="1" customWidth="1"/>
    <col min="80" max="80" width="33.453125" style="24" bestFit="1" customWidth="1"/>
    <col min="81" max="81" width="15.54296875" style="24" bestFit="1" customWidth="1"/>
    <col min="82" max="83" width="9.1796875" style="24"/>
    <col min="84" max="84" width="37.26953125" style="24" bestFit="1" customWidth="1"/>
    <col min="85" max="85" width="9.1796875" style="24"/>
    <col min="86" max="86" width="14.7265625" style="24" bestFit="1" customWidth="1"/>
    <col min="87" max="87" width="9.1796875" style="24"/>
    <col min="88" max="88" width="31.54296875" style="24" bestFit="1" customWidth="1"/>
    <col min="89" max="89" width="9.1796875" style="24"/>
    <col min="90" max="90" width="24.81640625" style="24" bestFit="1" customWidth="1"/>
    <col min="91" max="91" width="9.1796875" style="24"/>
    <col min="92" max="92" width="29.1796875" style="24" bestFit="1" customWidth="1"/>
    <col min="93" max="102" width="9.1796875" style="24"/>
    <col min="103" max="103" width="59" style="24" bestFit="1" customWidth="1"/>
    <col min="104" max="104" width="13.7265625" style="24" bestFit="1" customWidth="1"/>
    <col min="105" max="105" width="33.453125" style="24" bestFit="1" customWidth="1"/>
    <col min="106" max="106" width="15.54296875" style="24" bestFit="1" customWidth="1"/>
    <col min="107" max="108" width="9.1796875" style="24"/>
    <col min="109" max="109" width="37.26953125" style="24" bestFit="1" customWidth="1"/>
    <col min="110" max="110" width="9.1796875" style="24"/>
    <col min="111" max="111" width="14.7265625" style="24" bestFit="1" customWidth="1"/>
    <col min="112" max="112" width="9.1796875" style="24"/>
    <col min="113" max="113" width="31.54296875" style="24" bestFit="1" customWidth="1"/>
    <col min="114" max="114" width="9.1796875" style="24"/>
    <col min="115" max="115" width="24.81640625" style="24" bestFit="1" customWidth="1"/>
    <col min="116" max="116" width="9.1796875" style="24"/>
    <col min="117" max="117" width="29.1796875" style="24" bestFit="1" customWidth="1"/>
    <col min="118" max="127" width="9.1796875" style="24"/>
    <col min="128" max="128" width="47.26953125" style="24" bestFit="1" customWidth="1"/>
    <col min="129" max="129" width="13.7265625" style="24" bestFit="1" customWidth="1"/>
    <col min="130" max="130" width="33.453125" style="24" bestFit="1" customWidth="1"/>
    <col min="131" max="131" width="15.54296875" style="24" bestFit="1" customWidth="1"/>
    <col min="132" max="133" width="9.1796875" style="24"/>
    <col min="134" max="134" width="37.26953125" style="24" bestFit="1" customWidth="1"/>
    <col min="135" max="135" width="9.1796875" style="24"/>
    <col min="136" max="136" width="14.7265625" style="24" bestFit="1" customWidth="1"/>
    <col min="137" max="137" width="9.1796875" style="24"/>
    <col min="138" max="138" width="31.54296875" style="24" bestFit="1" customWidth="1"/>
    <col min="139" max="139" width="9.1796875" style="24"/>
    <col min="140" max="140" width="24.81640625" style="24" bestFit="1" customWidth="1"/>
    <col min="141" max="141" width="9.1796875" style="24"/>
    <col min="142" max="142" width="29.1796875" style="24" bestFit="1" customWidth="1"/>
    <col min="143" max="152" width="9.1796875" style="24"/>
    <col min="153" max="153" width="47.26953125" style="24" bestFit="1" customWidth="1"/>
    <col min="154" max="154" width="13.7265625" style="24" bestFit="1" customWidth="1"/>
    <col min="155" max="155" width="33.453125" style="24" bestFit="1" customWidth="1"/>
    <col min="156" max="156" width="15.54296875" style="24" bestFit="1" customWidth="1"/>
    <col min="157" max="158" width="9.1796875" style="24"/>
    <col min="159" max="159" width="37.26953125" style="24" bestFit="1" customWidth="1"/>
    <col min="160" max="160" width="9.1796875" style="24"/>
    <col min="161" max="161" width="14.7265625" style="24" bestFit="1" customWidth="1"/>
    <col min="162" max="162" width="9.1796875" style="24"/>
    <col min="163" max="163" width="31.54296875" style="24" bestFit="1" customWidth="1"/>
    <col min="164" max="164" width="9.1796875" style="24"/>
    <col min="165" max="165" width="24.81640625" style="24" bestFit="1" customWidth="1"/>
    <col min="166" max="166" width="9.1796875" style="24"/>
    <col min="167" max="167" width="29.1796875" style="24" bestFit="1" customWidth="1"/>
    <col min="168" max="16384" width="9.1796875" style="24"/>
  </cols>
  <sheetData>
    <row r="1" spans="1:175" x14ac:dyDescent="0.35">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c r="FJ1" s="23"/>
      <c r="FK1" s="23"/>
      <c r="FL1" s="23"/>
      <c r="FM1" s="23"/>
      <c r="FN1" s="23"/>
      <c r="FO1" s="23"/>
      <c r="FP1" s="23"/>
      <c r="FQ1" s="23"/>
      <c r="FR1" s="23"/>
      <c r="FS1" s="23"/>
    </row>
    <row r="2" spans="1:175" ht="15" thickBot="1" x14ac:dyDescent="0.4">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row>
    <row r="3" spans="1:175" ht="14.5" customHeight="1" x14ac:dyDescent="0.35">
      <c r="A3" s="23"/>
      <c r="B3" s="82" t="s">
        <v>40</v>
      </c>
      <c r="C3" s="83"/>
      <c r="D3" s="86">
        <f>Week1endweight</f>
        <v>193.2844155844156</v>
      </c>
      <c r="E3" s="23"/>
      <c r="F3" s="23"/>
      <c r="G3" s="23"/>
      <c r="H3" s="23"/>
      <c r="I3" s="23"/>
      <c r="J3" s="23"/>
      <c r="K3" s="23"/>
      <c r="L3" s="23"/>
      <c r="M3" s="23"/>
      <c r="N3" s="23"/>
      <c r="O3" s="23"/>
      <c r="P3" s="23"/>
      <c r="Q3" s="23"/>
      <c r="R3" s="23"/>
      <c r="S3" s="23"/>
      <c r="T3" s="23"/>
      <c r="U3" s="23"/>
      <c r="V3" s="23"/>
      <c r="W3" s="23"/>
      <c r="X3" s="23"/>
      <c r="Y3" s="23"/>
      <c r="Z3" s="23"/>
      <c r="AA3" s="82" t="s">
        <v>40</v>
      </c>
      <c r="AB3" s="83"/>
      <c r="AC3" s="86">
        <f>Week1endweight</f>
        <v>193.2844155844156</v>
      </c>
      <c r="AD3" s="23"/>
      <c r="AE3" s="23"/>
      <c r="AF3" s="23"/>
      <c r="AG3" s="23"/>
      <c r="AH3" s="23"/>
      <c r="AI3" s="23"/>
      <c r="AJ3" s="23"/>
      <c r="AK3" s="23"/>
      <c r="AL3" s="23"/>
      <c r="AM3" s="23"/>
      <c r="AN3" s="23"/>
      <c r="AO3" s="23"/>
      <c r="AP3" s="23"/>
      <c r="AQ3" s="23"/>
      <c r="AR3" s="23"/>
      <c r="AS3" s="23"/>
      <c r="AT3" s="23"/>
      <c r="AU3" s="23"/>
      <c r="AV3" s="23"/>
      <c r="AW3" s="23"/>
      <c r="AX3" s="23"/>
      <c r="AY3" s="23"/>
      <c r="AZ3" s="82" t="s">
        <v>40</v>
      </c>
      <c r="BA3" s="83"/>
      <c r="BB3" s="86">
        <f>Week1endweight</f>
        <v>193.2844155844156</v>
      </c>
      <c r="BC3" s="23"/>
      <c r="BD3" s="23"/>
      <c r="BE3" s="23"/>
      <c r="BF3" s="23"/>
      <c r="BG3" s="23"/>
      <c r="BH3" s="23"/>
      <c r="BI3" s="23"/>
      <c r="BJ3" s="23"/>
      <c r="BK3" s="23"/>
      <c r="BL3" s="23"/>
      <c r="BM3" s="23"/>
      <c r="BN3" s="23"/>
      <c r="BO3" s="23"/>
      <c r="BP3" s="23"/>
      <c r="BQ3" s="23"/>
      <c r="BR3" s="23"/>
      <c r="BS3" s="23"/>
      <c r="BT3" s="23"/>
      <c r="BU3" s="23"/>
      <c r="BV3" s="23"/>
      <c r="BW3" s="23"/>
      <c r="BX3" s="23"/>
      <c r="BY3" s="82" t="s">
        <v>40</v>
      </c>
      <c r="BZ3" s="83"/>
      <c r="CA3" s="86">
        <f>Week1endweight</f>
        <v>193.2844155844156</v>
      </c>
      <c r="CB3" s="23"/>
      <c r="CC3" s="23"/>
      <c r="CD3" s="23"/>
      <c r="CE3" s="23"/>
      <c r="CF3" s="23"/>
      <c r="CG3" s="23"/>
      <c r="CH3" s="23"/>
      <c r="CI3" s="23"/>
      <c r="CJ3" s="23"/>
      <c r="CK3" s="23"/>
      <c r="CL3" s="23"/>
      <c r="CM3" s="23"/>
      <c r="CN3" s="23"/>
      <c r="CO3" s="23"/>
      <c r="CP3" s="23"/>
      <c r="CQ3" s="23"/>
      <c r="CR3" s="23"/>
      <c r="CS3" s="23"/>
      <c r="CT3" s="23"/>
      <c r="CU3" s="23"/>
      <c r="CV3" s="23"/>
      <c r="CW3" s="23"/>
      <c r="CX3" s="82" t="s">
        <v>40</v>
      </c>
      <c r="CY3" s="83"/>
      <c r="CZ3" s="86">
        <f>Week1endweight</f>
        <v>193.2844155844156</v>
      </c>
      <c r="DA3" s="23"/>
      <c r="DB3" s="23"/>
      <c r="DC3" s="23"/>
      <c r="DD3" s="23"/>
      <c r="DE3" s="23"/>
      <c r="DF3" s="23"/>
      <c r="DG3" s="23"/>
      <c r="DH3" s="23"/>
      <c r="DI3" s="23"/>
      <c r="DJ3" s="23"/>
      <c r="DK3" s="23"/>
      <c r="DL3" s="23"/>
      <c r="DM3" s="23"/>
      <c r="DN3" s="23"/>
      <c r="DO3" s="23"/>
      <c r="DP3" s="23"/>
      <c r="DQ3" s="23"/>
      <c r="DR3" s="23"/>
      <c r="DS3" s="23"/>
      <c r="DT3" s="23"/>
      <c r="DU3" s="23"/>
      <c r="DV3" s="23"/>
      <c r="DW3" s="82" t="s">
        <v>40</v>
      </c>
      <c r="DX3" s="83"/>
      <c r="DY3" s="86">
        <f>Week1endweight</f>
        <v>193.2844155844156</v>
      </c>
      <c r="DZ3" s="23"/>
      <c r="EA3" s="23"/>
      <c r="EB3" s="23"/>
      <c r="EC3" s="23"/>
      <c r="ED3" s="23"/>
      <c r="EE3" s="23"/>
      <c r="EF3" s="23"/>
      <c r="EG3" s="23"/>
      <c r="EH3" s="23"/>
      <c r="EI3" s="23"/>
      <c r="EJ3" s="23"/>
      <c r="EK3" s="23"/>
      <c r="EL3" s="23"/>
      <c r="EM3" s="23"/>
      <c r="EN3" s="23"/>
      <c r="EO3" s="23"/>
      <c r="EP3" s="23"/>
      <c r="EQ3" s="23"/>
      <c r="ER3" s="23"/>
      <c r="ES3" s="23"/>
      <c r="ET3" s="23"/>
      <c r="EU3" s="23"/>
      <c r="EV3" s="82" t="s">
        <v>40</v>
      </c>
      <c r="EW3" s="83"/>
      <c r="EX3" s="86">
        <f>Week1endweight</f>
        <v>193.2844155844156</v>
      </c>
      <c r="EY3" s="23"/>
      <c r="EZ3" s="23"/>
      <c r="FA3" s="23"/>
      <c r="FB3" s="23"/>
      <c r="FC3" s="23"/>
      <c r="FD3" s="23"/>
      <c r="FE3" s="23"/>
      <c r="FF3" s="23"/>
      <c r="FG3" s="23"/>
      <c r="FH3" s="23"/>
      <c r="FI3" s="23"/>
      <c r="FJ3" s="23"/>
      <c r="FK3" s="23"/>
      <c r="FL3" s="23"/>
      <c r="FM3" s="23"/>
      <c r="FN3" s="23"/>
      <c r="FO3" s="23"/>
      <c r="FP3" s="23"/>
      <c r="FQ3" s="23"/>
      <c r="FR3" s="23"/>
      <c r="FS3" s="23"/>
    </row>
    <row r="4" spans="1:175" ht="15" thickBot="1" x14ac:dyDescent="0.4">
      <c r="A4" s="23"/>
      <c r="B4" s="84"/>
      <c r="C4" s="85"/>
      <c r="D4" s="87"/>
      <c r="E4" s="23"/>
      <c r="F4" s="23"/>
      <c r="G4" s="23"/>
      <c r="H4" s="23"/>
      <c r="I4" s="23"/>
      <c r="J4" s="23"/>
      <c r="K4" s="23"/>
      <c r="L4" s="23"/>
      <c r="M4" s="23"/>
      <c r="N4" s="23"/>
      <c r="O4" s="23"/>
      <c r="P4" s="23"/>
      <c r="Q4" s="23"/>
      <c r="R4" s="23"/>
      <c r="S4" s="23"/>
      <c r="T4" s="23"/>
      <c r="U4" s="23"/>
      <c r="V4" s="23"/>
      <c r="W4" s="23"/>
      <c r="X4" s="23"/>
      <c r="Y4" s="23"/>
      <c r="Z4" s="23"/>
      <c r="AA4" s="84"/>
      <c r="AB4" s="85"/>
      <c r="AC4" s="87"/>
      <c r="AD4" s="23"/>
      <c r="AE4" s="23"/>
      <c r="AF4" s="23"/>
      <c r="AG4" s="23"/>
      <c r="AH4" s="23"/>
      <c r="AI4" s="23"/>
      <c r="AJ4" s="23"/>
      <c r="AK4" s="23"/>
      <c r="AL4" s="23"/>
      <c r="AM4" s="23"/>
      <c r="AN4" s="23"/>
      <c r="AO4" s="23"/>
      <c r="AP4" s="23"/>
      <c r="AQ4" s="23"/>
      <c r="AR4" s="23"/>
      <c r="AS4" s="23"/>
      <c r="AT4" s="23"/>
      <c r="AU4" s="23"/>
      <c r="AV4" s="23"/>
      <c r="AW4" s="23"/>
      <c r="AX4" s="23"/>
      <c r="AY4" s="23"/>
      <c r="AZ4" s="84"/>
      <c r="BA4" s="85"/>
      <c r="BB4" s="87"/>
      <c r="BC4" s="23"/>
      <c r="BD4" s="23"/>
      <c r="BE4" s="23"/>
      <c r="BF4" s="23"/>
      <c r="BG4" s="23"/>
      <c r="BH4" s="23"/>
      <c r="BI4" s="23"/>
      <c r="BJ4" s="23"/>
      <c r="BK4" s="23"/>
      <c r="BL4" s="23"/>
      <c r="BM4" s="23"/>
      <c r="BN4" s="23"/>
      <c r="BO4" s="23"/>
      <c r="BP4" s="23"/>
      <c r="BQ4" s="23"/>
      <c r="BR4" s="23"/>
      <c r="BS4" s="23"/>
      <c r="BT4" s="23"/>
      <c r="BU4" s="23"/>
      <c r="BV4" s="23"/>
      <c r="BW4" s="23"/>
      <c r="BX4" s="23"/>
      <c r="BY4" s="84"/>
      <c r="BZ4" s="85"/>
      <c r="CA4" s="87"/>
      <c r="CB4" s="23"/>
      <c r="CC4" s="23"/>
      <c r="CD4" s="23"/>
      <c r="CE4" s="23"/>
      <c r="CF4" s="23"/>
      <c r="CG4" s="23"/>
      <c r="CH4" s="23"/>
      <c r="CI4" s="23"/>
      <c r="CJ4" s="23"/>
      <c r="CK4" s="23"/>
      <c r="CL4" s="23"/>
      <c r="CM4" s="23"/>
      <c r="CN4" s="23"/>
      <c r="CO4" s="23"/>
      <c r="CP4" s="23"/>
      <c r="CQ4" s="23"/>
      <c r="CR4" s="23"/>
      <c r="CS4" s="23"/>
      <c r="CT4" s="23"/>
      <c r="CU4" s="23"/>
      <c r="CV4" s="23"/>
      <c r="CW4" s="23"/>
      <c r="CX4" s="84"/>
      <c r="CY4" s="85"/>
      <c r="CZ4" s="87"/>
      <c r="DA4" s="23"/>
      <c r="DB4" s="23"/>
      <c r="DC4" s="23"/>
      <c r="DD4" s="23"/>
      <c r="DE4" s="23"/>
      <c r="DF4" s="23"/>
      <c r="DG4" s="23"/>
      <c r="DH4" s="23"/>
      <c r="DI4" s="23"/>
      <c r="DJ4" s="23"/>
      <c r="DK4" s="23"/>
      <c r="DL4" s="23"/>
      <c r="DM4" s="23"/>
      <c r="DN4" s="23"/>
      <c r="DO4" s="23"/>
      <c r="DP4" s="23"/>
      <c r="DQ4" s="23"/>
      <c r="DR4" s="23"/>
      <c r="DS4" s="23"/>
      <c r="DT4" s="23"/>
      <c r="DU4" s="23"/>
      <c r="DV4" s="23"/>
      <c r="DW4" s="84"/>
      <c r="DX4" s="85"/>
      <c r="DY4" s="87"/>
      <c r="DZ4" s="23"/>
      <c r="EA4" s="23"/>
      <c r="EB4" s="23"/>
      <c r="EC4" s="23"/>
      <c r="ED4" s="23"/>
      <c r="EE4" s="23"/>
      <c r="EF4" s="23"/>
      <c r="EG4" s="23"/>
      <c r="EH4" s="23"/>
      <c r="EI4" s="23"/>
      <c r="EJ4" s="23"/>
      <c r="EK4" s="23"/>
      <c r="EL4" s="23"/>
      <c r="EM4" s="23"/>
      <c r="EN4" s="23"/>
      <c r="EO4" s="23"/>
      <c r="EP4" s="23"/>
      <c r="EQ4" s="23"/>
      <c r="ER4" s="23"/>
      <c r="ES4" s="23"/>
      <c r="ET4" s="23"/>
      <c r="EU4" s="23"/>
      <c r="EV4" s="84"/>
      <c r="EW4" s="85"/>
      <c r="EX4" s="87"/>
      <c r="EY4" s="23"/>
      <c r="EZ4" s="23"/>
      <c r="FA4" s="23"/>
      <c r="FB4" s="23"/>
      <c r="FC4" s="23"/>
      <c r="FD4" s="23"/>
      <c r="FE4" s="23"/>
      <c r="FF4" s="23"/>
      <c r="FG4" s="23"/>
      <c r="FH4" s="23"/>
      <c r="FI4" s="23"/>
      <c r="FJ4" s="23"/>
      <c r="FK4" s="23"/>
      <c r="FL4" s="23"/>
      <c r="FM4" s="23"/>
      <c r="FN4" s="23"/>
      <c r="FO4" s="23"/>
      <c r="FP4" s="23"/>
      <c r="FQ4" s="23"/>
      <c r="FR4" s="23"/>
      <c r="FS4" s="23"/>
    </row>
    <row r="5" spans="1:175" x14ac:dyDescent="0.35">
      <c r="A5" s="23"/>
      <c r="B5" s="23"/>
      <c r="C5" s="23"/>
      <c r="D5" s="23"/>
      <c r="E5" s="23"/>
      <c r="F5" s="23"/>
      <c r="G5" s="25"/>
      <c r="H5" s="26"/>
      <c r="I5" s="26"/>
      <c r="J5" s="26"/>
      <c r="K5" s="23"/>
      <c r="L5" s="23"/>
      <c r="M5" s="23"/>
      <c r="N5" s="23"/>
      <c r="O5" s="23"/>
      <c r="P5" s="23"/>
      <c r="Q5" s="23"/>
      <c r="R5" s="23"/>
      <c r="S5" s="23"/>
      <c r="T5" s="23"/>
      <c r="U5" s="23"/>
      <c r="V5" s="23"/>
      <c r="W5" s="23"/>
      <c r="X5" s="23"/>
      <c r="Y5" s="23"/>
      <c r="Z5" s="23"/>
      <c r="AA5" s="23"/>
      <c r="AB5" s="23"/>
      <c r="AC5" s="23"/>
      <c r="AD5" s="23"/>
      <c r="AE5" s="23"/>
      <c r="AF5" s="25"/>
      <c r="AG5" s="26"/>
      <c r="AH5" s="26"/>
      <c r="AI5" s="26"/>
      <c r="AJ5" s="23"/>
      <c r="AK5" s="23"/>
      <c r="AL5" s="23"/>
      <c r="AM5" s="23"/>
      <c r="AN5" s="23"/>
      <c r="AO5" s="23"/>
      <c r="AP5" s="23"/>
      <c r="AQ5" s="23"/>
      <c r="AR5" s="23"/>
      <c r="AS5" s="23"/>
      <c r="AT5" s="23"/>
      <c r="AU5" s="23"/>
      <c r="AV5" s="23"/>
      <c r="AW5" s="23"/>
      <c r="AX5" s="23"/>
      <c r="AY5" s="23"/>
      <c r="AZ5" s="23"/>
      <c r="BA5" s="23"/>
      <c r="BB5" s="23"/>
      <c r="BC5" s="23"/>
      <c r="BD5" s="23"/>
      <c r="BE5" s="25"/>
      <c r="BF5" s="26"/>
      <c r="BG5" s="26"/>
      <c r="BH5" s="26"/>
      <c r="BI5" s="23"/>
      <c r="BJ5" s="23"/>
      <c r="BK5" s="23"/>
      <c r="BL5" s="23"/>
      <c r="BM5" s="23"/>
      <c r="BN5" s="23"/>
      <c r="BO5" s="23"/>
      <c r="BP5" s="23"/>
      <c r="BQ5" s="23"/>
      <c r="BR5" s="23"/>
      <c r="BS5" s="23"/>
      <c r="BT5" s="23"/>
      <c r="BU5" s="23"/>
      <c r="BV5" s="23"/>
      <c r="BW5" s="23"/>
      <c r="BX5" s="23"/>
      <c r="BY5" s="23"/>
      <c r="BZ5" s="23"/>
      <c r="CA5" s="23"/>
      <c r="CB5" s="23"/>
      <c r="CC5" s="23"/>
      <c r="CD5" s="25"/>
      <c r="CE5" s="26"/>
      <c r="CF5" s="26"/>
      <c r="CG5" s="26"/>
      <c r="CH5" s="23"/>
      <c r="CI5" s="23"/>
      <c r="CJ5" s="23"/>
      <c r="CK5" s="23"/>
      <c r="CL5" s="23"/>
      <c r="CM5" s="23"/>
      <c r="CN5" s="23"/>
      <c r="CO5" s="23"/>
      <c r="CP5" s="23"/>
      <c r="CQ5" s="23"/>
      <c r="CR5" s="23"/>
      <c r="CS5" s="23"/>
      <c r="CT5" s="23"/>
      <c r="CU5" s="23"/>
      <c r="CV5" s="23"/>
      <c r="CW5" s="23"/>
      <c r="CX5" s="23"/>
      <c r="CY5" s="23"/>
      <c r="CZ5" s="23"/>
      <c r="DA5" s="23"/>
      <c r="DB5" s="23"/>
      <c r="DC5" s="25"/>
      <c r="DD5" s="26"/>
      <c r="DE5" s="26"/>
      <c r="DF5" s="26"/>
      <c r="DG5" s="23"/>
      <c r="DH5" s="23"/>
      <c r="DI5" s="23"/>
      <c r="DJ5" s="23"/>
      <c r="DK5" s="23"/>
      <c r="DL5" s="23"/>
      <c r="DM5" s="23"/>
      <c r="DN5" s="23"/>
      <c r="DO5" s="23"/>
      <c r="DP5" s="23"/>
      <c r="DQ5" s="23"/>
      <c r="DR5" s="23"/>
      <c r="DS5" s="23"/>
      <c r="DT5" s="23"/>
      <c r="DU5" s="23"/>
      <c r="DV5" s="23"/>
      <c r="DW5" s="23"/>
      <c r="DX5" s="23"/>
      <c r="DY5" s="23"/>
      <c r="DZ5" s="23"/>
      <c r="EA5" s="23"/>
      <c r="EB5" s="25"/>
      <c r="EC5" s="26"/>
      <c r="ED5" s="26"/>
      <c r="EE5" s="26"/>
      <c r="EF5" s="23"/>
      <c r="EG5" s="23"/>
      <c r="EH5" s="23"/>
      <c r="EI5" s="23"/>
      <c r="EJ5" s="23"/>
      <c r="EK5" s="23"/>
      <c r="EL5" s="23"/>
      <c r="EM5" s="23"/>
      <c r="EN5" s="23"/>
      <c r="EO5" s="23"/>
      <c r="EP5" s="23"/>
      <c r="EQ5" s="23"/>
      <c r="ER5" s="23"/>
      <c r="ES5" s="23"/>
      <c r="ET5" s="23"/>
      <c r="EU5" s="23"/>
      <c r="EV5" s="23"/>
      <c r="EW5" s="23"/>
      <c r="EX5" s="23"/>
      <c r="EY5" s="23"/>
      <c r="EZ5" s="23"/>
      <c r="FA5" s="25"/>
      <c r="FB5" s="26"/>
      <c r="FC5" s="26"/>
      <c r="FD5" s="26"/>
      <c r="FE5" s="23"/>
      <c r="FF5" s="23"/>
      <c r="FG5" s="23"/>
      <c r="FH5" s="23"/>
      <c r="FI5" s="23"/>
      <c r="FJ5" s="23"/>
      <c r="FK5" s="23"/>
      <c r="FL5" s="23"/>
      <c r="FM5" s="23"/>
      <c r="FN5" s="23"/>
      <c r="FO5" s="23"/>
      <c r="FP5" s="23"/>
      <c r="FQ5" s="23"/>
      <c r="FR5" s="23"/>
      <c r="FS5" s="23"/>
    </row>
    <row r="6" spans="1:175" x14ac:dyDescent="0.35">
      <c r="A6" s="23"/>
      <c r="B6" s="23"/>
      <c r="C6" s="23"/>
      <c r="D6" s="23"/>
      <c r="E6" s="23"/>
      <c r="F6" s="23"/>
      <c r="G6" s="26"/>
      <c r="H6" s="26"/>
      <c r="I6" s="26"/>
      <c r="J6" s="26"/>
      <c r="K6" s="23"/>
      <c r="L6" s="23"/>
      <c r="M6" s="23"/>
      <c r="N6" s="23"/>
      <c r="O6" s="23"/>
      <c r="P6" s="23"/>
      <c r="Q6" s="23"/>
      <c r="R6" s="23"/>
      <c r="S6" s="23"/>
      <c r="T6" s="23"/>
      <c r="U6" s="23"/>
      <c r="V6" s="23"/>
      <c r="W6" s="23"/>
      <c r="X6" s="23"/>
      <c r="Y6" s="23"/>
      <c r="Z6" s="23"/>
      <c r="AA6" s="23"/>
      <c r="AB6" s="23"/>
      <c r="AC6" s="23"/>
      <c r="AD6" s="23"/>
      <c r="AE6" s="23"/>
      <c r="AF6" s="26"/>
      <c r="AG6" s="26"/>
      <c r="AH6" s="26"/>
      <c r="AI6" s="26"/>
      <c r="AJ6" s="23"/>
      <c r="AK6" s="23"/>
      <c r="AL6" s="23"/>
      <c r="AM6" s="23"/>
      <c r="AN6" s="23"/>
      <c r="AO6" s="23"/>
      <c r="AP6" s="23"/>
      <c r="AQ6" s="23"/>
      <c r="AR6" s="23"/>
      <c r="AS6" s="23"/>
      <c r="AT6" s="23"/>
      <c r="AU6" s="23"/>
      <c r="AV6" s="23"/>
      <c r="AW6" s="23"/>
      <c r="AX6" s="23"/>
      <c r="AY6" s="23"/>
      <c r="AZ6" s="23"/>
      <c r="BA6" s="23"/>
      <c r="BB6" s="23"/>
      <c r="BC6" s="23"/>
      <c r="BD6" s="23"/>
      <c r="BE6" s="26"/>
      <c r="BF6" s="26"/>
      <c r="BG6" s="26"/>
      <c r="BH6" s="26"/>
      <c r="BI6" s="23"/>
      <c r="BJ6" s="23"/>
      <c r="BK6" s="23"/>
      <c r="BL6" s="23"/>
      <c r="BM6" s="23"/>
      <c r="BN6" s="23"/>
      <c r="BO6" s="23"/>
      <c r="BP6" s="23"/>
      <c r="BQ6" s="23"/>
      <c r="BR6" s="23"/>
      <c r="BS6" s="23"/>
      <c r="BT6" s="23"/>
      <c r="BU6" s="23"/>
      <c r="BV6" s="23"/>
      <c r="BW6" s="23"/>
      <c r="BX6" s="23"/>
      <c r="BY6" s="23"/>
      <c r="BZ6" s="23"/>
      <c r="CA6" s="23"/>
      <c r="CB6" s="23"/>
      <c r="CC6" s="23"/>
      <c r="CD6" s="26"/>
      <c r="CE6" s="26"/>
      <c r="CF6" s="26"/>
      <c r="CG6" s="26"/>
      <c r="CH6" s="23"/>
      <c r="CI6" s="23"/>
      <c r="CJ6" s="23"/>
      <c r="CK6" s="23"/>
      <c r="CL6" s="23"/>
      <c r="CM6" s="23"/>
      <c r="CN6" s="23"/>
      <c r="CO6" s="23"/>
      <c r="CP6" s="23"/>
      <c r="CQ6" s="23"/>
      <c r="CR6" s="23"/>
      <c r="CS6" s="23"/>
      <c r="CT6" s="23"/>
      <c r="CU6" s="23"/>
      <c r="CV6" s="23"/>
      <c r="CW6" s="23"/>
      <c r="CX6" s="23"/>
      <c r="CY6" s="23"/>
      <c r="CZ6" s="23"/>
      <c r="DA6" s="23"/>
      <c r="DB6" s="23"/>
      <c r="DC6" s="26"/>
      <c r="DD6" s="26"/>
      <c r="DE6" s="26"/>
      <c r="DF6" s="26"/>
      <c r="DG6" s="23"/>
      <c r="DH6" s="23"/>
      <c r="DI6" s="23"/>
      <c r="DJ6" s="23"/>
      <c r="DK6" s="23"/>
      <c r="DL6" s="23"/>
      <c r="DM6" s="23"/>
      <c r="DN6" s="23"/>
      <c r="DO6" s="23"/>
      <c r="DP6" s="23"/>
      <c r="DQ6" s="23"/>
      <c r="DR6" s="23"/>
      <c r="DS6" s="23"/>
      <c r="DT6" s="23"/>
      <c r="DU6" s="23"/>
      <c r="DV6" s="23"/>
      <c r="DW6" s="23"/>
      <c r="DX6" s="23"/>
      <c r="DY6" s="23"/>
      <c r="DZ6" s="23"/>
      <c r="EA6" s="23"/>
      <c r="EB6" s="26"/>
      <c r="EC6" s="26"/>
      <c r="ED6" s="26"/>
      <c r="EE6" s="26"/>
      <c r="EF6" s="23"/>
      <c r="EG6" s="23"/>
      <c r="EH6" s="23"/>
      <c r="EI6" s="23"/>
      <c r="EJ6" s="23"/>
      <c r="EK6" s="23"/>
      <c r="EL6" s="23"/>
      <c r="EM6" s="23"/>
      <c r="EN6" s="23"/>
      <c r="EO6" s="23"/>
      <c r="EP6" s="23"/>
      <c r="EQ6" s="23"/>
      <c r="ER6" s="23"/>
      <c r="ES6" s="23"/>
      <c r="ET6" s="23"/>
      <c r="EU6" s="23"/>
      <c r="EV6" s="23"/>
      <c r="EW6" s="23"/>
      <c r="EX6" s="23"/>
      <c r="EY6" s="23"/>
      <c r="EZ6" s="23"/>
      <c r="FA6" s="26"/>
      <c r="FB6" s="26"/>
      <c r="FC6" s="26"/>
      <c r="FD6" s="26"/>
      <c r="FE6" s="23"/>
      <c r="FF6" s="23"/>
      <c r="FG6" s="23"/>
      <c r="FH6" s="23"/>
      <c r="FI6" s="23"/>
      <c r="FJ6" s="23"/>
      <c r="FK6" s="23"/>
      <c r="FL6" s="23"/>
      <c r="FM6" s="23"/>
      <c r="FN6" s="23"/>
      <c r="FO6" s="23"/>
      <c r="FP6" s="23"/>
      <c r="FQ6" s="23"/>
      <c r="FR6" s="23"/>
      <c r="FS6" s="23"/>
    </row>
    <row r="7" spans="1:175" x14ac:dyDescent="0.35">
      <c r="A7" s="23"/>
      <c r="B7" s="23"/>
      <c r="C7" s="23"/>
      <c r="D7" s="23"/>
      <c r="E7" s="23"/>
      <c r="F7" s="23"/>
      <c r="G7" s="25"/>
      <c r="H7" s="25"/>
      <c r="I7" s="27"/>
      <c r="J7" s="23"/>
      <c r="K7" s="23"/>
      <c r="L7" s="23"/>
      <c r="M7" s="23"/>
      <c r="N7" s="23"/>
      <c r="O7" s="23"/>
      <c r="P7" s="23"/>
      <c r="Q7" s="23"/>
      <c r="R7" s="23"/>
      <c r="S7" s="23"/>
      <c r="T7" s="23"/>
      <c r="U7" s="23"/>
      <c r="V7" s="23"/>
      <c r="W7" s="23"/>
      <c r="X7" s="23"/>
      <c r="Y7" s="23"/>
      <c r="Z7" s="23"/>
      <c r="AA7" s="23"/>
      <c r="AB7" s="23"/>
      <c r="AC7" s="23"/>
      <c r="AD7" s="23"/>
      <c r="AE7" s="23"/>
      <c r="AF7" s="25"/>
      <c r="AG7" s="25"/>
      <c r="AH7" s="27"/>
      <c r="AI7" s="23"/>
      <c r="AJ7" s="23"/>
      <c r="AK7" s="23"/>
      <c r="AL7" s="23"/>
      <c r="AM7" s="23"/>
      <c r="AN7" s="23"/>
      <c r="AO7" s="23"/>
      <c r="AP7" s="23"/>
      <c r="AQ7" s="23"/>
      <c r="AR7" s="23"/>
      <c r="AS7" s="23"/>
      <c r="AT7" s="23"/>
      <c r="AU7" s="23"/>
      <c r="AV7" s="23"/>
      <c r="AW7" s="23"/>
      <c r="AX7" s="23"/>
      <c r="AY7" s="23"/>
      <c r="AZ7" s="23"/>
      <c r="BA7" s="23"/>
      <c r="BB7" s="23"/>
      <c r="BC7" s="23"/>
      <c r="BD7" s="23"/>
      <c r="BE7" s="25"/>
      <c r="BF7" s="25"/>
      <c r="BG7" s="27"/>
      <c r="BH7" s="23"/>
      <c r="BI7" s="23"/>
      <c r="BJ7" s="23"/>
      <c r="BK7" s="23"/>
      <c r="BL7" s="23"/>
      <c r="BM7" s="23"/>
      <c r="BN7" s="23"/>
      <c r="BO7" s="23"/>
      <c r="BP7" s="23"/>
      <c r="BQ7" s="23"/>
      <c r="BR7" s="23"/>
      <c r="BS7" s="23"/>
      <c r="BT7" s="23"/>
      <c r="BU7" s="23"/>
      <c r="BV7" s="23"/>
      <c r="BW7" s="23"/>
      <c r="BX7" s="23"/>
      <c r="BY7" s="23"/>
      <c r="BZ7" s="23"/>
      <c r="CA7" s="23"/>
      <c r="CB7" s="23"/>
      <c r="CC7" s="23"/>
      <c r="CD7" s="25"/>
      <c r="CE7" s="25"/>
      <c r="CF7" s="27"/>
      <c r="CG7" s="23"/>
      <c r="CH7" s="23"/>
      <c r="CI7" s="23"/>
      <c r="CJ7" s="23"/>
      <c r="CK7" s="23"/>
      <c r="CL7" s="23"/>
      <c r="CM7" s="23"/>
      <c r="CN7" s="23"/>
      <c r="CO7" s="23"/>
      <c r="CP7" s="23"/>
      <c r="CQ7" s="23"/>
      <c r="CR7" s="23"/>
      <c r="CS7" s="23"/>
      <c r="CT7" s="23"/>
      <c r="CU7" s="23"/>
      <c r="CV7" s="23"/>
      <c r="CW7" s="23"/>
      <c r="CX7" s="23"/>
      <c r="CY7" s="23"/>
      <c r="CZ7" s="23"/>
      <c r="DA7" s="23"/>
      <c r="DB7" s="23"/>
      <c r="DC7" s="25"/>
      <c r="DD7" s="25"/>
      <c r="DE7" s="27"/>
      <c r="DF7" s="23"/>
      <c r="DG7" s="23"/>
      <c r="DH7" s="23"/>
      <c r="DI7" s="23"/>
      <c r="DJ7" s="23"/>
      <c r="DK7" s="23"/>
      <c r="DL7" s="23"/>
      <c r="DM7" s="23"/>
      <c r="DN7" s="23"/>
      <c r="DO7" s="23"/>
      <c r="DP7" s="23"/>
      <c r="DQ7" s="23"/>
      <c r="DR7" s="23"/>
      <c r="DS7" s="23"/>
      <c r="DT7" s="23"/>
      <c r="DU7" s="23"/>
      <c r="DV7" s="23"/>
      <c r="DW7" s="23"/>
      <c r="DX7" s="23"/>
      <c r="DY7" s="23"/>
      <c r="DZ7" s="23"/>
      <c r="EA7" s="23"/>
      <c r="EB7" s="25"/>
      <c r="EC7" s="25"/>
      <c r="ED7" s="27"/>
      <c r="EE7" s="23"/>
      <c r="EF7" s="23"/>
      <c r="EG7" s="23"/>
      <c r="EH7" s="23"/>
      <c r="EI7" s="23"/>
      <c r="EJ7" s="23"/>
      <c r="EK7" s="23"/>
      <c r="EL7" s="23"/>
      <c r="EM7" s="23"/>
      <c r="EN7" s="23"/>
      <c r="EO7" s="23"/>
      <c r="EP7" s="23"/>
      <c r="EQ7" s="23"/>
      <c r="ER7" s="23"/>
      <c r="ES7" s="23"/>
      <c r="ET7" s="23"/>
      <c r="EU7" s="23"/>
      <c r="EV7" s="23"/>
      <c r="EW7" s="23"/>
      <c r="EX7" s="23"/>
      <c r="EY7" s="23"/>
      <c r="EZ7" s="23"/>
      <c r="FA7" s="25"/>
      <c r="FB7" s="25"/>
      <c r="FC7" s="27"/>
      <c r="FD7" s="23"/>
      <c r="FE7" s="23"/>
      <c r="FF7" s="23"/>
      <c r="FG7" s="23"/>
      <c r="FH7" s="23"/>
      <c r="FI7" s="23"/>
      <c r="FJ7" s="23"/>
      <c r="FK7" s="23"/>
      <c r="FL7" s="23"/>
      <c r="FM7" s="23"/>
      <c r="FN7" s="23"/>
      <c r="FO7" s="23"/>
      <c r="FP7" s="23"/>
      <c r="FQ7" s="23"/>
      <c r="FR7" s="23"/>
      <c r="FS7" s="23"/>
    </row>
    <row r="8" spans="1:175" ht="15" thickBot="1" x14ac:dyDescent="0.4">
      <c r="A8" s="23"/>
      <c r="B8" s="23"/>
      <c r="C8" s="23"/>
      <c r="D8" s="23"/>
      <c r="E8" s="23"/>
      <c r="F8" s="23"/>
      <c r="G8" s="25"/>
      <c r="H8" s="25"/>
      <c r="I8" s="26"/>
      <c r="J8" s="23"/>
      <c r="K8" s="23"/>
      <c r="L8" s="23"/>
      <c r="M8" s="23"/>
      <c r="N8" s="23"/>
      <c r="O8" s="23"/>
      <c r="P8" s="23"/>
      <c r="Q8" s="23"/>
      <c r="R8" s="23"/>
      <c r="S8" s="23"/>
      <c r="T8" s="23"/>
      <c r="U8" s="23"/>
      <c r="V8" s="23"/>
      <c r="W8" s="23"/>
      <c r="X8" s="23"/>
      <c r="Y8" s="23"/>
      <c r="Z8" s="23"/>
      <c r="AA8" s="23"/>
      <c r="AB8" s="23"/>
      <c r="AC8" s="23"/>
      <c r="AD8" s="23"/>
      <c r="AE8" s="23"/>
      <c r="AF8" s="25"/>
      <c r="AG8" s="25"/>
      <c r="AH8" s="26"/>
      <c r="AI8" s="23"/>
      <c r="AJ8" s="23"/>
      <c r="AK8" s="23"/>
      <c r="AL8" s="23"/>
      <c r="AM8" s="23"/>
      <c r="AN8" s="23"/>
      <c r="AO8" s="23"/>
      <c r="AP8" s="23"/>
      <c r="AQ8" s="23"/>
      <c r="AR8" s="23"/>
      <c r="AS8" s="23"/>
      <c r="AT8" s="23"/>
      <c r="AU8" s="23"/>
      <c r="AV8" s="23"/>
      <c r="AW8" s="23"/>
      <c r="AX8" s="23"/>
      <c r="AY8" s="23"/>
      <c r="AZ8" s="23"/>
      <c r="BA8" s="23"/>
      <c r="BB8" s="23"/>
      <c r="BC8" s="23"/>
      <c r="BD8" s="23"/>
      <c r="BE8" s="25"/>
      <c r="BF8" s="25"/>
      <c r="BG8" s="26"/>
      <c r="BH8" s="23"/>
      <c r="BI8" s="23"/>
      <c r="BJ8" s="23"/>
      <c r="BK8" s="23"/>
      <c r="BL8" s="23"/>
      <c r="BM8" s="23"/>
      <c r="BN8" s="23"/>
      <c r="BO8" s="23"/>
      <c r="BP8" s="23"/>
      <c r="BQ8" s="23"/>
      <c r="BR8" s="23"/>
      <c r="BS8" s="23"/>
      <c r="BT8" s="23"/>
      <c r="BU8" s="23"/>
      <c r="BV8" s="23"/>
      <c r="BW8" s="23"/>
      <c r="BX8" s="23"/>
      <c r="BY8" s="23"/>
      <c r="BZ8" s="23"/>
      <c r="CA8" s="23"/>
      <c r="CB8" s="23"/>
      <c r="CC8" s="23"/>
      <c r="CD8" s="25"/>
      <c r="CE8" s="25"/>
      <c r="CF8" s="26"/>
      <c r="CG8" s="23"/>
      <c r="CH8" s="23"/>
      <c r="CI8" s="23"/>
      <c r="CJ8" s="23"/>
      <c r="CK8" s="23"/>
      <c r="CL8" s="23"/>
      <c r="CM8" s="23"/>
      <c r="CN8" s="23"/>
      <c r="CO8" s="23"/>
      <c r="CP8" s="23"/>
      <c r="CQ8" s="23"/>
      <c r="CR8" s="23"/>
      <c r="CS8" s="23"/>
      <c r="CT8" s="23"/>
      <c r="CU8" s="23"/>
      <c r="CV8" s="23"/>
      <c r="CW8" s="23"/>
      <c r="CX8" s="23"/>
      <c r="CY8" s="23"/>
      <c r="CZ8" s="23"/>
      <c r="DA8" s="23"/>
      <c r="DB8" s="23"/>
      <c r="DC8" s="25"/>
      <c r="DD8" s="25"/>
      <c r="DE8" s="26"/>
      <c r="DF8" s="23"/>
      <c r="DG8" s="23"/>
      <c r="DH8" s="23"/>
      <c r="DI8" s="23"/>
      <c r="DJ8" s="23"/>
      <c r="DK8" s="23"/>
      <c r="DL8" s="23"/>
      <c r="DM8" s="23"/>
      <c r="DN8" s="23"/>
      <c r="DO8" s="23"/>
      <c r="DP8" s="23"/>
      <c r="DQ8" s="23"/>
      <c r="DR8" s="23"/>
      <c r="DS8" s="23"/>
      <c r="DT8" s="23"/>
      <c r="DU8" s="23"/>
      <c r="DV8" s="23"/>
      <c r="DW8" s="23"/>
      <c r="DX8" s="23"/>
      <c r="DY8" s="23"/>
      <c r="DZ8" s="23"/>
      <c r="EA8" s="23"/>
      <c r="EB8" s="25"/>
      <c r="EC8" s="25"/>
      <c r="ED8" s="26"/>
      <c r="EE8" s="23"/>
      <c r="EF8" s="23"/>
      <c r="EG8" s="23"/>
      <c r="EH8" s="23"/>
      <c r="EI8" s="23"/>
      <c r="EJ8" s="23"/>
      <c r="EK8" s="23"/>
      <c r="EL8" s="23"/>
      <c r="EM8" s="23"/>
      <c r="EN8" s="23"/>
      <c r="EO8" s="23"/>
      <c r="EP8" s="23"/>
      <c r="EQ8" s="23"/>
      <c r="ER8" s="23"/>
      <c r="ES8" s="23"/>
      <c r="ET8" s="23"/>
      <c r="EU8" s="23"/>
      <c r="EV8" s="23"/>
      <c r="EW8" s="23"/>
      <c r="EX8" s="23"/>
      <c r="EY8" s="23"/>
      <c r="EZ8" s="23"/>
      <c r="FA8" s="25"/>
      <c r="FB8" s="25"/>
      <c r="FC8" s="26"/>
      <c r="FD8" s="23"/>
      <c r="FE8" s="23"/>
      <c r="FF8" s="23"/>
      <c r="FG8" s="23"/>
      <c r="FH8" s="23"/>
      <c r="FI8" s="23"/>
      <c r="FJ8" s="23"/>
      <c r="FK8" s="23"/>
      <c r="FL8" s="23"/>
      <c r="FM8" s="23"/>
      <c r="FN8" s="23"/>
      <c r="FO8" s="23"/>
      <c r="FP8" s="23"/>
      <c r="FQ8" s="23"/>
      <c r="FR8" s="23"/>
      <c r="FS8" s="23"/>
    </row>
    <row r="9" spans="1:175" ht="21" customHeight="1" x14ac:dyDescent="0.35">
      <c r="A9" s="88" t="s">
        <v>41</v>
      </c>
      <c r="B9" s="89"/>
      <c r="C9" s="89"/>
      <c r="D9" s="89"/>
      <c r="E9" s="89"/>
      <c r="F9" s="90"/>
      <c r="G9" s="25"/>
      <c r="H9" s="25"/>
      <c r="I9" s="82" t="s">
        <v>42</v>
      </c>
      <c r="J9" s="102"/>
      <c r="K9" s="102"/>
      <c r="L9" s="102"/>
      <c r="M9" s="102"/>
      <c r="N9" s="102"/>
      <c r="O9" s="102"/>
      <c r="P9" s="102"/>
      <c r="Q9" s="102"/>
      <c r="R9" s="103"/>
      <c r="S9" s="23"/>
      <c r="T9" s="23"/>
      <c r="U9" s="23"/>
      <c r="V9" s="23"/>
      <c r="W9" s="23"/>
      <c r="X9" s="23"/>
      <c r="Y9" s="23"/>
      <c r="Z9" s="88" t="s">
        <v>43</v>
      </c>
      <c r="AA9" s="89"/>
      <c r="AB9" s="89"/>
      <c r="AC9" s="89"/>
      <c r="AD9" s="89"/>
      <c r="AE9" s="90"/>
      <c r="AF9" s="25"/>
      <c r="AG9" s="25"/>
      <c r="AH9" s="82" t="s">
        <v>44</v>
      </c>
      <c r="AI9" s="102"/>
      <c r="AJ9" s="102"/>
      <c r="AK9" s="102"/>
      <c r="AL9" s="102"/>
      <c r="AM9" s="102"/>
      <c r="AN9" s="102"/>
      <c r="AO9" s="102"/>
      <c r="AP9" s="102"/>
      <c r="AQ9" s="103"/>
      <c r="AR9" s="23"/>
      <c r="AS9" s="23"/>
      <c r="AT9" s="23"/>
      <c r="AU9" s="23"/>
      <c r="AV9" s="23"/>
      <c r="AW9" s="23"/>
      <c r="AX9" s="23"/>
      <c r="AY9" s="88" t="s">
        <v>45</v>
      </c>
      <c r="AZ9" s="89"/>
      <c r="BA9" s="89"/>
      <c r="BB9" s="89"/>
      <c r="BC9" s="89"/>
      <c r="BD9" s="90"/>
      <c r="BE9" s="25"/>
      <c r="BF9" s="25"/>
      <c r="BG9" s="82" t="s">
        <v>46</v>
      </c>
      <c r="BH9" s="102"/>
      <c r="BI9" s="102"/>
      <c r="BJ9" s="102"/>
      <c r="BK9" s="102"/>
      <c r="BL9" s="102"/>
      <c r="BM9" s="102"/>
      <c r="BN9" s="102"/>
      <c r="BO9" s="102"/>
      <c r="BP9" s="103"/>
      <c r="BQ9" s="23"/>
      <c r="BR9" s="23"/>
      <c r="BS9" s="23"/>
      <c r="BT9" s="23"/>
      <c r="BU9" s="23"/>
      <c r="BV9" s="23"/>
      <c r="BW9" s="23"/>
      <c r="BX9" s="88" t="s">
        <v>47</v>
      </c>
      <c r="BY9" s="89"/>
      <c r="BZ9" s="89"/>
      <c r="CA9" s="89"/>
      <c r="CB9" s="89"/>
      <c r="CC9" s="90"/>
      <c r="CD9" s="25"/>
      <c r="CE9" s="25"/>
      <c r="CF9" s="82" t="s">
        <v>48</v>
      </c>
      <c r="CG9" s="102"/>
      <c r="CH9" s="102"/>
      <c r="CI9" s="102"/>
      <c r="CJ9" s="102"/>
      <c r="CK9" s="102"/>
      <c r="CL9" s="102"/>
      <c r="CM9" s="102"/>
      <c r="CN9" s="102"/>
      <c r="CO9" s="103"/>
      <c r="CP9" s="23"/>
      <c r="CQ9" s="23"/>
      <c r="CR9" s="23"/>
      <c r="CS9" s="23"/>
      <c r="CT9" s="23"/>
      <c r="CU9" s="23"/>
      <c r="CV9" s="23"/>
      <c r="CW9" s="88" t="s">
        <v>49</v>
      </c>
      <c r="CX9" s="89"/>
      <c r="CY9" s="89"/>
      <c r="CZ9" s="89"/>
      <c r="DA9" s="89"/>
      <c r="DB9" s="90"/>
      <c r="DC9" s="25"/>
      <c r="DD9" s="25"/>
      <c r="DE9" s="82" t="s">
        <v>50</v>
      </c>
      <c r="DF9" s="102"/>
      <c r="DG9" s="102"/>
      <c r="DH9" s="102"/>
      <c r="DI9" s="102"/>
      <c r="DJ9" s="102"/>
      <c r="DK9" s="102"/>
      <c r="DL9" s="102"/>
      <c r="DM9" s="102"/>
      <c r="DN9" s="103"/>
      <c r="DO9" s="23"/>
      <c r="DP9" s="23"/>
      <c r="DQ9" s="23"/>
      <c r="DR9" s="23"/>
      <c r="DS9" s="23"/>
      <c r="DT9" s="23"/>
      <c r="DU9" s="23"/>
      <c r="DV9" s="88" t="s">
        <v>51</v>
      </c>
      <c r="DW9" s="89"/>
      <c r="DX9" s="89"/>
      <c r="DY9" s="89"/>
      <c r="DZ9" s="89"/>
      <c r="EA9" s="90"/>
      <c r="EB9" s="25"/>
      <c r="EC9" s="25"/>
      <c r="ED9" s="82" t="s">
        <v>52</v>
      </c>
      <c r="EE9" s="102"/>
      <c r="EF9" s="102"/>
      <c r="EG9" s="102"/>
      <c r="EH9" s="102"/>
      <c r="EI9" s="102"/>
      <c r="EJ9" s="102"/>
      <c r="EK9" s="102"/>
      <c r="EL9" s="102"/>
      <c r="EM9" s="103"/>
      <c r="EN9" s="23"/>
      <c r="EO9" s="23"/>
      <c r="EP9" s="23"/>
      <c r="EQ9" s="23"/>
      <c r="ER9" s="23"/>
      <c r="ES9" s="23"/>
      <c r="ET9" s="23"/>
      <c r="EU9" s="88" t="s">
        <v>53</v>
      </c>
      <c r="EV9" s="89"/>
      <c r="EW9" s="89"/>
      <c r="EX9" s="89"/>
      <c r="EY9" s="89"/>
      <c r="EZ9" s="90"/>
      <c r="FA9" s="25"/>
      <c r="FB9" s="25"/>
      <c r="FC9" s="82" t="s">
        <v>54</v>
      </c>
      <c r="FD9" s="102"/>
      <c r="FE9" s="102"/>
      <c r="FF9" s="102"/>
      <c r="FG9" s="102"/>
      <c r="FH9" s="102"/>
      <c r="FI9" s="102"/>
      <c r="FJ9" s="102"/>
      <c r="FK9" s="102"/>
      <c r="FL9" s="103"/>
      <c r="FM9" s="23"/>
      <c r="FN9" s="23"/>
      <c r="FO9" s="23"/>
      <c r="FP9" s="23"/>
      <c r="FQ9" s="23"/>
      <c r="FR9" s="23"/>
      <c r="FS9" s="23"/>
    </row>
    <row r="10" spans="1:175" ht="15" customHeight="1" thickBot="1" x14ac:dyDescent="0.4">
      <c r="A10" s="91"/>
      <c r="B10" s="92"/>
      <c r="C10" s="92"/>
      <c r="D10" s="92"/>
      <c r="E10" s="92"/>
      <c r="F10" s="93"/>
      <c r="G10" s="25"/>
      <c r="H10" s="25"/>
      <c r="I10" s="104"/>
      <c r="J10" s="105"/>
      <c r="K10" s="105"/>
      <c r="L10" s="105"/>
      <c r="M10" s="105"/>
      <c r="N10" s="105"/>
      <c r="O10" s="105"/>
      <c r="P10" s="105"/>
      <c r="Q10" s="105"/>
      <c r="R10" s="106"/>
      <c r="S10" s="23"/>
      <c r="T10" s="23"/>
      <c r="U10" s="23"/>
      <c r="V10" s="23"/>
      <c r="W10" s="23"/>
      <c r="X10" s="23"/>
      <c r="Y10" s="23"/>
      <c r="Z10" s="91"/>
      <c r="AA10" s="92"/>
      <c r="AB10" s="92"/>
      <c r="AC10" s="92"/>
      <c r="AD10" s="92"/>
      <c r="AE10" s="93"/>
      <c r="AF10" s="25"/>
      <c r="AG10" s="25"/>
      <c r="AH10" s="104"/>
      <c r="AI10" s="105"/>
      <c r="AJ10" s="105"/>
      <c r="AK10" s="105"/>
      <c r="AL10" s="105"/>
      <c r="AM10" s="105"/>
      <c r="AN10" s="105"/>
      <c r="AO10" s="105"/>
      <c r="AP10" s="105"/>
      <c r="AQ10" s="106"/>
      <c r="AR10" s="23"/>
      <c r="AS10" s="23"/>
      <c r="AT10" s="23"/>
      <c r="AU10" s="23"/>
      <c r="AV10" s="23"/>
      <c r="AW10" s="23"/>
      <c r="AX10" s="23"/>
      <c r="AY10" s="91"/>
      <c r="AZ10" s="92"/>
      <c r="BA10" s="92"/>
      <c r="BB10" s="92"/>
      <c r="BC10" s="92"/>
      <c r="BD10" s="93"/>
      <c r="BE10" s="25"/>
      <c r="BF10" s="25"/>
      <c r="BG10" s="104"/>
      <c r="BH10" s="105"/>
      <c r="BI10" s="105"/>
      <c r="BJ10" s="105"/>
      <c r="BK10" s="105"/>
      <c r="BL10" s="105"/>
      <c r="BM10" s="105"/>
      <c r="BN10" s="105"/>
      <c r="BO10" s="105"/>
      <c r="BP10" s="106"/>
      <c r="BQ10" s="23"/>
      <c r="BR10" s="23"/>
      <c r="BS10" s="23"/>
      <c r="BT10" s="23"/>
      <c r="BU10" s="23"/>
      <c r="BV10" s="23"/>
      <c r="BW10" s="23"/>
      <c r="BX10" s="91"/>
      <c r="BY10" s="92"/>
      <c r="BZ10" s="92"/>
      <c r="CA10" s="92"/>
      <c r="CB10" s="92"/>
      <c r="CC10" s="93"/>
      <c r="CD10" s="25"/>
      <c r="CE10" s="25"/>
      <c r="CF10" s="104"/>
      <c r="CG10" s="105"/>
      <c r="CH10" s="105"/>
      <c r="CI10" s="105"/>
      <c r="CJ10" s="105"/>
      <c r="CK10" s="105"/>
      <c r="CL10" s="105"/>
      <c r="CM10" s="105"/>
      <c r="CN10" s="105"/>
      <c r="CO10" s="106"/>
      <c r="CP10" s="23"/>
      <c r="CQ10" s="23"/>
      <c r="CR10" s="23"/>
      <c r="CS10" s="23"/>
      <c r="CT10" s="23"/>
      <c r="CU10" s="23"/>
      <c r="CV10" s="23"/>
      <c r="CW10" s="91"/>
      <c r="CX10" s="92"/>
      <c r="CY10" s="92"/>
      <c r="CZ10" s="92"/>
      <c r="DA10" s="92"/>
      <c r="DB10" s="93"/>
      <c r="DC10" s="25"/>
      <c r="DD10" s="25"/>
      <c r="DE10" s="104"/>
      <c r="DF10" s="105"/>
      <c r="DG10" s="105"/>
      <c r="DH10" s="105"/>
      <c r="DI10" s="105"/>
      <c r="DJ10" s="105"/>
      <c r="DK10" s="105"/>
      <c r="DL10" s="105"/>
      <c r="DM10" s="105"/>
      <c r="DN10" s="106"/>
      <c r="DO10" s="23"/>
      <c r="DP10" s="23"/>
      <c r="DQ10" s="23"/>
      <c r="DR10" s="23"/>
      <c r="DS10" s="23"/>
      <c r="DT10" s="23"/>
      <c r="DU10" s="23"/>
      <c r="DV10" s="91"/>
      <c r="DW10" s="92"/>
      <c r="DX10" s="92"/>
      <c r="DY10" s="92"/>
      <c r="DZ10" s="92"/>
      <c r="EA10" s="93"/>
      <c r="EB10" s="25"/>
      <c r="EC10" s="25"/>
      <c r="ED10" s="104"/>
      <c r="EE10" s="105"/>
      <c r="EF10" s="105"/>
      <c r="EG10" s="105"/>
      <c r="EH10" s="105"/>
      <c r="EI10" s="105"/>
      <c r="EJ10" s="105"/>
      <c r="EK10" s="105"/>
      <c r="EL10" s="105"/>
      <c r="EM10" s="106"/>
      <c r="EN10" s="23"/>
      <c r="EO10" s="23"/>
      <c r="EP10" s="23"/>
      <c r="EQ10" s="23"/>
      <c r="ER10" s="23"/>
      <c r="ES10" s="23"/>
      <c r="ET10" s="23"/>
      <c r="EU10" s="91"/>
      <c r="EV10" s="92"/>
      <c r="EW10" s="92"/>
      <c r="EX10" s="92"/>
      <c r="EY10" s="92"/>
      <c r="EZ10" s="93"/>
      <c r="FA10" s="25"/>
      <c r="FB10" s="25"/>
      <c r="FC10" s="104"/>
      <c r="FD10" s="105"/>
      <c r="FE10" s="105"/>
      <c r="FF10" s="105"/>
      <c r="FG10" s="105"/>
      <c r="FH10" s="105"/>
      <c r="FI10" s="105"/>
      <c r="FJ10" s="105"/>
      <c r="FK10" s="105"/>
      <c r="FL10" s="106"/>
      <c r="FM10" s="23"/>
      <c r="FN10" s="23"/>
      <c r="FO10" s="23"/>
      <c r="FP10" s="23"/>
      <c r="FQ10" s="23"/>
      <c r="FR10" s="23"/>
      <c r="FS10" s="23"/>
    </row>
    <row r="11" spans="1:175" ht="16" x14ac:dyDescent="0.35">
      <c r="A11" s="107" t="s">
        <v>1</v>
      </c>
      <c r="B11" s="108"/>
      <c r="C11" s="113" t="s">
        <v>6</v>
      </c>
      <c r="D11" s="107" t="s">
        <v>55</v>
      </c>
      <c r="E11" s="108"/>
      <c r="F11" s="116">
        <f>VLOOKUP(C11,BREAKFASTTABLE,2,FALSE)</f>
        <v>310</v>
      </c>
      <c r="G11" s="23"/>
      <c r="H11" s="23"/>
      <c r="I11" s="17" t="s">
        <v>56</v>
      </c>
      <c r="J11" s="28"/>
      <c r="K11" s="17" t="s">
        <v>4</v>
      </c>
      <c r="L11" s="28"/>
      <c r="M11" s="17" t="s">
        <v>57</v>
      </c>
      <c r="N11" s="28"/>
      <c r="O11" s="17" t="s">
        <v>58</v>
      </c>
      <c r="P11" s="28"/>
      <c r="Q11" s="17" t="s">
        <v>59</v>
      </c>
      <c r="R11" s="28"/>
      <c r="S11" s="23"/>
      <c r="T11" s="23"/>
      <c r="U11" s="23"/>
      <c r="V11" s="23"/>
      <c r="W11" s="23"/>
      <c r="X11" s="23"/>
      <c r="Y11" s="23"/>
      <c r="Z11" s="107" t="s">
        <v>1</v>
      </c>
      <c r="AA11" s="108"/>
      <c r="AB11" s="113" t="s">
        <v>7</v>
      </c>
      <c r="AC11" s="107" t="s">
        <v>55</v>
      </c>
      <c r="AD11" s="108"/>
      <c r="AE11" s="116">
        <f>VLOOKUP(AB11,BREAKFASTTABLE,2,FALSE)</f>
        <v>265</v>
      </c>
      <c r="AF11" s="23"/>
      <c r="AG11" s="23"/>
      <c r="AH11" s="17" t="s">
        <v>56</v>
      </c>
      <c r="AI11" s="28"/>
      <c r="AJ11" s="17" t="s">
        <v>4</v>
      </c>
      <c r="AK11" s="28"/>
      <c r="AL11" s="17" t="s">
        <v>57</v>
      </c>
      <c r="AM11" s="28"/>
      <c r="AN11" s="17" t="s">
        <v>58</v>
      </c>
      <c r="AO11" s="28"/>
      <c r="AP11" s="17" t="s">
        <v>59</v>
      </c>
      <c r="AQ11" s="28"/>
      <c r="AR11" s="23"/>
      <c r="AS11" s="23"/>
      <c r="AT11" s="23"/>
      <c r="AU11" s="23"/>
      <c r="AV11" s="23"/>
      <c r="AW11" s="23"/>
      <c r="AX11" s="23"/>
      <c r="AY11" s="107" t="s">
        <v>1</v>
      </c>
      <c r="AZ11" s="108"/>
      <c r="BA11" s="113" t="s">
        <v>9</v>
      </c>
      <c r="BB11" s="107" t="s">
        <v>55</v>
      </c>
      <c r="BC11" s="108"/>
      <c r="BD11" s="116">
        <f>VLOOKUP(BA11,BREAKFASTTABLE,2,FALSE)</f>
        <v>340</v>
      </c>
      <c r="BE11" s="23"/>
      <c r="BF11" s="23"/>
      <c r="BG11" s="17" t="s">
        <v>56</v>
      </c>
      <c r="BH11" s="28"/>
      <c r="BI11" s="17" t="s">
        <v>4</v>
      </c>
      <c r="BJ11" s="28"/>
      <c r="BK11" s="17" t="s">
        <v>57</v>
      </c>
      <c r="BL11" s="28"/>
      <c r="BM11" s="17" t="s">
        <v>58</v>
      </c>
      <c r="BN11" s="28"/>
      <c r="BO11" s="17" t="s">
        <v>59</v>
      </c>
      <c r="BP11" s="28"/>
      <c r="BQ11" s="23"/>
      <c r="BR11" s="23"/>
      <c r="BS11" s="23"/>
      <c r="BT11" s="23"/>
      <c r="BU11" s="23"/>
      <c r="BV11" s="23"/>
      <c r="BW11" s="23"/>
      <c r="BX11" s="107" t="s">
        <v>1</v>
      </c>
      <c r="BY11" s="108"/>
      <c r="BZ11" s="113" t="s">
        <v>11</v>
      </c>
      <c r="CA11" s="107" t="s">
        <v>55</v>
      </c>
      <c r="CB11" s="108"/>
      <c r="CC11" s="116">
        <f>VLOOKUP(BZ11,BREAKFASTTABLE,2,FALSE)</f>
        <v>300</v>
      </c>
      <c r="CD11" s="23"/>
      <c r="CE11" s="23"/>
      <c r="CF11" s="17" t="s">
        <v>56</v>
      </c>
      <c r="CG11" s="28"/>
      <c r="CH11" s="17" t="s">
        <v>4</v>
      </c>
      <c r="CI11" s="28"/>
      <c r="CJ11" s="17" t="s">
        <v>57</v>
      </c>
      <c r="CK11" s="28"/>
      <c r="CL11" s="17" t="s">
        <v>58</v>
      </c>
      <c r="CM11" s="28"/>
      <c r="CN11" s="17" t="s">
        <v>59</v>
      </c>
      <c r="CO11" s="28"/>
      <c r="CP11" s="23"/>
      <c r="CQ11" s="23"/>
      <c r="CR11" s="23"/>
      <c r="CS11" s="23"/>
      <c r="CT11" s="23"/>
      <c r="CU11" s="23"/>
      <c r="CV11" s="23"/>
      <c r="CW11" s="107" t="s">
        <v>1</v>
      </c>
      <c r="CX11" s="108"/>
      <c r="CY11" s="113" t="s">
        <v>13</v>
      </c>
      <c r="CZ11" s="107" t="s">
        <v>55</v>
      </c>
      <c r="DA11" s="108"/>
      <c r="DB11" s="116">
        <f>VLOOKUP(CY11,BREAKFASTTABLE,2,FALSE)</f>
        <v>250</v>
      </c>
      <c r="DC11" s="23"/>
      <c r="DD11" s="23"/>
      <c r="DE11" s="17" t="s">
        <v>56</v>
      </c>
      <c r="DF11" s="28"/>
      <c r="DG11" s="17" t="s">
        <v>4</v>
      </c>
      <c r="DH11" s="28"/>
      <c r="DI11" s="17" t="s">
        <v>57</v>
      </c>
      <c r="DJ11" s="28"/>
      <c r="DK11" s="17" t="s">
        <v>58</v>
      </c>
      <c r="DL11" s="28"/>
      <c r="DM11" s="17" t="s">
        <v>59</v>
      </c>
      <c r="DN11" s="28"/>
      <c r="DO11" s="23"/>
      <c r="DP11" s="23"/>
      <c r="DQ11" s="23"/>
      <c r="DR11" s="23"/>
      <c r="DS11" s="23"/>
      <c r="DT11" s="23"/>
      <c r="DU11" s="23"/>
      <c r="DV11" s="107" t="s">
        <v>1</v>
      </c>
      <c r="DW11" s="108"/>
      <c r="DX11" s="113" t="s">
        <v>6</v>
      </c>
      <c r="DY11" s="107" t="s">
        <v>55</v>
      </c>
      <c r="DZ11" s="108"/>
      <c r="EA11" s="116">
        <f>VLOOKUP(DX11,BREAKFASTTABLE,2,FALSE)</f>
        <v>310</v>
      </c>
      <c r="EB11" s="23"/>
      <c r="EC11" s="23"/>
      <c r="ED11" s="17" t="s">
        <v>56</v>
      </c>
      <c r="EE11" s="28"/>
      <c r="EF11" s="17" t="s">
        <v>4</v>
      </c>
      <c r="EG11" s="28"/>
      <c r="EH11" s="17" t="s">
        <v>57</v>
      </c>
      <c r="EI11" s="28"/>
      <c r="EJ11" s="17" t="s">
        <v>58</v>
      </c>
      <c r="EK11" s="28"/>
      <c r="EL11" s="17" t="s">
        <v>59</v>
      </c>
      <c r="EM11" s="28"/>
      <c r="EN11" s="23"/>
      <c r="EO11" s="23"/>
      <c r="EP11" s="23"/>
      <c r="EQ11" s="23"/>
      <c r="ER11" s="23"/>
      <c r="ES11" s="23"/>
      <c r="ET11" s="23"/>
      <c r="EU11" s="107" t="s">
        <v>1</v>
      </c>
      <c r="EV11" s="108"/>
      <c r="EW11" s="113" t="s">
        <v>6</v>
      </c>
      <c r="EX11" s="107" t="s">
        <v>55</v>
      </c>
      <c r="EY11" s="108"/>
      <c r="EZ11" s="116">
        <f>VLOOKUP(EW11,BREAKFASTTABLE,2,FALSE)</f>
        <v>310</v>
      </c>
      <c r="FA11" s="23"/>
      <c r="FB11" s="23"/>
      <c r="FC11" s="17" t="s">
        <v>56</v>
      </c>
      <c r="FD11" s="28"/>
      <c r="FE11" s="17" t="s">
        <v>4</v>
      </c>
      <c r="FF11" s="28"/>
      <c r="FG11" s="17" t="s">
        <v>57</v>
      </c>
      <c r="FH11" s="28"/>
      <c r="FI11" s="17" t="s">
        <v>58</v>
      </c>
      <c r="FJ11" s="28"/>
      <c r="FK11" s="17" t="s">
        <v>59</v>
      </c>
      <c r="FL11" s="28"/>
      <c r="FM11" s="23"/>
      <c r="FN11" s="23"/>
      <c r="FO11" s="23"/>
      <c r="FP11" s="23"/>
      <c r="FQ11" s="23"/>
      <c r="FR11" s="23"/>
      <c r="FS11" s="23"/>
    </row>
    <row r="12" spans="1:175" ht="16.5" thickBot="1" x14ac:dyDescent="0.4">
      <c r="A12" s="109"/>
      <c r="B12" s="110"/>
      <c r="C12" s="114"/>
      <c r="D12" s="109"/>
      <c r="E12" s="110"/>
      <c r="F12" s="117"/>
      <c r="G12" s="23"/>
      <c r="H12" s="23"/>
      <c r="I12" s="19"/>
      <c r="J12" s="29"/>
      <c r="K12" s="19"/>
      <c r="L12" s="29"/>
      <c r="M12" s="19"/>
      <c r="N12" s="29"/>
      <c r="O12" s="19"/>
      <c r="P12" s="29"/>
      <c r="Q12" s="19"/>
      <c r="R12" s="29"/>
      <c r="S12" s="23"/>
      <c r="T12" s="23"/>
      <c r="U12" s="23"/>
      <c r="V12" s="23"/>
      <c r="W12" s="23"/>
      <c r="X12" s="23"/>
      <c r="Y12" s="23"/>
      <c r="Z12" s="109"/>
      <c r="AA12" s="110"/>
      <c r="AB12" s="114"/>
      <c r="AC12" s="109"/>
      <c r="AD12" s="110"/>
      <c r="AE12" s="117"/>
      <c r="AF12" s="23"/>
      <c r="AG12" s="23"/>
      <c r="AH12" s="19"/>
      <c r="AI12" s="29"/>
      <c r="AJ12" s="19"/>
      <c r="AK12" s="29"/>
      <c r="AL12" s="19"/>
      <c r="AM12" s="29"/>
      <c r="AN12" s="19"/>
      <c r="AO12" s="29"/>
      <c r="AP12" s="19"/>
      <c r="AQ12" s="29"/>
      <c r="AR12" s="23"/>
      <c r="AS12" s="23"/>
      <c r="AT12" s="23"/>
      <c r="AU12" s="23"/>
      <c r="AV12" s="23"/>
      <c r="AW12" s="23"/>
      <c r="AX12" s="23"/>
      <c r="AY12" s="109"/>
      <c r="AZ12" s="110"/>
      <c r="BA12" s="114"/>
      <c r="BB12" s="109"/>
      <c r="BC12" s="110"/>
      <c r="BD12" s="117"/>
      <c r="BE12" s="23"/>
      <c r="BF12" s="23"/>
      <c r="BG12" s="19"/>
      <c r="BH12" s="29"/>
      <c r="BI12" s="19"/>
      <c r="BJ12" s="29"/>
      <c r="BK12" s="19"/>
      <c r="BL12" s="29"/>
      <c r="BM12" s="19"/>
      <c r="BN12" s="29"/>
      <c r="BO12" s="19"/>
      <c r="BP12" s="29"/>
      <c r="BQ12" s="23"/>
      <c r="BR12" s="23"/>
      <c r="BS12" s="23"/>
      <c r="BT12" s="23"/>
      <c r="BU12" s="23"/>
      <c r="BV12" s="23"/>
      <c r="BW12" s="23"/>
      <c r="BX12" s="109"/>
      <c r="BY12" s="110"/>
      <c r="BZ12" s="114"/>
      <c r="CA12" s="109"/>
      <c r="CB12" s="110"/>
      <c r="CC12" s="117"/>
      <c r="CD12" s="23"/>
      <c r="CE12" s="23"/>
      <c r="CF12" s="19"/>
      <c r="CG12" s="29"/>
      <c r="CH12" s="19"/>
      <c r="CI12" s="29"/>
      <c r="CJ12" s="19"/>
      <c r="CK12" s="29"/>
      <c r="CL12" s="19"/>
      <c r="CM12" s="29"/>
      <c r="CN12" s="19"/>
      <c r="CO12" s="29"/>
      <c r="CP12" s="23"/>
      <c r="CQ12" s="23"/>
      <c r="CR12" s="23"/>
      <c r="CS12" s="23"/>
      <c r="CT12" s="23"/>
      <c r="CU12" s="23"/>
      <c r="CV12" s="23"/>
      <c r="CW12" s="109"/>
      <c r="CX12" s="110"/>
      <c r="CY12" s="114"/>
      <c r="CZ12" s="109"/>
      <c r="DA12" s="110"/>
      <c r="DB12" s="117"/>
      <c r="DC12" s="23"/>
      <c r="DD12" s="23"/>
      <c r="DE12" s="19"/>
      <c r="DF12" s="29"/>
      <c r="DG12" s="19"/>
      <c r="DH12" s="29"/>
      <c r="DI12" s="19"/>
      <c r="DJ12" s="29"/>
      <c r="DK12" s="19"/>
      <c r="DL12" s="29"/>
      <c r="DM12" s="19"/>
      <c r="DN12" s="29"/>
      <c r="DO12" s="23"/>
      <c r="DP12" s="23"/>
      <c r="DQ12" s="23"/>
      <c r="DR12" s="23"/>
      <c r="DS12" s="23"/>
      <c r="DT12" s="23"/>
      <c r="DU12" s="23"/>
      <c r="DV12" s="109"/>
      <c r="DW12" s="110"/>
      <c r="DX12" s="114"/>
      <c r="DY12" s="109"/>
      <c r="DZ12" s="110"/>
      <c r="EA12" s="117"/>
      <c r="EB12" s="23"/>
      <c r="EC12" s="23"/>
      <c r="ED12" s="19"/>
      <c r="EE12" s="29"/>
      <c r="EF12" s="19"/>
      <c r="EG12" s="29"/>
      <c r="EH12" s="19"/>
      <c r="EI12" s="29"/>
      <c r="EJ12" s="19"/>
      <c r="EK12" s="29"/>
      <c r="EL12" s="19"/>
      <c r="EM12" s="29"/>
      <c r="EN12" s="23"/>
      <c r="EO12" s="23"/>
      <c r="EP12" s="23"/>
      <c r="EQ12" s="23"/>
      <c r="ER12" s="23"/>
      <c r="ES12" s="23"/>
      <c r="ET12" s="23"/>
      <c r="EU12" s="109"/>
      <c r="EV12" s="110"/>
      <c r="EW12" s="114"/>
      <c r="EX12" s="109"/>
      <c r="EY12" s="110"/>
      <c r="EZ12" s="117"/>
      <c r="FA12" s="23"/>
      <c r="FB12" s="23"/>
      <c r="FC12" s="19"/>
      <c r="FD12" s="29"/>
      <c r="FE12" s="19"/>
      <c r="FF12" s="29"/>
      <c r="FG12" s="19"/>
      <c r="FH12" s="29"/>
      <c r="FI12" s="19"/>
      <c r="FJ12" s="29"/>
      <c r="FK12" s="19"/>
      <c r="FL12" s="29"/>
      <c r="FM12" s="23"/>
      <c r="FN12" s="23"/>
      <c r="FO12" s="23"/>
      <c r="FP12" s="23"/>
      <c r="FQ12" s="23"/>
      <c r="FR12" s="23"/>
      <c r="FS12" s="23"/>
    </row>
    <row r="13" spans="1:175" ht="16" x14ac:dyDescent="0.35">
      <c r="A13" s="109"/>
      <c r="B13" s="110"/>
      <c r="C13" s="114"/>
      <c r="D13" s="109"/>
      <c r="E13" s="110"/>
      <c r="F13" s="117"/>
      <c r="G13" s="23"/>
      <c r="H13" s="23"/>
      <c r="I13" s="30" t="s">
        <v>8</v>
      </c>
      <c r="J13" s="31"/>
      <c r="K13" s="17">
        <f>VLOOKUP(I13,METVALUE,2,FALSE)</f>
        <v>5.5</v>
      </c>
      <c r="L13" s="18"/>
      <c r="M13" s="17">
        <v>1.25</v>
      </c>
      <c r="N13" s="18"/>
      <c r="O13" s="17">
        <f>K13*D3</f>
        <v>1063.0642857142857</v>
      </c>
      <c r="P13" s="18"/>
      <c r="Q13" s="17">
        <f>M13*O13</f>
        <v>1328.8303571428571</v>
      </c>
      <c r="R13" s="18"/>
      <c r="S13" s="23"/>
      <c r="T13" s="23"/>
      <c r="U13" s="23"/>
      <c r="V13" s="23"/>
      <c r="W13" s="23"/>
      <c r="X13" s="23"/>
      <c r="Y13" s="23"/>
      <c r="Z13" s="109"/>
      <c r="AA13" s="110"/>
      <c r="AB13" s="114"/>
      <c r="AC13" s="109"/>
      <c r="AD13" s="110"/>
      <c r="AE13" s="117"/>
      <c r="AF13" s="23"/>
      <c r="AG13" s="23"/>
      <c r="AH13" s="30" t="s">
        <v>8</v>
      </c>
      <c r="AI13" s="31"/>
      <c r="AJ13" s="17">
        <f>VLOOKUP(AH13,METVALUE,2,FALSE)</f>
        <v>5.5</v>
      </c>
      <c r="AK13" s="18"/>
      <c r="AL13" s="17">
        <v>2</v>
      </c>
      <c r="AM13" s="18"/>
      <c r="AN13" s="17">
        <f>AJ13*AC3</f>
        <v>1063.0642857142857</v>
      </c>
      <c r="AO13" s="18"/>
      <c r="AP13" s="17">
        <f>AL13*AN13</f>
        <v>2126.1285714285714</v>
      </c>
      <c r="AQ13" s="18"/>
      <c r="AR13" s="23"/>
      <c r="AS13" s="23"/>
      <c r="AT13" s="23"/>
      <c r="AU13" s="23"/>
      <c r="AV13" s="23"/>
      <c r="AW13" s="23"/>
      <c r="AX13" s="23"/>
      <c r="AY13" s="109"/>
      <c r="AZ13" s="110"/>
      <c r="BA13" s="114"/>
      <c r="BB13" s="109"/>
      <c r="BC13" s="110"/>
      <c r="BD13" s="117"/>
      <c r="BE13" s="23"/>
      <c r="BF13" s="23"/>
      <c r="BG13" s="30" t="s">
        <v>8</v>
      </c>
      <c r="BH13" s="31"/>
      <c r="BI13" s="17">
        <f>VLOOKUP(BG13,METVALUE,2,FALSE)</f>
        <v>5.5</v>
      </c>
      <c r="BJ13" s="18"/>
      <c r="BK13" s="17">
        <v>2</v>
      </c>
      <c r="BL13" s="18"/>
      <c r="BM13" s="17">
        <f>BI13*BB3</f>
        <v>1063.0642857142857</v>
      </c>
      <c r="BN13" s="18"/>
      <c r="BO13" s="17">
        <f>BK13*BM13</f>
        <v>2126.1285714285714</v>
      </c>
      <c r="BP13" s="18"/>
      <c r="BQ13" s="23"/>
      <c r="BR13" s="23"/>
      <c r="BS13" s="23"/>
      <c r="BT13" s="23"/>
      <c r="BU13" s="23"/>
      <c r="BV13" s="23"/>
      <c r="BW13" s="23"/>
      <c r="BX13" s="109"/>
      <c r="BY13" s="110"/>
      <c r="BZ13" s="114"/>
      <c r="CA13" s="109"/>
      <c r="CB13" s="110"/>
      <c r="CC13" s="117"/>
      <c r="CD13" s="23"/>
      <c r="CE13" s="23"/>
      <c r="CF13" s="30" t="s">
        <v>8</v>
      </c>
      <c r="CG13" s="31"/>
      <c r="CH13" s="17">
        <f>VLOOKUP(CF13,METVALUE,2,FALSE)</f>
        <v>5.5</v>
      </c>
      <c r="CI13" s="18"/>
      <c r="CJ13" s="17">
        <v>2</v>
      </c>
      <c r="CK13" s="18"/>
      <c r="CL13" s="17">
        <f>CH13*CA3</f>
        <v>1063.0642857142857</v>
      </c>
      <c r="CM13" s="18"/>
      <c r="CN13" s="17">
        <f>CJ13*CL13</f>
        <v>2126.1285714285714</v>
      </c>
      <c r="CO13" s="18"/>
      <c r="CP13" s="23"/>
      <c r="CQ13" s="23"/>
      <c r="CR13" s="23"/>
      <c r="CS13" s="23"/>
      <c r="CT13" s="23"/>
      <c r="CU13" s="23"/>
      <c r="CV13" s="23"/>
      <c r="CW13" s="109"/>
      <c r="CX13" s="110"/>
      <c r="CY13" s="114"/>
      <c r="CZ13" s="109"/>
      <c r="DA13" s="110"/>
      <c r="DB13" s="117"/>
      <c r="DC13" s="23"/>
      <c r="DD13" s="23"/>
      <c r="DE13" s="30" t="s">
        <v>8</v>
      </c>
      <c r="DF13" s="31"/>
      <c r="DG13" s="17">
        <f>VLOOKUP(DE13,METVALUE,2,FALSE)</f>
        <v>5.5</v>
      </c>
      <c r="DH13" s="18"/>
      <c r="DI13" s="17">
        <v>2</v>
      </c>
      <c r="DJ13" s="18"/>
      <c r="DK13" s="17">
        <f>DG13*CZ3</f>
        <v>1063.0642857142857</v>
      </c>
      <c r="DL13" s="18"/>
      <c r="DM13" s="17">
        <f>DI13*DK13</f>
        <v>2126.1285714285714</v>
      </c>
      <c r="DN13" s="18"/>
      <c r="DO13" s="23"/>
      <c r="DP13" s="23"/>
      <c r="DQ13" s="23"/>
      <c r="DR13" s="23"/>
      <c r="DS13" s="23"/>
      <c r="DT13" s="23"/>
      <c r="DU13" s="23"/>
      <c r="DV13" s="109"/>
      <c r="DW13" s="110"/>
      <c r="DX13" s="114"/>
      <c r="DY13" s="109"/>
      <c r="DZ13" s="110"/>
      <c r="EA13" s="117"/>
      <c r="EB13" s="23"/>
      <c r="EC13" s="23"/>
      <c r="ED13" s="30" t="s">
        <v>8</v>
      </c>
      <c r="EE13" s="31"/>
      <c r="EF13" s="17">
        <f>VLOOKUP(ED13,METVALUE,2,FALSE)</f>
        <v>5.5</v>
      </c>
      <c r="EG13" s="18"/>
      <c r="EH13" s="17">
        <v>0.75</v>
      </c>
      <c r="EI13" s="18"/>
      <c r="EJ13" s="17">
        <f>EF13*DY3</f>
        <v>1063.0642857142857</v>
      </c>
      <c r="EK13" s="18"/>
      <c r="EL13" s="17">
        <f>EH13*EJ13</f>
        <v>797.29821428571427</v>
      </c>
      <c r="EM13" s="18"/>
      <c r="EN13" s="23"/>
      <c r="EO13" s="23"/>
      <c r="EP13" s="23"/>
      <c r="EQ13" s="23"/>
      <c r="ER13" s="23"/>
      <c r="ES13" s="23"/>
      <c r="ET13" s="23"/>
      <c r="EU13" s="109"/>
      <c r="EV13" s="110"/>
      <c r="EW13" s="114"/>
      <c r="EX13" s="109"/>
      <c r="EY13" s="110"/>
      <c r="EZ13" s="117"/>
      <c r="FA13" s="23"/>
      <c r="FB13" s="23"/>
      <c r="FC13" s="30" t="s">
        <v>8</v>
      </c>
      <c r="FD13" s="31"/>
      <c r="FE13" s="17">
        <f>VLOOKUP(FC13,METVALUE,2,FALSE)</f>
        <v>5.5</v>
      </c>
      <c r="FF13" s="18"/>
      <c r="FG13" s="17">
        <v>2</v>
      </c>
      <c r="FH13" s="18"/>
      <c r="FI13" s="17">
        <f>FE13*EX3</f>
        <v>1063.0642857142857</v>
      </c>
      <c r="FJ13" s="18"/>
      <c r="FK13" s="17">
        <f>FG13*FI13</f>
        <v>2126.1285714285714</v>
      </c>
      <c r="FL13" s="18"/>
      <c r="FM13" s="23"/>
      <c r="FN13" s="23"/>
      <c r="FO13" s="23"/>
      <c r="FP13" s="23"/>
      <c r="FQ13" s="23"/>
      <c r="FR13" s="23"/>
      <c r="FS13" s="23"/>
    </row>
    <row r="14" spans="1:175" ht="16.5" thickBot="1" x14ac:dyDescent="0.4">
      <c r="A14" s="111"/>
      <c r="B14" s="112"/>
      <c r="C14" s="115"/>
      <c r="D14" s="111"/>
      <c r="E14" s="112"/>
      <c r="F14" s="118"/>
      <c r="G14" s="23"/>
      <c r="H14" s="23"/>
      <c r="I14" s="32"/>
      <c r="J14" s="33"/>
      <c r="K14" s="19"/>
      <c r="L14" s="20"/>
      <c r="M14" s="19"/>
      <c r="N14" s="20"/>
      <c r="O14" s="19"/>
      <c r="P14" s="20"/>
      <c r="Q14" s="19"/>
      <c r="R14" s="20"/>
      <c r="S14" s="23"/>
      <c r="T14" s="23"/>
      <c r="U14" s="23"/>
      <c r="V14" s="23"/>
      <c r="W14" s="23"/>
      <c r="X14" s="23"/>
      <c r="Y14" s="23"/>
      <c r="Z14" s="111"/>
      <c r="AA14" s="112"/>
      <c r="AB14" s="115"/>
      <c r="AC14" s="111"/>
      <c r="AD14" s="112"/>
      <c r="AE14" s="118"/>
      <c r="AF14" s="23"/>
      <c r="AG14" s="23"/>
      <c r="AH14" s="32"/>
      <c r="AI14" s="33"/>
      <c r="AJ14" s="19"/>
      <c r="AK14" s="20"/>
      <c r="AL14" s="19"/>
      <c r="AM14" s="20"/>
      <c r="AN14" s="19"/>
      <c r="AO14" s="20"/>
      <c r="AP14" s="19"/>
      <c r="AQ14" s="20"/>
      <c r="AR14" s="23"/>
      <c r="AS14" s="23"/>
      <c r="AT14" s="23"/>
      <c r="AU14" s="23"/>
      <c r="AV14" s="23"/>
      <c r="AW14" s="23"/>
      <c r="AX14" s="23"/>
      <c r="AY14" s="111"/>
      <c r="AZ14" s="112"/>
      <c r="BA14" s="115"/>
      <c r="BB14" s="111"/>
      <c r="BC14" s="112"/>
      <c r="BD14" s="118"/>
      <c r="BE14" s="23"/>
      <c r="BF14" s="23"/>
      <c r="BG14" s="32"/>
      <c r="BH14" s="33"/>
      <c r="BI14" s="19"/>
      <c r="BJ14" s="20"/>
      <c r="BK14" s="19"/>
      <c r="BL14" s="20"/>
      <c r="BM14" s="19"/>
      <c r="BN14" s="20"/>
      <c r="BO14" s="19"/>
      <c r="BP14" s="20"/>
      <c r="BQ14" s="23"/>
      <c r="BR14" s="23"/>
      <c r="BS14" s="23"/>
      <c r="BT14" s="23"/>
      <c r="BU14" s="23"/>
      <c r="BV14" s="23"/>
      <c r="BW14" s="23"/>
      <c r="BX14" s="111"/>
      <c r="BY14" s="112"/>
      <c r="BZ14" s="115"/>
      <c r="CA14" s="111"/>
      <c r="CB14" s="112"/>
      <c r="CC14" s="118"/>
      <c r="CD14" s="23"/>
      <c r="CE14" s="23"/>
      <c r="CF14" s="32"/>
      <c r="CG14" s="33"/>
      <c r="CH14" s="19"/>
      <c r="CI14" s="20"/>
      <c r="CJ14" s="19"/>
      <c r="CK14" s="20"/>
      <c r="CL14" s="19"/>
      <c r="CM14" s="20"/>
      <c r="CN14" s="19"/>
      <c r="CO14" s="20"/>
      <c r="CP14" s="23"/>
      <c r="CQ14" s="23"/>
      <c r="CR14" s="23"/>
      <c r="CS14" s="23"/>
      <c r="CT14" s="23"/>
      <c r="CU14" s="23"/>
      <c r="CV14" s="23"/>
      <c r="CW14" s="111"/>
      <c r="CX14" s="112"/>
      <c r="CY14" s="115"/>
      <c r="CZ14" s="111"/>
      <c r="DA14" s="112"/>
      <c r="DB14" s="118"/>
      <c r="DC14" s="23"/>
      <c r="DD14" s="23"/>
      <c r="DE14" s="32"/>
      <c r="DF14" s="33"/>
      <c r="DG14" s="19"/>
      <c r="DH14" s="20"/>
      <c r="DI14" s="19"/>
      <c r="DJ14" s="20"/>
      <c r="DK14" s="19"/>
      <c r="DL14" s="20"/>
      <c r="DM14" s="19"/>
      <c r="DN14" s="20"/>
      <c r="DO14" s="23"/>
      <c r="DP14" s="23"/>
      <c r="DQ14" s="23"/>
      <c r="DR14" s="23"/>
      <c r="DS14" s="23"/>
      <c r="DT14" s="23"/>
      <c r="DU14" s="23"/>
      <c r="DV14" s="111"/>
      <c r="DW14" s="112"/>
      <c r="DX14" s="115"/>
      <c r="DY14" s="111"/>
      <c r="DZ14" s="112"/>
      <c r="EA14" s="118"/>
      <c r="EB14" s="23"/>
      <c r="EC14" s="23"/>
      <c r="ED14" s="32"/>
      <c r="EE14" s="33"/>
      <c r="EF14" s="19"/>
      <c r="EG14" s="20"/>
      <c r="EH14" s="19"/>
      <c r="EI14" s="20"/>
      <c r="EJ14" s="19"/>
      <c r="EK14" s="20"/>
      <c r="EL14" s="19"/>
      <c r="EM14" s="20"/>
      <c r="EN14" s="23"/>
      <c r="EO14" s="23"/>
      <c r="EP14" s="23"/>
      <c r="EQ14" s="23"/>
      <c r="ER14" s="23"/>
      <c r="ES14" s="23"/>
      <c r="ET14" s="23"/>
      <c r="EU14" s="111"/>
      <c r="EV14" s="112"/>
      <c r="EW14" s="115"/>
      <c r="EX14" s="111"/>
      <c r="EY14" s="112"/>
      <c r="EZ14" s="118"/>
      <c r="FA14" s="23"/>
      <c r="FB14" s="23"/>
      <c r="FC14" s="32"/>
      <c r="FD14" s="33"/>
      <c r="FE14" s="19"/>
      <c r="FF14" s="20"/>
      <c r="FG14" s="19"/>
      <c r="FH14" s="20"/>
      <c r="FI14" s="19"/>
      <c r="FJ14" s="20"/>
      <c r="FK14" s="19"/>
      <c r="FL14" s="20"/>
      <c r="FM14" s="23"/>
      <c r="FN14" s="23"/>
      <c r="FO14" s="23"/>
      <c r="FP14" s="23"/>
      <c r="FQ14" s="23"/>
      <c r="FR14" s="23"/>
      <c r="FS14" s="23"/>
    </row>
    <row r="15" spans="1:175" ht="16.5" thickBot="1" x14ac:dyDescent="0.4">
      <c r="A15" s="107" t="s">
        <v>15</v>
      </c>
      <c r="B15" s="108"/>
      <c r="C15" s="113" t="s">
        <v>18</v>
      </c>
      <c r="D15" s="107" t="s">
        <v>55</v>
      </c>
      <c r="E15" s="108"/>
      <c r="F15" s="116">
        <f>VLOOKUP(C15,LUNCHTABLE,2,FALSE)</f>
        <v>350</v>
      </c>
      <c r="G15" s="23"/>
      <c r="H15" s="23"/>
      <c r="I15" s="34"/>
      <c r="J15" s="35"/>
      <c r="K15" s="21"/>
      <c r="L15" s="22"/>
      <c r="M15" s="21"/>
      <c r="N15" s="22"/>
      <c r="O15" s="21"/>
      <c r="P15" s="22"/>
      <c r="Q15" s="21"/>
      <c r="R15" s="22"/>
      <c r="S15" s="23"/>
      <c r="T15" s="23"/>
      <c r="U15" s="23"/>
      <c r="V15" s="23"/>
      <c r="W15" s="23"/>
      <c r="X15" s="23"/>
      <c r="Y15" s="23"/>
      <c r="Z15" s="107" t="s">
        <v>15</v>
      </c>
      <c r="AA15" s="108"/>
      <c r="AB15" s="113" t="s">
        <v>20</v>
      </c>
      <c r="AC15" s="107" t="s">
        <v>55</v>
      </c>
      <c r="AD15" s="108"/>
      <c r="AE15" s="116">
        <f>VLOOKUP(AB15,LUNCHTABLE,2,FALSE)</f>
        <v>400</v>
      </c>
      <c r="AF15" s="23"/>
      <c r="AG15" s="23"/>
      <c r="AH15" s="34"/>
      <c r="AI15" s="35"/>
      <c r="AJ15" s="21"/>
      <c r="AK15" s="22"/>
      <c r="AL15" s="21"/>
      <c r="AM15" s="22"/>
      <c r="AN15" s="21"/>
      <c r="AO15" s="22"/>
      <c r="AP15" s="21"/>
      <c r="AQ15" s="22"/>
      <c r="AR15" s="23"/>
      <c r="AS15" s="23"/>
      <c r="AT15" s="23"/>
      <c r="AU15" s="23"/>
      <c r="AV15" s="23"/>
      <c r="AW15" s="23"/>
      <c r="AX15" s="23"/>
      <c r="AY15" s="107" t="s">
        <v>15</v>
      </c>
      <c r="AZ15" s="108"/>
      <c r="BA15" s="113" t="s">
        <v>22</v>
      </c>
      <c r="BB15" s="107" t="s">
        <v>55</v>
      </c>
      <c r="BC15" s="108"/>
      <c r="BD15" s="116">
        <f>VLOOKUP(BA15,LUNCHTABLE,2,FALSE)</f>
        <v>450</v>
      </c>
      <c r="BE15" s="23"/>
      <c r="BF15" s="23"/>
      <c r="BG15" s="34"/>
      <c r="BH15" s="35"/>
      <c r="BI15" s="21"/>
      <c r="BJ15" s="22"/>
      <c r="BK15" s="21"/>
      <c r="BL15" s="22"/>
      <c r="BM15" s="21"/>
      <c r="BN15" s="22"/>
      <c r="BO15" s="21"/>
      <c r="BP15" s="22"/>
      <c r="BQ15" s="23"/>
      <c r="BR15" s="23"/>
      <c r="BS15" s="23"/>
      <c r="BT15" s="23"/>
      <c r="BU15" s="23"/>
      <c r="BV15" s="23"/>
      <c r="BW15" s="23"/>
      <c r="BX15" s="107" t="s">
        <v>15</v>
      </c>
      <c r="BY15" s="108"/>
      <c r="BZ15" s="113" t="s">
        <v>24</v>
      </c>
      <c r="CA15" s="107" t="s">
        <v>55</v>
      </c>
      <c r="CB15" s="108"/>
      <c r="CC15" s="116">
        <f>VLOOKUP(BZ15,LUNCHTABLE,2,FALSE)</f>
        <v>400</v>
      </c>
      <c r="CD15" s="23"/>
      <c r="CE15" s="23"/>
      <c r="CF15" s="34"/>
      <c r="CG15" s="35"/>
      <c r="CH15" s="21"/>
      <c r="CI15" s="22"/>
      <c r="CJ15" s="21"/>
      <c r="CK15" s="22"/>
      <c r="CL15" s="21"/>
      <c r="CM15" s="22"/>
      <c r="CN15" s="21"/>
      <c r="CO15" s="22"/>
      <c r="CP15" s="23"/>
      <c r="CQ15" s="23"/>
      <c r="CR15" s="23"/>
      <c r="CS15" s="23"/>
      <c r="CT15" s="23"/>
      <c r="CU15" s="23"/>
      <c r="CV15" s="23"/>
      <c r="CW15" s="107" t="s">
        <v>15</v>
      </c>
      <c r="CX15" s="108"/>
      <c r="CY15" s="113" t="s">
        <v>26</v>
      </c>
      <c r="CZ15" s="107" t="s">
        <v>55</v>
      </c>
      <c r="DA15" s="108"/>
      <c r="DB15" s="116">
        <f>VLOOKUP(CY15,LUNCHTABLE,2,FALSE)</f>
        <v>350</v>
      </c>
      <c r="DC15" s="23"/>
      <c r="DD15" s="23"/>
      <c r="DE15" s="34"/>
      <c r="DF15" s="35"/>
      <c r="DG15" s="21"/>
      <c r="DH15" s="22"/>
      <c r="DI15" s="21"/>
      <c r="DJ15" s="22"/>
      <c r="DK15" s="21"/>
      <c r="DL15" s="22"/>
      <c r="DM15" s="21"/>
      <c r="DN15" s="22"/>
      <c r="DO15" s="23"/>
      <c r="DP15" s="23"/>
      <c r="DQ15" s="23"/>
      <c r="DR15" s="23"/>
      <c r="DS15" s="23"/>
      <c r="DT15" s="23"/>
      <c r="DU15" s="23"/>
      <c r="DV15" s="107" t="s">
        <v>15</v>
      </c>
      <c r="DW15" s="108"/>
      <c r="DX15" s="113" t="s">
        <v>18</v>
      </c>
      <c r="DY15" s="107" t="s">
        <v>55</v>
      </c>
      <c r="DZ15" s="108"/>
      <c r="EA15" s="116">
        <f>VLOOKUP(DX15,LUNCHTABLE,2,FALSE)</f>
        <v>350</v>
      </c>
      <c r="EB15" s="23"/>
      <c r="EC15" s="23"/>
      <c r="ED15" s="34"/>
      <c r="EE15" s="35"/>
      <c r="EF15" s="21"/>
      <c r="EG15" s="22"/>
      <c r="EH15" s="21"/>
      <c r="EI15" s="22"/>
      <c r="EJ15" s="21"/>
      <c r="EK15" s="22"/>
      <c r="EL15" s="21"/>
      <c r="EM15" s="22"/>
      <c r="EN15" s="23"/>
      <c r="EO15" s="23"/>
      <c r="EP15" s="23"/>
      <c r="EQ15" s="23"/>
      <c r="ER15" s="23"/>
      <c r="ES15" s="23"/>
      <c r="ET15" s="23"/>
      <c r="EU15" s="107" t="s">
        <v>15</v>
      </c>
      <c r="EV15" s="108"/>
      <c r="EW15" s="113" t="s">
        <v>18</v>
      </c>
      <c r="EX15" s="107" t="s">
        <v>55</v>
      </c>
      <c r="EY15" s="108"/>
      <c r="EZ15" s="116">
        <f>VLOOKUP(EW15,LUNCHTABLE,2,FALSE)</f>
        <v>350</v>
      </c>
      <c r="FA15" s="23"/>
      <c r="FB15" s="23"/>
      <c r="FC15" s="34"/>
      <c r="FD15" s="35"/>
      <c r="FE15" s="21"/>
      <c r="FF15" s="22"/>
      <c r="FG15" s="21"/>
      <c r="FH15" s="22"/>
      <c r="FI15" s="21"/>
      <c r="FJ15" s="22"/>
      <c r="FK15" s="21"/>
      <c r="FL15" s="22"/>
      <c r="FM15" s="23"/>
      <c r="FN15" s="23"/>
      <c r="FO15" s="23"/>
      <c r="FP15" s="23"/>
      <c r="FQ15" s="23"/>
      <c r="FR15" s="23"/>
      <c r="FS15" s="23"/>
    </row>
    <row r="16" spans="1:175" ht="16" x14ac:dyDescent="0.35">
      <c r="A16" s="109"/>
      <c r="B16" s="110"/>
      <c r="C16" s="114"/>
      <c r="D16" s="109"/>
      <c r="E16" s="110"/>
      <c r="F16" s="117"/>
      <c r="G16" s="23"/>
      <c r="H16" s="23"/>
      <c r="I16" s="30" t="s">
        <v>10</v>
      </c>
      <c r="J16" s="31"/>
      <c r="K16" s="17">
        <f>VLOOKUP(I16,METVALUE,2,FALSE)</f>
        <v>8</v>
      </c>
      <c r="L16" s="18"/>
      <c r="M16" s="17">
        <v>1.5</v>
      </c>
      <c r="N16" s="18"/>
      <c r="O16" s="17">
        <f>D3*K16</f>
        <v>1546.2753246753248</v>
      </c>
      <c r="P16" s="18"/>
      <c r="Q16" s="17">
        <f>M16*O16</f>
        <v>2319.4129870129873</v>
      </c>
      <c r="R16" s="18"/>
      <c r="S16" s="23"/>
      <c r="T16" s="23"/>
      <c r="U16" s="23"/>
      <c r="V16" s="23"/>
      <c r="W16" s="23"/>
      <c r="X16" s="23"/>
      <c r="Y16" s="23"/>
      <c r="Z16" s="109"/>
      <c r="AA16" s="110"/>
      <c r="AB16" s="114"/>
      <c r="AC16" s="109"/>
      <c r="AD16" s="110"/>
      <c r="AE16" s="117"/>
      <c r="AF16" s="23"/>
      <c r="AG16" s="23"/>
      <c r="AH16" s="30" t="s">
        <v>10</v>
      </c>
      <c r="AI16" s="31"/>
      <c r="AJ16" s="17">
        <f>VLOOKUP(AH16,METVALUE,2,FALSE)</f>
        <v>8</v>
      </c>
      <c r="AK16" s="18"/>
      <c r="AL16" s="17">
        <v>1</v>
      </c>
      <c r="AM16" s="18"/>
      <c r="AN16" s="17">
        <f>AC3*AJ16</f>
        <v>1546.2753246753248</v>
      </c>
      <c r="AO16" s="18"/>
      <c r="AP16" s="17">
        <f>AL16*AN16</f>
        <v>1546.2753246753248</v>
      </c>
      <c r="AQ16" s="18"/>
      <c r="AR16" s="23"/>
      <c r="AS16" s="23"/>
      <c r="AT16" s="23"/>
      <c r="AU16" s="23"/>
      <c r="AV16" s="23"/>
      <c r="AW16" s="23"/>
      <c r="AX16" s="23"/>
      <c r="AY16" s="109"/>
      <c r="AZ16" s="110"/>
      <c r="BA16" s="114"/>
      <c r="BB16" s="109"/>
      <c r="BC16" s="110"/>
      <c r="BD16" s="117"/>
      <c r="BE16" s="23"/>
      <c r="BF16" s="23"/>
      <c r="BG16" s="30" t="s">
        <v>10</v>
      </c>
      <c r="BH16" s="31"/>
      <c r="BI16" s="17">
        <f>VLOOKUP(BG16,METVALUE,2,FALSE)</f>
        <v>8</v>
      </c>
      <c r="BJ16" s="18"/>
      <c r="BK16" s="17">
        <v>1.5</v>
      </c>
      <c r="BL16" s="18"/>
      <c r="BM16" s="17">
        <f>BB3*BI16</f>
        <v>1546.2753246753248</v>
      </c>
      <c r="BN16" s="18"/>
      <c r="BO16" s="17">
        <f>BK16*BM16</f>
        <v>2319.4129870129873</v>
      </c>
      <c r="BP16" s="18"/>
      <c r="BQ16" s="23"/>
      <c r="BR16" s="23"/>
      <c r="BS16" s="23"/>
      <c r="BT16" s="23"/>
      <c r="BU16" s="23"/>
      <c r="BV16" s="23"/>
      <c r="BW16" s="23"/>
      <c r="BX16" s="109"/>
      <c r="BY16" s="110"/>
      <c r="BZ16" s="114"/>
      <c r="CA16" s="109"/>
      <c r="CB16" s="110"/>
      <c r="CC16" s="117"/>
      <c r="CD16" s="23"/>
      <c r="CE16" s="23"/>
      <c r="CF16" s="30" t="s">
        <v>10</v>
      </c>
      <c r="CG16" s="31"/>
      <c r="CH16" s="17">
        <f>VLOOKUP(CF16,METVALUE,2,FALSE)</f>
        <v>8</v>
      </c>
      <c r="CI16" s="18"/>
      <c r="CJ16" s="17">
        <v>1</v>
      </c>
      <c r="CK16" s="18"/>
      <c r="CL16" s="17">
        <f>CA3*CH16</f>
        <v>1546.2753246753248</v>
      </c>
      <c r="CM16" s="18"/>
      <c r="CN16" s="17">
        <f>CJ16*CL16</f>
        <v>1546.2753246753248</v>
      </c>
      <c r="CO16" s="18"/>
      <c r="CP16" s="23"/>
      <c r="CQ16" s="23"/>
      <c r="CR16" s="23"/>
      <c r="CS16" s="23"/>
      <c r="CT16" s="23"/>
      <c r="CU16" s="23"/>
      <c r="CV16" s="23"/>
      <c r="CW16" s="109"/>
      <c r="CX16" s="110"/>
      <c r="CY16" s="114"/>
      <c r="CZ16" s="109"/>
      <c r="DA16" s="110"/>
      <c r="DB16" s="117"/>
      <c r="DC16" s="23"/>
      <c r="DD16" s="23"/>
      <c r="DE16" s="30" t="s">
        <v>10</v>
      </c>
      <c r="DF16" s="31"/>
      <c r="DG16" s="17">
        <f>VLOOKUP(DE16,METVALUE,2,FALSE)</f>
        <v>8</v>
      </c>
      <c r="DH16" s="18"/>
      <c r="DI16" s="17">
        <v>2</v>
      </c>
      <c r="DJ16" s="18"/>
      <c r="DK16" s="17">
        <f>CZ3*DG16</f>
        <v>1546.2753246753248</v>
      </c>
      <c r="DL16" s="18"/>
      <c r="DM16" s="17">
        <f>DI16*DK16</f>
        <v>3092.5506493506496</v>
      </c>
      <c r="DN16" s="18"/>
      <c r="DO16" s="23"/>
      <c r="DP16" s="23"/>
      <c r="DQ16" s="23"/>
      <c r="DR16" s="23"/>
      <c r="DS16" s="23"/>
      <c r="DT16" s="23"/>
      <c r="DU16" s="23"/>
      <c r="DV16" s="109"/>
      <c r="DW16" s="110"/>
      <c r="DX16" s="114"/>
      <c r="DY16" s="109"/>
      <c r="DZ16" s="110"/>
      <c r="EA16" s="117"/>
      <c r="EB16" s="23"/>
      <c r="EC16" s="23"/>
      <c r="ED16" s="30" t="s">
        <v>10</v>
      </c>
      <c r="EE16" s="31"/>
      <c r="EF16" s="17">
        <f>VLOOKUP(ED16,METVALUE,2,FALSE)</f>
        <v>8</v>
      </c>
      <c r="EG16" s="18"/>
      <c r="EH16" s="17">
        <v>1</v>
      </c>
      <c r="EI16" s="18"/>
      <c r="EJ16" s="17">
        <f>DY3*EF16</f>
        <v>1546.2753246753248</v>
      </c>
      <c r="EK16" s="18"/>
      <c r="EL16" s="17">
        <f>EH16*EJ16</f>
        <v>1546.2753246753248</v>
      </c>
      <c r="EM16" s="18"/>
      <c r="EN16" s="23"/>
      <c r="EO16" s="23"/>
      <c r="EP16" s="23"/>
      <c r="EQ16" s="23"/>
      <c r="ER16" s="23"/>
      <c r="ES16" s="23"/>
      <c r="ET16" s="23"/>
      <c r="EU16" s="109"/>
      <c r="EV16" s="110"/>
      <c r="EW16" s="114"/>
      <c r="EX16" s="109"/>
      <c r="EY16" s="110"/>
      <c r="EZ16" s="117"/>
      <c r="FA16" s="23"/>
      <c r="FB16" s="23"/>
      <c r="FC16" s="30" t="s">
        <v>10</v>
      </c>
      <c r="FD16" s="31"/>
      <c r="FE16" s="17">
        <f>VLOOKUP(FC16,METVALUE,2,FALSE)</f>
        <v>8</v>
      </c>
      <c r="FF16" s="18"/>
      <c r="FG16" s="17">
        <v>1</v>
      </c>
      <c r="FH16" s="18"/>
      <c r="FI16" s="17">
        <f>EX3*FE16</f>
        <v>1546.2753246753248</v>
      </c>
      <c r="FJ16" s="18"/>
      <c r="FK16" s="17">
        <f>FG16*FI16</f>
        <v>1546.2753246753248</v>
      </c>
      <c r="FL16" s="18"/>
      <c r="FM16" s="23"/>
      <c r="FN16" s="23"/>
      <c r="FO16" s="23"/>
      <c r="FP16" s="23"/>
      <c r="FQ16" s="23"/>
      <c r="FR16" s="23"/>
      <c r="FS16" s="23"/>
    </row>
    <row r="17" spans="1:175" ht="16" x14ac:dyDescent="0.35">
      <c r="A17" s="109"/>
      <c r="B17" s="110"/>
      <c r="C17" s="114"/>
      <c r="D17" s="109"/>
      <c r="E17" s="110"/>
      <c r="F17" s="117"/>
      <c r="G17" s="23"/>
      <c r="H17" s="23"/>
      <c r="I17" s="32"/>
      <c r="J17" s="33"/>
      <c r="K17" s="19"/>
      <c r="L17" s="20"/>
      <c r="M17" s="19"/>
      <c r="N17" s="20"/>
      <c r="O17" s="19"/>
      <c r="P17" s="20"/>
      <c r="Q17" s="19"/>
      <c r="R17" s="20"/>
      <c r="S17" s="23"/>
      <c r="T17" s="23"/>
      <c r="U17" s="23"/>
      <c r="V17" s="23"/>
      <c r="W17" s="23"/>
      <c r="X17" s="23"/>
      <c r="Y17" s="23"/>
      <c r="Z17" s="109"/>
      <c r="AA17" s="110"/>
      <c r="AB17" s="114"/>
      <c r="AC17" s="109"/>
      <c r="AD17" s="110"/>
      <c r="AE17" s="117"/>
      <c r="AF17" s="23"/>
      <c r="AG17" s="23"/>
      <c r="AH17" s="32"/>
      <c r="AI17" s="33"/>
      <c r="AJ17" s="19"/>
      <c r="AK17" s="20"/>
      <c r="AL17" s="19"/>
      <c r="AM17" s="20"/>
      <c r="AN17" s="19"/>
      <c r="AO17" s="20"/>
      <c r="AP17" s="19"/>
      <c r="AQ17" s="20"/>
      <c r="AR17" s="23"/>
      <c r="AS17" s="23"/>
      <c r="AT17" s="23"/>
      <c r="AU17" s="23"/>
      <c r="AV17" s="23"/>
      <c r="AW17" s="23"/>
      <c r="AX17" s="23"/>
      <c r="AY17" s="109"/>
      <c r="AZ17" s="110"/>
      <c r="BA17" s="114"/>
      <c r="BB17" s="109"/>
      <c r="BC17" s="110"/>
      <c r="BD17" s="117"/>
      <c r="BE17" s="23"/>
      <c r="BF17" s="23"/>
      <c r="BG17" s="32"/>
      <c r="BH17" s="33"/>
      <c r="BI17" s="19"/>
      <c r="BJ17" s="20"/>
      <c r="BK17" s="19"/>
      <c r="BL17" s="20"/>
      <c r="BM17" s="19"/>
      <c r="BN17" s="20"/>
      <c r="BO17" s="19"/>
      <c r="BP17" s="20"/>
      <c r="BQ17" s="23"/>
      <c r="BR17" s="23"/>
      <c r="BS17" s="23"/>
      <c r="BT17" s="23"/>
      <c r="BU17" s="23"/>
      <c r="BV17" s="23"/>
      <c r="BW17" s="23"/>
      <c r="BX17" s="109"/>
      <c r="BY17" s="110"/>
      <c r="BZ17" s="114"/>
      <c r="CA17" s="109"/>
      <c r="CB17" s="110"/>
      <c r="CC17" s="117"/>
      <c r="CD17" s="23"/>
      <c r="CE17" s="23"/>
      <c r="CF17" s="32"/>
      <c r="CG17" s="33"/>
      <c r="CH17" s="19"/>
      <c r="CI17" s="20"/>
      <c r="CJ17" s="19"/>
      <c r="CK17" s="20"/>
      <c r="CL17" s="19"/>
      <c r="CM17" s="20"/>
      <c r="CN17" s="19"/>
      <c r="CO17" s="20"/>
      <c r="CP17" s="23"/>
      <c r="CQ17" s="23"/>
      <c r="CR17" s="23"/>
      <c r="CS17" s="23"/>
      <c r="CT17" s="23"/>
      <c r="CU17" s="23"/>
      <c r="CV17" s="23"/>
      <c r="CW17" s="109"/>
      <c r="CX17" s="110"/>
      <c r="CY17" s="114"/>
      <c r="CZ17" s="109"/>
      <c r="DA17" s="110"/>
      <c r="DB17" s="117"/>
      <c r="DC17" s="23"/>
      <c r="DD17" s="23"/>
      <c r="DE17" s="32"/>
      <c r="DF17" s="33"/>
      <c r="DG17" s="19"/>
      <c r="DH17" s="20"/>
      <c r="DI17" s="19"/>
      <c r="DJ17" s="20"/>
      <c r="DK17" s="19"/>
      <c r="DL17" s="20"/>
      <c r="DM17" s="19"/>
      <c r="DN17" s="20"/>
      <c r="DO17" s="23"/>
      <c r="DP17" s="23"/>
      <c r="DQ17" s="23"/>
      <c r="DR17" s="23"/>
      <c r="DS17" s="23"/>
      <c r="DT17" s="23"/>
      <c r="DU17" s="23"/>
      <c r="DV17" s="109"/>
      <c r="DW17" s="110"/>
      <c r="DX17" s="114"/>
      <c r="DY17" s="109"/>
      <c r="DZ17" s="110"/>
      <c r="EA17" s="117"/>
      <c r="EB17" s="23"/>
      <c r="EC17" s="23"/>
      <c r="ED17" s="32"/>
      <c r="EE17" s="33"/>
      <c r="EF17" s="19"/>
      <c r="EG17" s="20"/>
      <c r="EH17" s="19"/>
      <c r="EI17" s="20"/>
      <c r="EJ17" s="19"/>
      <c r="EK17" s="20"/>
      <c r="EL17" s="19"/>
      <c r="EM17" s="20"/>
      <c r="EN17" s="23"/>
      <c r="EO17" s="23"/>
      <c r="EP17" s="23"/>
      <c r="EQ17" s="23"/>
      <c r="ER17" s="23"/>
      <c r="ES17" s="23"/>
      <c r="ET17" s="23"/>
      <c r="EU17" s="109"/>
      <c r="EV17" s="110"/>
      <c r="EW17" s="114"/>
      <c r="EX17" s="109"/>
      <c r="EY17" s="110"/>
      <c r="EZ17" s="117"/>
      <c r="FA17" s="23"/>
      <c r="FB17" s="23"/>
      <c r="FC17" s="32"/>
      <c r="FD17" s="33"/>
      <c r="FE17" s="19"/>
      <c r="FF17" s="20"/>
      <c r="FG17" s="19"/>
      <c r="FH17" s="20"/>
      <c r="FI17" s="19"/>
      <c r="FJ17" s="20"/>
      <c r="FK17" s="19"/>
      <c r="FL17" s="20"/>
      <c r="FM17" s="23"/>
      <c r="FN17" s="23"/>
      <c r="FO17" s="23"/>
      <c r="FP17" s="23"/>
      <c r="FQ17" s="23"/>
      <c r="FR17" s="23"/>
      <c r="FS17" s="23"/>
    </row>
    <row r="18" spans="1:175" ht="16.5" thickBot="1" x14ac:dyDescent="0.4">
      <c r="A18" s="111"/>
      <c r="B18" s="112"/>
      <c r="C18" s="115"/>
      <c r="D18" s="111"/>
      <c r="E18" s="112"/>
      <c r="F18" s="118"/>
      <c r="G18" s="23"/>
      <c r="H18" s="23"/>
      <c r="I18" s="34"/>
      <c r="J18" s="35"/>
      <c r="K18" s="21"/>
      <c r="L18" s="22"/>
      <c r="M18" s="21"/>
      <c r="N18" s="22"/>
      <c r="O18" s="21"/>
      <c r="P18" s="22"/>
      <c r="Q18" s="21"/>
      <c r="R18" s="22"/>
      <c r="S18" s="23"/>
      <c r="T18" s="23"/>
      <c r="U18" s="23"/>
      <c r="V18" s="23"/>
      <c r="W18" s="23"/>
      <c r="X18" s="23"/>
      <c r="Y18" s="23"/>
      <c r="Z18" s="111"/>
      <c r="AA18" s="112"/>
      <c r="AB18" s="115"/>
      <c r="AC18" s="111"/>
      <c r="AD18" s="112"/>
      <c r="AE18" s="118"/>
      <c r="AF18" s="23"/>
      <c r="AG18" s="23"/>
      <c r="AH18" s="34"/>
      <c r="AI18" s="35"/>
      <c r="AJ18" s="21"/>
      <c r="AK18" s="22"/>
      <c r="AL18" s="21"/>
      <c r="AM18" s="22"/>
      <c r="AN18" s="21"/>
      <c r="AO18" s="22"/>
      <c r="AP18" s="21"/>
      <c r="AQ18" s="22"/>
      <c r="AR18" s="23"/>
      <c r="AS18" s="23"/>
      <c r="AT18" s="23"/>
      <c r="AU18" s="23"/>
      <c r="AV18" s="23"/>
      <c r="AW18" s="23"/>
      <c r="AX18" s="23"/>
      <c r="AY18" s="111"/>
      <c r="AZ18" s="112"/>
      <c r="BA18" s="115"/>
      <c r="BB18" s="111"/>
      <c r="BC18" s="112"/>
      <c r="BD18" s="118"/>
      <c r="BE18" s="23"/>
      <c r="BF18" s="23"/>
      <c r="BG18" s="34"/>
      <c r="BH18" s="35"/>
      <c r="BI18" s="21"/>
      <c r="BJ18" s="22"/>
      <c r="BK18" s="21"/>
      <c r="BL18" s="22"/>
      <c r="BM18" s="21"/>
      <c r="BN18" s="22"/>
      <c r="BO18" s="21"/>
      <c r="BP18" s="22"/>
      <c r="BQ18" s="23"/>
      <c r="BR18" s="23"/>
      <c r="BS18" s="23"/>
      <c r="BT18" s="23"/>
      <c r="BU18" s="23"/>
      <c r="BV18" s="23"/>
      <c r="BW18" s="23"/>
      <c r="BX18" s="111"/>
      <c r="BY18" s="112"/>
      <c r="BZ18" s="115"/>
      <c r="CA18" s="111"/>
      <c r="CB18" s="112"/>
      <c r="CC18" s="118"/>
      <c r="CD18" s="23"/>
      <c r="CE18" s="23"/>
      <c r="CF18" s="34"/>
      <c r="CG18" s="35"/>
      <c r="CH18" s="21"/>
      <c r="CI18" s="22"/>
      <c r="CJ18" s="21"/>
      <c r="CK18" s="22"/>
      <c r="CL18" s="21"/>
      <c r="CM18" s="22"/>
      <c r="CN18" s="21"/>
      <c r="CO18" s="22"/>
      <c r="CP18" s="23"/>
      <c r="CQ18" s="23"/>
      <c r="CR18" s="23"/>
      <c r="CS18" s="23"/>
      <c r="CT18" s="23"/>
      <c r="CU18" s="23"/>
      <c r="CV18" s="23"/>
      <c r="CW18" s="111"/>
      <c r="CX18" s="112"/>
      <c r="CY18" s="115"/>
      <c r="CZ18" s="111"/>
      <c r="DA18" s="112"/>
      <c r="DB18" s="118"/>
      <c r="DC18" s="23"/>
      <c r="DD18" s="23"/>
      <c r="DE18" s="34"/>
      <c r="DF18" s="35"/>
      <c r="DG18" s="21"/>
      <c r="DH18" s="22"/>
      <c r="DI18" s="21"/>
      <c r="DJ18" s="22"/>
      <c r="DK18" s="21"/>
      <c r="DL18" s="22"/>
      <c r="DM18" s="21"/>
      <c r="DN18" s="22"/>
      <c r="DO18" s="23"/>
      <c r="DP18" s="23"/>
      <c r="DQ18" s="23"/>
      <c r="DR18" s="23"/>
      <c r="DS18" s="23"/>
      <c r="DT18" s="23"/>
      <c r="DU18" s="23"/>
      <c r="DV18" s="111"/>
      <c r="DW18" s="112"/>
      <c r="DX18" s="115"/>
      <c r="DY18" s="111"/>
      <c r="DZ18" s="112"/>
      <c r="EA18" s="118"/>
      <c r="EB18" s="23"/>
      <c r="EC18" s="23"/>
      <c r="ED18" s="34"/>
      <c r="EE18" s="35"/>
      <c r="EF18" s="21"/>
      <c r="EG18" s="22"/>
      <c r="EH18" s="21"/>
      <c r="EI18" s="22"/>
      <c r="EJ18" s="21"/>
      <c r="EK18" s="22"/>
      <c r="EL18" s="21"/>
      <c r="EM18" s="22"/>
      <c r="EN18" s="23"/>
      <c r="EO18" s="23"/>
      <c r="EP18" s="23"/>
      <c r="EQ18" s="23"/>
      <c r="ER18" s="23"/>
      <c r="ES18" s="23"/>
      <c r="ET18" s="23"/>
      <c r="EU18" s="111"/>
      <c r="EV18" s="112"/>
      <c r="EW18" s="115"/>
      <c r="EX18" s="111"/>
      <c r="EY18" s="112"/>
      <c r="EZ18" s="118"/>
      <c r="FA18" s="23"/>
      <c r="FB18" s="23"/>
      <c r="FC18" s="34"/>
      <c r="FD18" s="35"/>
      <c r="FE18" s="21"/>
      <c r="FF18" s="22"/>
      <c r="FG18" s="21"/>
      <c r="FH18" s="22"/>
      <c r="FI18" s="21"/>
      <c r="FJ18" s="22"/>
      <c r="FK18" s="21"/>
      <c r="FL18" s="22"/>
      <c r="FM18" s="23"/>
      <c r="FN18" s="23"/>
      <c r="FO18" s="23"/>
      <c r="FP18" s="23"/>
      <c r="FQ18" s="23"/>
      <c r="FR18" s="23"/>
      <c r="FS18" s="23"/>
    </row>
    <row r="19" spans="1:175" ht="16" x14ac:dyDescent="0.35">
      <c r="A19" s="107" t="s">
        <v>27</v>
      </c>
      <c r="B19" s="108"/>
      <c r="C19" s="113" t="s">
        <v>28</v>
      </c>
      <c r="D19" s="107" t="s">
        <v>55</v>
      </c>
      <c r="E19" s="108"/>
      <c r="F19" s="116">
        <f>VLOOKUP(C19,DINNERTABLE,2,FALSE)</f>
        <v>450</v>
      </c>
      <c r="G19" s="23"/>
      <c r="H19" s="23"/>
      <c r="I19" s="30" t="s">
        <v>12</v>
      </c>
      <c r="J19" s="31"/>
      <c r="K19" s="17">
        <f>VLOOKUP(I19,METVALUE,2,FALSE)</f>
        <v>4</v>
      </c>
      <c r="L19" s="18"/>
      <c r="M19" s="17">
        <v>2</v>
      </c>
      <c r="N19" s="18"/>
      <c r="O19" s="17">
        <f>D3*K19</f>
        <v>773.13766233766239</v>
      </c>
      <c r="P19" s="18"/>
      <c r="Q19" s="17">
        <f>M19*O19</f>
        <v>1546.2753246753248</v>
      </c>
      <c r="R19" s="18"/>
      <c r="S19" s="23"/>
      <c r="T19" s="23"/>
      <c r="U19" s="23"/>
      <c r="V19" s="23"/>
      <c r="W19" s="23"/>
      <c r="X19" s="23"/>
      <c r="Y19" s="23"/>
      <c r="Z19" s="107" t="s">
        <v>27</v>
      </c>
      <c r="AA19" s="108"/>
      <c r="AB19" s="113" t="s">
        <v>29</v>
      </c>
      <c r="AC19" s="107" t="s">
        <v>55</v>
      </c>
      <c r="AD19" s="108"/>
      <c r="AE19" s="116">
        <f>VLOOKUP(AB19,DINNERTABLE,2,FALSE)</f>
        <v>500</v>
      </c>
      <c r="AF19" s="23"/>
      <c r="AG19" s="23"/>
      <c r="AH19" s="30" t="s">
        <v>12</v>
      </c>
      <c r="AI19" s="31"/>
      <c r="AJ19" s="17">
        <f>VLOOKUP(AH19,METVALUE,2,FALSE)</f>
        <v>4</v>
      </c>
      <c r="AK19" s="18"/>
      <c r="AL19" s="17">
        <v>1</v>
      </c>
      <c r="AM19" s="18"/>
      <c r="AN19" s="17">
        <f>AC3*AJ19</f>
        <v>773.13766233766239</v>
      </c>
      <c r="AO19" s="18"/>
      <c r="AP19" s="17">
        <f>AL19*AN19</f>
        <v>773.13766233766239</v>
      </c>
      <c r="AQ19" s="18"/>
      <c r="AR19" s="23"/>
      <c r="AS19" s="23"/>
      <c r="AT19" s="23"/>
      <c r="AU19" s="23"/>
      <c r="AV19" s="23"/>
      <c r="AW19" s="23"/>
      <c r="AX19" s="23"/>
      <c r="AY19" s="107" t="s">
        <v>27</v>
      </c>
      <c r="AZ19" s="108"/>
      <c r="BA19" s="113" t="s">
        <v>30</v>
      </c>
      <c r="BB19" s="107" t="s">
        <v>55</v>
      </c>
      <c r="BC19" s="108"/>
      <c r="BD19" s="116">
        <f>VLOOKUP(BA19,DINNERTABLE,2,FALSE)</f>
        <v>480</v>
      </c>
      <c r="BE19" s="23"/>
      <c r="BF19" s="23"/>
      <c r="BG19" s="30" t="s">
        <v>12</v>
      </c>
      <c r="BH19" s="31"/>
      <c r="BI19" s="17">
        <f>VLOOKUP(BG19,METVALUE,2,FALSE)</f>
        <v>4</v>
      </c>
      <c r="BJ19" s="18"/>
      <c r="BK19" s="17">
        <v>0.75</v>
      </c>
      <c r="BL19" s="18"/>
      <c r="BM19" s="17">
        <f>BB3*BI19</f>
        <v>773.13766233766239</v>
      </c>
      <c r="BN19" s="18"/>
      <c r="BO19" s="17">
        <f>BK19*BM19</f>
        <v>579.85324675324682</v>
      </c>
      <c r="BP19" s="18"/>
      <c r="BQ19" s="23"/>
      <c r="BR19" s="23"/>
      <c r="BS19" s="23"/>
      <c r="BT19" s="23"/>
      <c r="BU19" s="23"/>
      <c r="BV19" s="23"/>
      <c r="BW19" s="23"/>
      <c r="BX19" s="107" t="s">
        <v>27</v>
      </c>
      <c r="BY19" s="108"/>
      <c r="BZ19" s="113" t="s">
        <v>31</v>
      </c>
      <c r="CA19" s="107" t="s">
        <v>55</v>
      </c>
      <c r="CB19" s="108"/>
      <c r="CC19" s="116">
        <f>VLOOKUP(BZ19,DINNERTABLE,2,FALSE)</f>
        <v>470</v>
      </c>
      <c r="CD19" s="23"/>
      <c r="CE19" s="23"/>
      <c r="CF19" s="30" t="s">
        <v>12</v>
      </c>
      <c r="CG19" s="31"/>
      <c r="CH19" s="17">
        <f>VLOOKUP(CF19,METVALUE,2,FALSE)</f>
        <v>4</v>
      </c>
      <c r="CI19" s="18"/>
      <c r="CJ19" s="17">
        <v>1</v>
      </c>
      <c r="CK19" s="18"/>
      <c r="CL19" s="17">
        <f>CA3*CH19</f>
        <v>773.13766233766239</v>
      </c>
      <c r="CM19" s="18"/>
      <c r="CN19" s="17">
        <f>CJ19*CL19</f>
        <v>773.13766233766239</v>
      </c>
      <c r="CO19" s="18"/>
      <c r="CP19" s="23"/>
      <c r="CQ19" s="23"/>
      <c r="CR19" s="23"/>
      <c r="CS19" s="23"/>
      <c r="CT19" s="23"/>
      <c r="CU19" s="23"/>
      <c r="CV19" s="23"/>
      <c r="CW19" s="107" t="s">
        <v>27</v>
      </c>
      <c r="CX19" s="108"/>
      <c r="CY19" s="113" t="s">
        <v>32</v>
      </c>
      <c r="CZ19" s="107" t="s">
        <v>55</v>
      </c>
      <c r="DA19" s="108"/>
      <c r="DB19" s="116">
        <f>VLOOKUP(CY19,DINNERTABLE,2,FALSE)</f>
        <v>520</v>
      </c>
      <c r="DC19" s="23"/>
      <c r="DD19" s="23"/>
      <c r="DE19" s="30" t="s">
        <v>12</v>
      </c>
      <c r="DF19" s="31"/>
      <c r="DG19" s="17">
        <f>VLOOKUP(DE19,METVALUE,2,FALSE)</f>
        <v>4</v>
      </c>
      <c r="DH19" s="18"/>
      <c r="DI19" s="17">
        <v>1.25</v>
      </c>
      <c r="DJ19" s="18"/>
      <c r="DK19" s="17">
        <f>CZ3*DG19</f>
        <v>773.13766233766239</v>
      </c>
      <c r="DL19" s="18"/>
      <c r="DM19" s="17">
        <f>DI19*DK19</f>
        <v>966.42207792207796</v>
      </c>
      <c r="DN19" s="18"/>
      <c r="DO19" s="23"/>
      <c r="DP19" s="23"/>
      <c r="DQ19" s="23"/>
      <c r="DR19" s="23"/>
      <c r="DS19" s="23"/>
      <c r="DT19" s="23"/>
      <c r="DU19" s="23"/>
      <c r="DV19" s="107" t="s">
        <v>27</v>
      </c>
      <c r="DW19" s="108"/>
      <c r="DX19" s="113" t="s">
        <v>28</v>
      </c>
      <c r="DY19" s="107" t="s">
        <v>55</v>
      </c>
      <c r="DZ19" s="108"/>
      <c r="EA19" s="116">
        <f>VLOOKUP(DX19,DINNERTABLE,2,FALSE)</f>
        <v>450</v>
      </c>
      <c r="EB19" s="23"/>
      <c r="EC19" s="23"/>
      <c r="ED19" s="30" t="s">
        <v>12</v>
      </c>
      <c r="EE19" s="31"/>
      <c r="EF19" s="17">
        <f>VLOOKUP(ED19,METVALUE,2,FALSE)</f>
        <v>4</v>
      </c>
      <c r="EG19" s="18"/>
      <c r="EH19" s="17">
        <v>0.5</v>
      </c>
      <c r="EI19" s="18"/>
      <c r="EJ19" s="17">
        <f>DY3*EF19</f>
        <v>773.13766233766239</v>
      </c>
      <c r="EK19" s="18"/>
      <c r="EL19" s="17">
        <f>EH19*EJ19</f>
        <v>386.5688311688312</v>
      </c>
      <c r="EM19" s="18"/>
      <c r="EN19" s="23"/>
      <c r="EO19" s="23"/>
      <c r="EP19" s="23"/>
      <c r="EQ19" s="23"/>
      <c r="ER19" s="23"/>
      <c r="ES19" s="23"/>
      <c r="ET19" s="23"/>
      <c r="EU19" s="107" t="s">
        <v>27</v>
      </c>
      <c r="EV19" s="108"/>
      <c r="EW19" s="113" t="s">
        <v>28</v>
      </c>
      <c r="EX19" s="107" t="s">
        <v>55</v>
      </c>
      <c r="EY19" s="108"/>
      <c r="EZ19" s="116">
        <f>VLOOKUP(EW19,DINNERTABLE,2,FALSE)</f>
        <v>450</v>
      </c>
      <c r="FA19" s="23"/>
      <c r="FB19" s="23"/>
      <c r="FC19" s="30" t="s">
        <v>12</v>
      </c>
      <c r="FD19" s="31"/>
      <c r="FE19" s="17">
        <f>VLOOKUP(FC19,METVALUE,2,FALSE)</f>
        <v>4</v>
      </c>
      <c r="FF19" s="18"/>
      <c r="FG19" s="17">
        <v>0.75</v>
      </c>
      <c r="FH19" s="18"/>
      <c r="FI19" s="17">
        <f>EX3*FE19</f>
        <v>773.13766233766239</v>
      </c>
      <c r="FJ19" s="18"/>
      <c r="FK19" s="17">
        <f>FG19*FI19</f>
        <v>579.85324675324682</v>
      </c>
      <c r="FL19" s="18"/>
      <c r="FM19" s="23"/>
      <c r="FN19" s="23"/>
      <c r="FO19" s="23"/>
      <c r="FP19" s="23"/>
      <c r="FQ19" s="23"/>
      <c r="FR19" s="23"/>
      <c r="FS19" s="23"/>
    </row>
    <row r="20" spans="1:175" ht="16" x14ac:dyDescent="0.35">
      <c r="A20" s="109"/>
      <c r="B20" s="110"/>
      <c r="C20" s="114"/>
      <c r="D20" s="109"/>
      <c r="E20" s="110"/>
      <c r="F20" s="117"/>
      <c r="G20" s="23"/>
      <c r="H20" s="23"/>
      <c r="I20" s="32"/>
      <c r="J20" s="33"/>
      <c r="K20" s="19"/>
      <c r="L20" s="20"/>
      <c r="M20" s="19"/>
      <c r="N20" s="20"/>
      <c r="O20" s="19"/>
      <c r="P20" s="20"/>
      <c r="Q20" s="19"/>
      <c r="R20" s="20"/>
      <c r="S20" s="23"/>
      <c r="T20" s="23"/>
      <c r="U20" s="23"/>
      <c r="V20" s="23"/>
      <c r="W20" s="23"/>
      <c r="X20" s="23"/>
      <c r="Y20" s="23"/>
      <c r="Z20" s="109"/>
      <c r="AA20" s="110"/>
      <c r="AB20" s="114"/>
      <c r="AC20" s="109"/>
      <c r="AD20" s="110"/>
      <c r="AE20" s="117"/>
      <c r="AF20" s="23"/>
      <c r="AG20" s="23"/>
      <c r="AH20" s="32"/>
      <c r="AI20" s="33"/>
      <c r="AJ20" s="19"/>
      <c r="AK20" s="20"/>
      <c r="AL20" s="19"/>
      <c r="AM20" s="20"/>
      <c r="AN20" s="19"/>
      <c r="AO20" s="20"/>
      <c r="AP20" s="19"/>
      <c r="AQ20" s="20"/>
      <c r="AR20" s="23"/>
      <c r="AS20" s="23"/>
      <c r="AT20" s="23"/>
      <c r="AU20" s="23"/>
      <c r="AV20" s="23"/>
      <c r="AW20" s="23"/>
      <c r="AX20" s="23"/>
      <c r="AY20" s="109"/>
      <c r="AZ20" s="110"/>
      <c r="BA20" s="114"/>
      <c r="BB20" s="109"/>
      <c r="BC20" s="110"/>
      <c r="BD20" s="117"/>
      <c r="BE20" s="23"/>
      <c r="BF20" s="23"/>
      <c r="BG20" s="32"/>
      <c r="BH20" s="33"/>
      <c r="BI20" s="19"/>
      <c r="BJ20" s="20"/>
      <c r="BK20" s="19"/>
      <c r="BL20" s="20"/>
      <c r="BM20" s="19"/>
      <c r="BN20" s="20"/>
      <c r="BO20" s="19"/>
      <c r="BP20" s="20"/>
      <c r="BQ20" s="23"/>
      <c r="BR20" s="23"/>
      <c r="BS20" s="23"/>
      <c r="BT20" s="23"/>
      <c r="BU20" s="23"/>
      <c r="BV20" s="23"/>
      <c r="BW20" s="23"/>
      <c r="BX20" s="109"/>
      <c r="BY20" s="110"/>
      <c r="BZ20" s="114"/>
      <c r="CA20" s="109"/>
      <c r="CB20" s="110"/>
      <c r="CC20" s="117"/>
      <c r="CD20" s="23"/>
      <c r="CE20" s="23"/>
      <c r="CF20" s="32"/>
      <c r="CG20" s="33"/>
      <c r="CH20" s="19"/>
      <c r="CI20" s="20"/>
      <c r="CJ20" s="19"/>
      <c r="CK20" s="20"/>
      <c r="CL20" s="19"/>
      <c r="CM20" s="20"/>
      <c r="CN20" s="19"/>
      <c r="CO20" s="20"/>
      <c r="CP20" s="23"/>
      <c r="CQ20" s="23"/>
      <c r="CR20" s="23"/>
      <c r="CS20" s="23"/>
      <c r="CT20" s="23"/>
      <c r="CU20" s="23"/>
      <c r="CV20" s="23"/>
      <c r="CW20" s="109"/>
      <c r="CX20" s="110"/>
      <c r="CY20" s="114"/>
      <c r="CZ20" s="109"/>
      <c r="DA20" s="110"/>
      <c r="DB20" s="117"/>
      <c r="DC20" s="23"/>
      <c r="DD20" s="23"/>
      <c r="DE20" s="32"/>
      <c r="DF20" s="33"/>
      <c r="DG20" s="19"/>
      <c r="DH20" s="20"/>
      <c r="DI20" s="19"/>
      <c r="DJ20" s="20"/>
      <c r="DK20" s="19"/>
      <c r="DL20" s="20"/>
      <c r="DM20" s="19"/>
      <c r="DN20" s="20"/>
      <c r="DO20" s="23"/>
      <c r="DP20" s="23"/>
      <c r="DQ20" s="23"/>
      <c r="DR20" s="23"/>
      <c r="DS20" s="23"/>
      <c r="DT20" s="23"/>
      <c r="DU20" s="23"/>
      <c r="DV20" s="109"/>
      <c r="DW20" s="110"/>
      <c r="DX20" s="114"/>
      <c r="DY20" s="109"/>
      <c r="DZ20" s="110"/>
      <c r="EA20" s="117"/>
      <c r="EB20" s="23"/>
      <c r="EC20" s="23"/>
      <c r="ED20" s="32"/>
      <c r="EE20" s="33"/>
      <c r="EF20" s="19"/>
      <c r="EG20" s="20"/>
      <c r="EH20" s="19"/>
      <c r="EI20" s="20"/>
      <c r="EJ20" s="19"/>
      <c r="EK20" s="20"/>
      <c r="EL20" s="19"/>
      <c r="EM20" s="20"/>
      <c r="EN20" s="23"/>
      <c r="EO20" s="23"/>
      <c r="EP20" s="23"/>
      <c r="EQ20" s="23"/>
      <c r="ER20" s="23"/>
      <c r="ES20" s="23"/>
      <c r="ET20" s="23"/>
      <c r="EU20" s="109"/>
      <c r="EV20" s="110"/>
      <c r="EW20" s="114"/>
      <c r="EX20" s="109"/>
      <c r="EY20" s="110"/>
      <c r="EZ20" s="117"/>
      <c r="FA20" s="23"/>
      <c r="FB20" s="23"/>
      <c r="FC20" s="32"/>
      <c r="FD20" s="33"/>
      <c r="FE20" s="19"/>
      <c r="FF20" s="20"/>
      <c r="FG20" s="19"/>
      <c r="FH20" s="20"/>
      <c r="FI20" s="19"/>
      <c r="FJ20" s="20"/>
      <c r="FK20" s="19"/>
      <c r="FL20" s="20"/>
      <c r="FM20" s="23"/>
      <c r="FN20" s="23"/>
      <c r="FO20" s="23"/>
      <c r="FP20" s="23"/>
      <c r="FQ20" s="23"/>
      <c r="FR20" s="23"/>
      <c r="FS20" s="23"/>
    </row>
    <row r="21" spans="1:175" ht="16.5" thickBot="1" x14ac:dyDescent="0.4">
      <c r="A21" s="109"/>
      <c r="B21" s="110"/>
      <c r="C21" s="114"/>
      <c r="D21" s="109"/>
      <c r="E21" s="110"/>
      <c r="F21" s="117"/>
      <c r="G21" s="23"/>
      <c r="H21" s="23"/>
      <c r="I21" s="34"/>
      <c r="J21" s="35"/>
      <c r="K21" s="21"/>
      <c r="L21" s="22"/>
      <c r="M21" s="21"/>
      <c r="N21" s="22"/>
      <c r="O21" s="21"/>
      <c r="P21" s="22"/>
      <c r="Q21" s="21"/>
      <c r="R21" s="22"/>
      <c r="S21" s="23"/>
      <c r="T21" s="23"/>
      <c r="U21" s="23"/>
      <c r="V21" s="23"/>
      <c r="W21" s="23"/>
      <c r="X21" s="23"/>
      <c r="Y21" s="23"/>
      <c r="Z21" s="109"/>
      <c r="AA21" s="110"/>
      <c r="AB21" s="114"/>
      <c r="AC21" s="109"/>
      <c r="AD21" s="110"/>
      <c r="AE21" s="117"/>
      <c r="AF21" s="23"/>
      <c r="AG21" s="23"/>
      <c r="AH21" s="34"/>
      <c r="AI21" s="35"/>
      <c r="AJ21" s="21"/>
      <c r="AK21" s="22"/>
      <c r="AL21" s="21"/>
      <c r="AM21" s="22"/>
      <c r="AN21" s="21"/>
      <c r="AO21" s="22"/>
      <c r="AP21" s="21"/>
      <c r="AQ21" s="22"/>
      <c r="AR21" s="23"/>
      <c r="AS21" s="23"/>
      <c r="AT21" s="23"/>
      <c r="AU21" s="23"/>
      <c r="AV21" s="23"/>
      <c r="AW21" s="23"/>
      <c r="AX21" s="23"/>
      <c r="AY21" s="109"/>
      <c r="AZ21" s="110"/>
      <c r="BA21" s="114"/>
      <c r="BB21" s="109"/>
      <c r="BC21" s="110"/>
      <c r="BD21" s="117"/>
      <c r="BE21" s="23"/>
      <c r="BF21" s="23"/>
      <c r="BG21" s="34"/>
      <c r="BH21" s="35"/>
      <c r="BI21" s="21"/>
      <c r="BJ21" s="22"/>
      <c r="BK21" s="21"/>
      <c r="BL21" s="22"/>
      <c r="BM21" s="21"/>
      <c r="BN21" s="22"/>
      <c r="BO21" s="21"/>
      <c r="BP21" s="22"/>
      <c r="BQ21" s="23"/>
      <c r="BR21" s="23"/>
      <c r="BS21" s="23"/>
      <c r="BT21" s="23"/>
      <c r="BU21" s="23"/>
      <c r="BV21" s="23"/>
      <c r="BW21" s="23"/>
      <c r="BX21" s="109"/>
      <c r="BY21" s="110"/>
      <c r="BZ21" s="114"/>
      <c r="CA21" s="109"/>
      <c r="CB21" s="110"/>
      <c r="CC21" s="117"/>
      <c r="CD21" s="23"/>
      <c r="CE21" s="23"/>
      <c r="CF21" s="34"/>
      <c r="CG21" s="35"/>
      <c r="CH21" s="21"/>
      <c r="CI21" s="22"/>
      <c r="CJ21" s="21"/>
      <c r="CK21" s="22"/>
      <c r="CL21" s="21"/>
      <c r="CM21" s="22"/>
      <c r="CN21" s="21"/>
      <c r="CO21" s="22"/>
      <c r="CP21" s="23"/>
      <c r="CQ21" s="23"/>
      <c r="CR21" s="23"/>
      <c r="CS21" s="23"/>
      <c r="CT21" s="23"/>
      <c r="CU21" s="23"/>
      <c r="CV21" s="23"/>
      <c r="CW21" s="109"/>
      <c r="CX21" s="110"/>
      <c r="CY21" s="114"/>
      <c r="CZ21" s="109"/>
      <c r="DA21" s="110"/>
      <c r="DB21" s="117"/>
      <c r="DC21" s="23"/>
      <c r="DD21" s="23"/>
      <c r="DE21" s="34"/>
      <c r="DF21" s="35"/>
      <c r="DG21" s="21"/>
      <c r="DH21" s="22"/>
      <c r="DI21" s="21"/>
      <c r="DJ21" s="22"/>
      <c r="DK21" s="21"/>
      <c r="DL21" s="22"/>
      <c r="DM21" s="21"/>
      <c r="DN21" s="22"/>
      <c r="DO21" s="23"/>
      <c r="DP21" s="23"/>
      <c r="DQ21" s="23"/>
      <c r="DR21" s="23"/>
      <c r="DS21" s="23"/>
      <c r="DT21" s="23"/>
      <c r="DU21" s="23"/>
      <c r="DV21" s="109"/>
      <c r="DW21" s="110"/>
      <c r="DX21" s="114"/>
      <c r="DY21" s="109"/>
      <c r="DZ21" s="110"/>
      <c r="EA21" s="117"/>
      <c r="EB21" s="23"/>
      <c r="EC21" s="23"/>
      <c r="ED21" s="34"/>
      <c r="EE21" s="35"/>
      <c r="EF21" s="21"/>
      <c r="EG21" s="22"/>
      <c r="EH21" s="21"/>
      <c r="EI21" s="22"/>
      <c r="EJ21" s="21"/>
      <c r="EK21" s="22"/>
      <c r="EL21" s="21"/>
      <c r="EM21" s="22"/>
      <c r="EN21" s="23"/>
      <c r="EO21" s="23"/>
      <c r="EP21" s="23"/>
      <c r="EQ21" s="23"/>
      <c r="ER21" s="23"/>
      <c r="ES21" s="23"/>
      <c r="ET21" s="23"/>
      <c r="EU21" s="109"/>
      <c r="EV21" s="110"/>
      <c r="EW21" s="114"/>
      <c r="EX21" s="109"/>
      <c r="EY21" s="110"/>
      <c r="EZ21" s="117"/>
      <c r="FA21" s="23"/>
      <c r="FB21" s="23"/>
      <c r="FC21" s="34"/>
      <c r="FD21" s="35"/>
      <c r="FE21" s="21"/>
      <c r="FF21" s="22"/>
      <c r="FG21" s="21"/>
      <c r="FH21" s="22"/>
      <c r="FI21" s="21"/>
      <c r="FJ21" s="22"/>
      <c r="FK21" s="21"/>
      <c r="FL21" s="22"/>
      <c r="FM21" s="23"/>
      <c r="FN21" s="23"/>
      <c r="FO21" s="23"/>
      <c r="FP21" s="23"/>
      <c r="FQ21" s="23"/>
      <c r="FR21" s="23"/>
      <c r="FS21" s="23"/>
    </row>
    <row r="22" spans="1:175" ht="16.5" thickBot="1" x14ac:dyDescent="0.4">
      <c r="A22" s="111"/>
      <c r="B22" s="112"/>
      <c r="C22" s="115"/>
      <c r="D22" s="111"/>
      <c r="E22" s="112"/>
      <c r="F22" s="118"/>
      <c r="G22" s="23"/>
      <c r="H22" s="23"/>
      <c r="I22" s="30" t="s">
        <v>14</v>
      </c>
      <c r="J22" s="31"/>
      <c r="K22" s="17">
        <f>VLOOKUP(I22,METVALUE,2,FALSE)</f>
        <v>9.8000000000000007</v>
      </c>
      <c r="L22" s="18"/>
      <c r="M22" s="17">
        <v>1.25</v>
      </c>
      <c r="N22" s="18"/>
      <c r="O22" s="17">
        <f>D3*K22</f>
        <v>1894.187272727273</v>
      </c>
      <c r="P22" s="18"/>
      <c r="Q22" s="17">
        <f>M22*O22</f>
        <v>2367.7340909090913</v>
      </c>
      <c r="R22" s="18"/>
      <c r="S22" s="23"/>
      <c r="T22" s="23"/>
      <c r="U22" s="23"/>
      <c r="V22" s="23"/>
      <c r="W22" s="23"/>
      <c r="X22" s="23"/>
      <c r="Y22" s="23"/>
      <c r="Z22" s="111"/>
      <c r="AA22" s="112"/>
      <c r="AB22" s="115"/>
      <c r="AC22" s="111"/>
      <c r="AD22" s="112"/>
      <c r="AE22" s="118"/>
      <c r="AF22" s="23"/>
      <c r="AG22" s="23"/>
      <c r="AH22" s="30" t="s">
        <v>14</v>
      </c>
      <c r="AI22" s="31"/>
      <c r="AJ22" s="17">
        <f>VLOOKUP(AH22,METVALUE,2,FALSE)</f>
        <v>9.8000000000000007</v>
      </c>
      <c r="AK22" s="18"/>
      <c r="AL22" s="17">
        <v>1</v>
      </c>
      <c r="AM22" s="18"/>
      <c r="AN22" s="17">
        <f>AC3*AJ22</f>
        <v>1894.187272727273</v>
      </c>
      <c r="AO22" s="18"/>
      <c r="AP22" s="17">
        <f>AL22*AN22</f>
        <v>1894.187272727273</v>
      </c>
      <c r="AQ22" s="18"/>
      <c r="AR22" s="23"/>
      <c r="AS22" s="23"/>
      <c r="AT22" s="23"/>
      <c r="AU22" s="23"/>
      <c r="AV22" s="23"/>
      <c r="AW22" s="23"/>
      <c r="AX22" s="23"/>
      <c r="AY22" s="111"/>
      <c r="AZ22" s="112"/>
      <c r="BA22" s="115"/>
      <c r="BB22" s="111"/>
      <c r="BC22" s="112"/>
      <c r="BD22" s="118"/>
      <c r="BE22" s="23"/>
      <c r="BF22" s="23"/>
      <c r="BG22" s="30" t="s">
        <v>14</v>
      </c>
      <c r="BH22" s="31"/>
      <c r="BI22" s="17">
        <f>VLOOKUP(BG22,METVALUE,2,FALSE)</f>
        <v>9.8000000000000007</v>
      </c>
      <c r="BJ22" s="18"/>
      <c r="BK22" s="17">
        <v>0.25</v>
      </c>
      <c r="BL22" s="18"/>
      <c r="BM22" s="17">
        <f>BB3*BI22</f>
        <v>1894.187272727273</v>
      </c>
      <c r="BN22" s="18"/>
      <c r="BO22" s="17">
        <f>BK22*BM22</f>
        <v>473.54681818181825</v>
      </c>
      <c r="BP22" s="18"/>
      <c r="BQ22" s="23"/>
      <c r="BR22" s="23"/>
      <c r="BS22" s="23"/>
      <c r="BT22" s="23"/>
      <c r="BU22" s="23"/>
      <c r="BV22" s="23"/>
      <c r="BW22" s="23"/>
      <c r="BX22" s="111"/>
      <c r="BY22" s="112"/>
      <c r="BZ22" s="115"/>
      <c r="CA22" s="111"/>
      <c r="CB22" s="112"/>
      <c r="CC22" s="118"/>
      <c r="CD22" s="23"/>
      <c r="CE22" s="23"/>
      <c r="CF22" s="30" t="s">
        <v>14</v>
      </c>
      <c r="CG22" s="31"/>
      <c r="CH22" s="17">
        <f>VLOOKUP(CF22,METVALUE,2,FALSE)</f>
        <v>9.8000000000000007</v>
      </c>
      <c r="CI22" s="18"/>
      <c r="CJ22" s="17">
        <v>1</v>
      </c>
      <c r="CK22" s="18"/>
      <c r="CL22" s="17">
        <f>CA3*CH22</f>
        <v>1894.187272727273</v>
      </c>
      <c r="CM22" s="18"/>
      <c r="CN22" s="17">
        <f>CJ22*CL22</f>
        <v>1894.187272727273</v>
      </c>
      <c r="CO22" s="18"/>
      <c r="CP22" s="23"/>
      <c r="CQ22" s="23"/>
      <c r="CR22" s="23"/>
      <c r="CS22" s="23"/>
      <c r="CT22" s="23"/>
      <c r="CU22" s="23"/>
      <c r="CV22" s="23"/>
      <c r="CW22" s="111"/>
      <c r="CX22" s="112"/>
      <c r="CY22" s="115"/>
      <c r="CZ22" s="111"/>
      <c r="DA22" s="112"/>
      <c r="DB22" s="118"/>
      <c r="DC22" s="23"/>
      <c r="DD22" s="23"/>
      <c r="DE22" s="30" t="s">
        <v>14</v>
      </c>
      <c r="DF22" s="31"/>
      <c r="DG22" s="17">
        <f>VLOOKUP(DE22,METVALUE,2,FALSE)</f>
        <v>9.8000000000000007</v>
      </c>
      <c r="DH22" s="18"/>
      <c r="DI22" s="17">
        <v>1.25</v>
      </c>
      <c r="DJ22" s="18"/>
      <c r="DK22" s="17">
        <f>CZ3*DG22</f>
        <v>1894.187272727273</v>
      </c>
      <c r="DL22" s="18"/>
      <c r="DM22" s="17">
        <f>DI22*DK22</f>
        <v>2367.7340909090913</v>
      </c>
      <c r="DN22" s="18"/>
      <c r="DO22" s="23"/>
      <c r="DP22" s="23"/>
      <c r="DQ22" s="23"/>
      <c r="DR22" s="23"/>
      <c r="DS22" s="23"/>
      <c r="DT22" s="23"/>
      <c r="DU22" s="23"/>
      <c r="DV22" s="111"/>
      <c r="DW22" s="112"/>
      <c r="DX22" s="115"/>
      <c r="DY22" s="111"/>
      <c r="DZ22" s="112"/>
      <c r="EA22" s="118"/>
      <c r="EB22" s="23"/>
      <c r="EC22" s="23"/>
      <c r="ED22" s="30" t="s">
        <v>14</v>
      </c>
      <c r="EE22" s="31"/>
      <c r="EF22" s="17">
        <f>VLOOKUP(ED22,METVALUE,2,FALSE)</f>
        <v>9.8000000000000007</v>
      </c>
      <c r="EG22" s="18"/>
      <c r="EH22" s="17">
        <v>1.25</v>
      </c>
      <c r="EI22" s="18"/>
      <c r="EJ22" s="17">
        <f>DY3*EF22</f>
        <v>1894.187272727273</v>
      </c>
      <c r="EK22" s="18"/>
      <c r="EL22" s="17">
        <f>EH22*EJ22</f>
        <v>2367.7340909090913</v>
      </c>
      <c r="EM22" s="18"/>
      <c r="EN22" s="23"/>
      <c r="EO22" s="23"/>
      <c r="EP22" s="23"/>
      <c r="EQ22" s="23"/>
      <c r="ER22" s="23"/>
      <c r="ES22" s="23"/>
      <c r="ET22" s="23"/>
      <c r="EU22" s="111"/>
      <c r="EV22" s="112"/>
      <c r="EW22" s="115"/>
      <c r="EX22" s="111"/>
      <c r="EY22" s="112"/>
      <c r="EZ22" s="118"/>
      <c r="FA22" s="23"/>
      <c r="FB22" s="23"/>
      <c r="FC22" s="30" t="s">
        <v>14</v>
      </c>
      <c r="FD22" s="31"/>
      <c r="FE22" s="17">
        <f>VLOOKUP(FC22,METVALUE,2,FALSE)</f>
        <v>9.8000000000000007</v>
      </c>
      <c r="FF22" s="18"/>
      <c r="FG22" s="17">
        <v>0</v>
      </c>
      <c r="FH22" s="18"/>
      <c r="FI22" s="17">
        <f>EX3*FE22</f>
        <v>1894.187272727273</v>
      </c>
      <c r="FJ22" s="18"/>
      <c r="FK22" s="17">
        <f>FG22*FI22</f>
        <v>0</v>
      </c>
      <c r="FL22" s="18"/>
      <c r="FM22" s="23"/>
      <c r="FN22" s="23"/>
      <c r="FO22" s="23"/>
      <c r="FP22" s="23"/>
      <c r="FQ22" s="23"/>
      <c r="FR22" s="23"/>
      <c r="FS22" s="23"/>
    </row>
    <row r="23" spans="1:175" ht="16" x14ac:dyDescent="0.35">
      <c r="A23" s="23"/>
      <c r="B23" s="23"/>
      <c r="C23" s="23"/>
      <c r="D23" s="23"/>
      <c r="E23" s="23"/>
      <c r="F23" s="23"/>
      <c r="G23" s="23"/>
      <c r="H23" s="23"/>
      <c r="I23" s="32"/>
      <c r="J23" s="33"/>
      <c r="K23" s="19"/>
      <c r="L23" s="20"/>
      <c r="M23" s="19"/>
      <c r="N23" s="20"/>
      <c r="O23" s="19"/>
      <c r="P23" s="20"/>
      <c r="Q23" s="19"/>
      <c r="R23" s="20"/>
      <c r="S23" s="23"/>
      <c r="T23" s="23"/>
      <c r="U23" s="23"/>
      <c r="V23" s="23"/>
      <c r="W23" s="23"/>
      <c r="X23" s="23"/>
      <c r="Y23" s="23"/>
      <c r="Z23" s="23"/>
      <c r="AA23" s="23"/>
      <c r="AB23" s="23"/>
      <c r="AC23" s="23"/>
      <c r="AD23" s="23"/>
      <c r="AE23" s="23"/>
      <c r="AF23" s="23"/>
      <c r="AG23" s="23"/>
      <c r="AH23" s="32"/>
      <c r="AI23" s="33"/>
      <c r="AJ23" s="19"/>
      <c r="AK23" s="20"/>
      <c r="AL23" s="19"/>
      <c r="AM23" s="20"/>
      <c r="AN23" s="19"/>
      <c r="AO23" s="20"/>
      <c r="AP23" s="19"/>
      <c r="AQ23" s="20"/>
      <c r="AR23" s="23"/>
      <c r="AS23" s="23"/>
      <c r="AT23" s="23"/>
      <c r="AU23" s="23"/>
      <c r="AV23" s="23"/>
      <c r="AW23" s="23"/>
      <c r="AX23" s="23"/>
      <c r="AY23" s="23"/>
      <c r="AZ23" s="23"/>
      <c r="BA23" s="23"/>
      <c r="BB23" s="23"/>
      <c r="BC23" s="23"/>
      <c r="BD23" s="23"/>
      <c r="BE23" s="23"/>
      <c r="BF23" s="23"/>
      <c r="BG23" s="32"/>
      <c r="BH23" s="33"/>
      <c r="BI23" s="19"/>
      <c r="BJ23" s="20"/>
      <c r="BK23" s="19"/>
      <c r="BL23" s="20"/>
      <c r="BM23" s="19"/>
      <c r="BN23" s="20"/>
      <c r="BO23" s="19"/>
      <c r="BP23" s="20"/>
      <c r="BQ23" s="23"/>
      <c r="BR23" s="23"/>
      <c r="BS23" s="23"/>
      <c r="BT23" s="23"/>
      <c r="BU23" s="23"/>
      <c r="BV23" s="23"/>
      <c r="BW23" s="23"/>
      <c r="BX23" s="23"/>
      <c r="BY23" s="23"/>
      <c r="BZ23" s="23"/>
      <c r="CA23" s="23"/>
      <c r="CB23" s="23"/>
      <c r="CC23" s="23"/>
      <c r="CD23" s="23"/>
      <c r="CE23" s="23"/>
      <c r="CF23" s="32"/>
      <c r="CG23" s="33"/>
      <c r="CH23" s="19"/>
      <c r="CI23" s="20"/>
      <c r="CJ23" s="19"/>
      <c r="CK23" s="20"/>
      <c r="CL23" s="19"/>
      <c r="CM23" s="20"/>
      <c r="CN23" s="19"/>
      <c r="CO23" s="20"/>
      <c r="CP23" s="23"/>
      <c r="CQ23" s="23"/>
      <c r="CR23" s="23"/>
      <c r="CS23" s="23"/>
      <c r="CT23" s="23"/>
      <c r="CU23" s="23"/>
      <c r="CV23" s="23"/>
      <c r="CW23" s="23"/>
      <c r="CX23" s="23"/>
      <c r="CY23" s="23"/>
      <c r="CZ23" s="23"/>
      <c r="DA23" s="23"/>
      <c r="DB23" s="23"/>
      <c r="DC23" s="23"/>
      <c r="DD23" s="23"/>
      <c r="DE23" s="32"/>
      <c r="DF23" s="33"/>
      <c r="DG23" s="19"/>
      <c r="DH23" s="20"/>
      <c r="DI23" s="19"/>
      <c r="DJ23" s="20"/>
      <c r="DK23" s="19"/>
      <c r="DL23" s="20"/>
      <c r="DM23" s="19"/>
      <c r="DN23" s="20"/>
      <c r="DO23" s="23"/>
      <c r="DP23" s="23"/>
      <c r="DQ23" s="23"/>
      <c r="DR23" s="23"/>
      <c r="DS23" s="23"/>
      <c r="DT23" s="23"/>
      <c r="DU23" s="23"/>
      <c r="DV23" s="23"/>
      <c r="DW23" s="23"/>
      <c r="DX23" s="23"/>
      <c r="DY23" s="23"/>
      <c r="DZ23" s="23"/>
      <c r="EA23" s="23"/>
      <c r="EB23" s="23"/>
      <c r="EC23" s="23"/>
      <c r="ED23" s="32"/>
      <c r="EE23" s="33"/>
      <c r="EF23" s="19"/>
      <c r="EG23" s="20"/>
      <c r="EH23" s="19"/>
      <c r="EI23" s="20"/>
      <c r="EJ23" s="19"/>
      <c r="EK23" s="20"/>
      <c r="EL23" s="19"/>
      <c r="EM23" s="20"/>
      <c r="EN23" s="23"/>
      <c r="EO23" s="23"/>
      <c r="EP23" s="23"/>
      <c r="EQ23" s="23"/>
      <c r="ER23" s="23"/>
      <c r="ES23" s="23"/>
      <c r="ET23" s="23"/>
      <c r="EU23" s="23"/>
      <c r="EV23" s="23"/>
      <c r="EW23" s="23"/>
      <c r="EX23" s="23"/>
      <c r="EY23" s="23"/>
      <c r="EZ23" s="23"/>
      <c r="FA23" s="23"/>
      <c r="FB23" s="23"/>
      <c r="FC23" s="32"/>
      <c r="FD23" s="33"/>
      <c r="FE23" s="19"/>
      <c r="FF23" s="20"/>
      <c r="FG23" s="19"/>
      <c r="FH23" s="20"/>
      <c r="FI23" s="19"/>
      <c r="FJ23" s="20"/>
      <c r="FK23" s="19"/>
      <c r="FL23" s="20"/>
      <c r="FM23" s="23"/>
      <c r="FN23" s="23"/>
      <c r="FO23" s="23"/>
      <c r="FP23" s="23"/>
      <c r="FQ23" s="23"/>
      <c r="FR23" s="23"/>
      <c r="FS23" s="23"/>
    </row>
    <row r="24" spans="1:175" ht="16.5" thickBot="1" x14ac:dyDescent="0.4">
      <c r="A24" s="23"/>
      <c r="B24" s="23"/>
      <c r="C24" s="23"/>
      <c r="D24" s="23"/>
      <c r="E24" s="23"/>
      <c r="F24" s="23"/>
      <c r="G24" s="23"/>
      <c r="H24" s="23"/>
      <c r="I24" s="34"/>
      <c r="J24" s="35"/>
      <c r="K24" s="21"/>
      <c r="L24" s="22"/>
      <c r="M24" s="21"/>
      <c r="N24" s="22"/>
      <c r="O24" s="21"/>
      <c r="P24" s="22"/>
      <c r="Q24" s="21"/>
      <c r="R24" s="22"/>
      <c r="S24" s="23"/>
      <c r="T24" s="23"/>
      <c r="U24" s="23"/>
      <c r="V24" s="23"/>
      <c r="W24" s="23"/>
      <c r="X24" s="23"/>
      <c r="Y24" s="23"/>
      <c r="Z24" s="23"/>
      <c r="AA24" s="23"/>
      <c r="AB24" s="23"/>
      <c r="AC24" s="23"/>
      <c r="AD24" s="23"/>
      <c r="AE24" s="23"/>
      <c r="AF24" s="23"/>
      <c r="AG24" s="23"/>
      <c r="AH24" s="34"/>
      <c r="AI24" s="35"/>
      <c r="AJ24" s="21"/>
      <c r="AK24" s="22"/>
      <c r="AL24" s="21"/>
      <c r="AM24" s="22"/>
      <c r="AN24" s="21"/>
      <c r="AO24" s="22"/>
      <c r="AP24" s="21"/>
      <c r="AQ24" s="22"/>
      <c r="AR24" s="23"/>
      <c r="AS24" s="23"/>
      <c r="AT24" s="23"/>
      <c r="AU24" s="23"/>
      <c r="AV24" s="23"/>
      <c r="AW24" s="23"/>
      <c r="AX24" s="23"/>
      <c r="AY24" s="23"/>
      <c r="AZ24" s="23"/>
      <c r="BA24" s="23"/>
      <c r="BB24" s="23"/>
      <c r="BC24" s="23"/>
      <c r="BD24" s="23"/>
      <c r="BE24" s="23"/>
      <c r="BF24" s="23"/>
      <c r="BG24" s="34"/>
      <c r="BH24" s="35"/>
      <c r="BI24" s="21"/>
      <c r="BJ24" s="22"/>
      <c r="BK24" s="21"/>
      <c r="BL24" s="22"/>
      <c r="BM24" s="21"/>
      <c r="BN24" s="22"/>
      <c r="BO24" s="21"/>
      <c r="BP24" s="22"/>
      <c r="BQ24" s="23"/>
      <c r="BR24" s="23"/>
      <c r="BS24" s="23"/>
      <c r="BT24" s="23"/>
      <c r="BU24" s="23"/>
      <c r="BV24" s="23"/>
      <c r="BW24" s="23"/>
      <c r="BX24" s="23"/>
      <c r="BY24" s="23"/>
      <c r="BZ24" s="23"/>
      <c r="CA24" s="23"/>
      <c r="CB24" s="23"/>
      <c r="CC24" s="23"/>
      <c r="CD24" s="23"/>
      <c r="CE24" s="23"/>
      <c r="CF24" s="34"/>
      <c r="CG24" s="35"/>
      <c r="CH24" s="21"/>
      <c r="CI24" s="22"/>
      <c r="CJ24" s="21"/>
      <c r="CK24" s="22"/>
      <c r="CL24" s="21"/>
      <c r="CM24" s="22"/>
      <c r="CN24" s="21"/>
      <c r="CO24" s="22"/>
      <c r="CP24" s="23"/>
      <c r="CQ24" s="23"/>
      <c r="CR24" s="23"/>
      <c r="CS24" s="23"/>
      <c r="CT24" s="23"/>
      <c r="CU24" s="23"/>
      <c r="CV24" s="23"/>
      <c r="CW24" s="23"/>
      <c r="CX24" s="23"/>
      <c r="CY24" s="23"/>
      <c r="CZ24" s="23"/>
      <c r="DA24" s="23"/>
      <c r="DB24" s="23"/>
      <c r="DC24" s="23"/>
      <c r="DD24" s="23"/>
      <c r="DE24" s="34"/>
      <c r="DF24" s="35"/>
      <c r="DG24" s="21"/>
      <c r="DH24" s="22"/>
      <c r="DI24" s="21"/>
      <c r="DJ24" s="22"/>
      <c r="DK24" s="21"/>
      <c r="DL24" s="22"/>
      <c r="DM24" s="21"/>
      <c r="DN24" s="22"/>
      <c r="DO24" s="23"/>
      <c r="DP24" s="23"/>
      <c r="DQ24" s="23"/>
      <c r="DR24" s="23"/>
      <c r="DS24" s="23"/>
      <c r="DT24" s="23"/>
      <c r="DU24" s="23"/>
      <c r="DV24" s="23"/>
      <c r="DW24" s="23"/>
      <c r="DX24" s="23"/>
      <c r="DY24" s="23"/>
      <c r="DZ24" s="23"/>
      <c r="EA24" s="23"/>
      <c r="EB24" s="23"/>
      <c r="EC24" s="23"/>
      <c r="ED24" s="34"/>
      <c r="EE24" s="35"/>
      <c r="EF24" s="21"/>
      <c r="EG24" s="22"/>
      <c r="EH24" s="21"/>
      <c r="EI24" s="22"/>
      <c r="EJ24" s="21"/>
      <c r="EK24" s="22"/>
      <c r="EL24" s="21"/>
      <c r="EM24" s="22"/>
      <c r="EN24" s="23"/>
      <c r="EO24" s="23"/>
      <c r="EP24" s="23"/>
      <c r="EQ24" s="23"/>
      <c r="ER24" s="23"/>
      <c r="ES24" s="23"/>
      <c r="ET24" s="23"/>
      <c r="EU24" s="23"/>
      <c r="EV24" s="23"/>
      <c r="EW24" s="23"/>
      <c r="EX24" s="23"/>
      <c r="EY24" s="23"/>
      <c r="EZ24" s="23"/>
      <c r="FA24" s="23"/>
      <c r="FB24" s="23"/>
      <c r="FC24" s="34"/>
      <c r="FD24" s="35"/>
      <c r="FE24" s="21"/>
      <c r="FF24" s="22"/>
      <c r="FG24" s="21"/>
      <c r="FH24" s="22"/>
      <c r="FI24" s="21"/>
      <c r="FJ24" s="22"/>
      <c r="FK24" s="21"/>
      <c r="FL24" s="22"/>
      <c r="FM24" s="23"/>
      <c r="FN24" s="23"/>
      <c r="FO24" s="23"/>
      <c r="FP24" s="23"/>
      <c r="FQ24" s="23"/>
      <c r="FR24" s="23"/>
      <c r="FS24" s="23"/>
    </row>
    <row r="25" spans="1:175" ht="16" x14ac:dyDescent="0.35">
      <c r="A25" s="23"/>
      <c r="B25" s="23"/>
      <c r="C25" s="23"/>
      <c r="D25" s="23"/>
      <c r="E25" s="23"/>
      <c r="F25" s="23"/>
      <c r="G25" s="23"/>
      <c r="H25" s="23"/>
      <c r="I25" s="30" t="s">
        <v>21</v>
      </c>
      <c r="J25" s="31"/>
      <c r="K25" s="17">
        <f>VLOOKUP(I25,METVALUE,2,FALSE)</f>
        <v>10</v>
      </c>
      <c r="L25" s="18"/>
      <c r="M25" s="17">
        <v>0.5</v>
      </c>
      <c r="N25" s="18"/>
      <c r="O25" s="17">
        <f>D3*K25</f>
        <v>1932.8441558441559</v>
      </c>
      <c r="P25" s="18"/>
      <c r="Q25" s="17">
        <f>M25*O25</f>
        <v>966.42207792207796</v>
      </c>
      <c r="R25" s="18"/>
      <c r="S25" s="23"/>
      <c r="T25" s="23"/>
      <c r="U25" s="23"/>
      <c r="V25" s="23"/>
      <c r="W25" s="23"/>
      <c r="X25" s="23"/>
      <c r="Y25" s="23"/>
      <c r="Z25" s="23"/>
      <c r="AA25" s="23"/>
      <c r="AB25" s="23"/>
      <c r="AC25" s="23"/>
      <c r="AD25" s="23"/>
      <c r="AE25" s="23"/>
      <c r="AF25" s="23"/>
      <c r="AG25" s="23"/>
      <c r="AH25" s="30" t="s">
        <v>21</v>
      </c>
      <c r="AI25" s="31"/>
      <c r="AJ25" s="17">
        <f>VLOOKUP(AH25,METVALUE,2,FALSE)</f>
        <v>10</v>
      </c>
      <c r="AK25" s="18"/>
      <c r="AL25" s="17">
        <v>0.75</v>
      </c>
      <c r="AM25" s="18"/>
      <c r="AN25" s="17">
        <f>AC3*AJ25</f>
        <v>1932.8441558441559</v>
      </c>
      <c r="AO25" s="18"/>
      <c r="AP25" s="17">
        <f>AL25*AN25</f>
        <v>1449.6331168831171</v>
      </c>
      <c r="AQ25" s="18"/>
      <c r="AR25" s="23"/>
      <c r="AS25" s="23"/>
      <c r="AT25" s="23"/>
      <c r="AU25" s="23"/>
      <c r="AV25" s="23"/>
      <c r="AW25" s="23"/>
      <c r="AX25" s="23"/>
      <c r="AY25" s="23"/>
      <c r="AZ25" s="23"/>
      <c r="BA25" s="23"/>
      <c r="BB25" s="23"/>
      <c r="BC25" s="23"/>
      <c r="BD25" s="23"/>
      <c r="BE25" s="23"/>
      <c r="BF25" s="23"/>
      <c r="BG25" s="30" t="s">
        <v>21</v>
      </c>
      <c r="BH25" s="31"/>
      <c r="BI25" s="17">
        <f>VLOOKUP(BG25,METVALUE,2,FALSE)</f>
        <v>10</v>
      </c>
      <c r="BJ25" s="18"/>
      <c r="BK25" s="17">
        <v>2</v>
      </c>
      <c r="BL25" s="18"/>
      <c r="BM25" s="17">
        <f>BB3*BI25</f>
        <v>1932.8441558441559</v>
      </c>
      <c r="BN25" s="18"/>
      <c r="BO25" s="17">
        <f>BK25*BM25</f>
        <v>3865.6883116883118</v>
      </c>
      <c r="BP25" s="18"/>
      <c r="BQ25" s="23"/>
      <c r="BR25" s="23"/>
      <c r="BS25" s="23"/>
      <c r="BT25" s="23"/>
      <c r="BU25" s="23"/>
      <c r="BV25" s="23"/>
      <c r="BW25" s="23"/>
      <c r="BX25" s="23"/>
      <c r="BY25" s="23"/>
      <c r="BZ25" s="23"/>
      <c r="CA25" s="23"/>
      <c r="CB25" s="23"/>
      <c r="CC25" s="23"/>
      <c r="CD25" s="23"/>
      <c r="CE25" s="23"/>
      <c r="CF25" s="30" t="s">
        <v>21</v>
      </c>
      <c r="CG25" s="31"/>
      <c r="CH25" s="17">
        <f>VLOOKUP(CF25,METVALUE,2,FALSE)</f>
        <v>10</v>
      </c>
      <c r="CI25" s="18"/>
      <c r="CJ25" s="17">
        <v>2</v>
      </c>
      <c r="CK25" s="18"/>
      <c r="CL25" s="17">
        <f>CA3*CH25</f>
        <v>1932.8441558441559</v>
      </c>
      <c r="CM25" s="18"/>
      <c r="CN25" s="17">
        <f>CJ25*CL25</f>
        <v>3865.6883116883118</v>
      </c>
      <c r="CO25" s="18"/>
      <c r="CP25" s="23"/>
      <c r="CQ25" s="23"/>
      <c r="CR25" s="23"/>
      <c r="CS25" s="23"/>
      <c r="CT25" s="23"/>
      <c r="CU25" s="23"/>
      <c r="CV25" s="23"/>
      <c r="CW25" s="23"/>
      <c r="CX25" s="23"/>
      <c r="CY25" s="23"/>
      <c r="CZ25" s="23"/>
      <c r="DA25" s="23"/>
      <c r="DB25" s="23"/>
      <c r="DC25" s="23"/>
      <c r="DD25" s="23"/>
      <c r="DE25" s="30" t="s">
        <v>21</v>
      </c>
      <c r="DF25" s="31"/>
      <c r="DG25" s="17">
        <f>VLOOKUP(DE25,METVALUE,2,FALSE)</f>
        <v>10</v>
      </c>
      <c r="DH25" s="18"/>
      <c r="DI25" s="17">
        <v>0</v>
      </c>
      <c r="DJ25" s="18"/>
      <c r="DK25" s="17">
        <f>CZ3*DG25</f>
        <v>1932.8441558441559</v>
      </c>
      <c r="DL25" s="18"/>
      <c r="DM25" s="17">
        <f>DI25*DK25</f>
        <v>0</v>
      </c>
      <c r="DN25" s="18"/>
      <c r="DO25" s="23"/>
      <c r="DP25" s="23"/>
      <c r="DQ25" s="23"/>
      <c r="DR25" s="23"/>
      <c r="DS25" s="23"/>
      <c r="DT25" s="23"/>
      <c r="DU25" s="23"/>
      <c r="DV25" s="23"/>
      <c r="DW25" s="23"/>
      <c r="DX25" s="23"/>
      <c r="DY25" s="23"/>
      <c r="DZ25" s="23"/>
      <c r="EA25" s="23"/>
      <c r="EB25" s="23"/>
      <c r="EC25" s="23"/>
      <c r="ED25" s="30" t="s">
        <v>21</v>
      </c>
      <c r="EE25" s="31"/>
      <c r="EF25" s="17">
        <f>VLOOKUP(ED25,METVALUE,2,FALSE)</f>
        <v>10</v>
      </c>
      <c r="EG25" s="18"/>
      <c r="EH25" s="17">
        <v>0.5</v>
      </c>
      <c r="EI25" s="18"/>
      <c r="EJ25" s="17">
        <f>DY3*EF25</f>
        <v>1932.8441558441559</v>
      </c>
      <c r="EK25" s="18"/>
      <c r="EL25" s="17">
        <f>EH25*EJ25</f>
        <v>966.42207792207796</v>
      </c>
      <c r="EM25" s="18"/>
      <c r="EN25" s="23"/>
      <c r="EO25" s="23"/>
      <c r="EP25" s="23"/>
      <c r="EQ25" s="23"/>
      <c r="ER25" s="23"/>
      <c r="ES25" s="23"/>
      <c r="ET25" s="23"/>
      <c r="EU25" s="23"/>
      <c r="EV25" s="23"/>
      <c r="EW25" s="23"/>
      <c r="EX25" s="23"/>
      <c r="EY25" s="23"/>
      <c r="EZ25" s="23"/>
      <c r="FA25" s="23"/>
      <c r="FB25" s="23"/>
      <c r="FC25" s="30" t="s">
        <v>21</v>
      </c>
      <c r="FD25" s="31"/>
      <c r="FE25" s="17">
        <f>VLOOKUP(FC25,METVALUE,2,FALSE)</f>
        <v>10</v>
      </c>
      <c r="FF25" s="18"/>
      <c r="FG25" s="17">
        <v>0.5</v>
      </c>
      <c r="FH25" s="18"/>
      <c r="FI25" s="17">
        <f>EX3*FE25</f>
        <v>1932.8441558441559</v>
      </c>
      <c r="FJ25" s="18"/>
      <c r="FK25" s="17">
        <f>FG25*FI25</f>
        <v>966.42207792207796</v>
      </c>
      <c r="FL25" s="18"/>
      <c r="FM25" s="23"/>
      <c r="FN25" s="23"/>
      <c r="FO25" s="23"/>
      <c r="FP25" s="23"/>
      <c r="FQ25" s="23"/>
      <c r="FR25" s="23"/>
      <c r="FS25" s="23"/>
    </row>
    <row r="26" spans="1:175" ht="16" x14ac:dyDescent="0.35">
      <c r="A26" s="23"/>
      <c r="B26" s="23"/>
      <c r="C26" s="23"/>
      <c r="D26" s="23"/>
      <c r="E26" s="23"/>
      <c r="F26" s="23"/>
      <c r="G26" s="23"/>
      <c r="H26" s="23"/>
      <c r="I26" s="32"/>
      <c r="J26" s="33"/>
      <c r="K26" s="19"/>
      <c r="L26" s="20"/>
      <c r="M26" s="19"/>
      <c r="N26" s="20"/>
      <c r="O26" s="19"/>
      <c r="P26" s="20"/>
      <c r="Q26" s="19"/>
      <c r="R26" s="20"/>
      <c r="S26" s="23"/>
      <c r="T26" s="23"/>
      <c r="U26" s="23"/>
      <c r="V26" s="23"/>
      <c r="W26" s="23"/>
      <c r="X26" s="23"/>
      <c r="Y26" s="23"/>
      <c r="Z26" s="23"/>
      <c r="AA26" s="23"/>
      <c r="AB26" s="23"/>
      <c r="AC26" s="23"/>
      <c r="AD26" s="23"/>
      <c r="AE26" s="23"/>
      <c r="AF26" s="23"/>
      <c r="AG26" s="23"/>
      <c r="AH26" s="32"/>
      <c r="AI26" s="33"/>
      <c r="AJ26" s="19"/>
      <c r="AK26" s="20"/>
      <c r="AL26" s="19"/>
      <c r="AM26" s="20"/>
      <c r="AN26" s="19"/>
      <c r="AO26" s="20"/>
      <c r="AP26" s="19"/>
      <c r="AQ26" s="20"/>
      <c r="AR26" s="23"/>
      <c r="AS26" s="23"/>
      <c r="AT26" s="23"/>
      <c r="AU26" s="23"/>
      <c r="AV26" s="23"/>
      <c r="AW26" s="23"/>
      <c r="AX26" s="23"/>
      <c r="AY26" s="23"/>
      <c r="AZ26" s="23"/>
      <c r="BA26" s="23"/>
      <c r="BB26" s="23"/>
      <c r="BC26" s="23"/>
      <c r="BD26" s="23"/>
      <c r="BE26" s="23"/>
      <c r="BF26" s="23"/>
      <c r="BG26" s="32"/>
      <c r="BH26" s="33"/>
      <c r="BI26" s="19"/>
      <c r="BJ26" s="20"/>
      <c r="BK26" s="19"/>
      <c r="BL26" s="20"/>
      <c r="BM26" s="19"/>
      <c r="BN26" s="20"/>
      <c r="BO26" s="19"/>
      <c r="BP26" s="20"/>
      <c r="BQ26" s="23"/>
      <c r="BR26" s="23"/>
      <c r="BS26" s="23"/>
      <c r="BT26" s="23"/>
      <c r="BU26" s="23"/>
      <c r="BV26" s="23"/>
      <c r="BW26" s="23"/>
      <c r="BX26" s="23"/>
      <c r="BY26" s="23"/>
      <c r="BZ26" s="23"/>
      <c r="CA26" s="23"/>
      <c r="CB26" s="23"/>
      <c r="CC26" s="23"/>
      <c r="CD26" s="23"/>
      <c r="CE26" s="23"/>
      <c r="CF26" s="32"/>
      <c r="CG26" s="33"/>
      <c r="CH26" s="19"/>
      <c r="CI26" s="20"/>
      <c r="CJ26" s="19"/>
      <c r="CK26" s="20"/>
      <c r="CL26" s="19"/>
      <c r="CM26" s="20"/>
      <c r="CN26" s="19"/>
      <c r="CO26" s="20"/>
      <c r="CP26" s="23"/>
      <c r="CQ26" s="23"/>
      <c r="CR26" s="23"/>
      <c r="CS26" s="23"/>
      <c r="CT26" s="23"/>
      <c r="CU26" s="23"/>
      <c r="CV26" s="23"/>
      <c r="CW26" s="23"/>
      <c r="CX26" s="23"/>
      <c r="CY26" s="23"/>
      <c r="CZ26" s="23"/>
      <c r="DA26" s="23"/>
      <c r="DB26" s="23"/>
      <c r="DC26" s="23"/>
      <c r="DD26" s="23"/>
      <c r="DE26" s="32"/>
      <c r="DF26" s="33"/>
      <c r="DG26" s="19"/>
      <c r="DH26" s="20"/>
      <c r="DI26" s="19"/>
      <c r="DJ26" s="20"/>
      <c r="DK26" s="19"/>
      <c r="DL26" s="20"/>
      <c r="DM26" s="19"/>
      <c r="DN26" s="20"/>
      <c r="DO26" s="23"/>
      <c r="DP26" s="23"/>
      <c r="DQ26" s="23"/>
      <c r="DR26" s="23"/>
      <c r="DS26" s="23"/>
      <c r="DT26" s="23"/>
      <c r="DU26" s="23"/>
      <c r="DV26" s="23"/>
      <c r="DW26" s="23"/>
      <c r="DX26" s="23"/>
      <c r="DY26" s="23"/>
      <c r="DZ26" s="23"/>
      <c r="EA26" s="23"/>
      <c r="EB26" s="23"/>
      <c r="EC26" s="23"/>
      <c r="ED26" s="32"/>
      <c r="EE26" s="33"/>
      <c r="EF26" s="19"/>
      <c r="EG26" s="20"/>
      <c r="EH26" s="19"/>
      <c r="EI26" s="20"/>
      <c r="EJ26" s="19"/>
      <c r="EK26" s="20"/>
      <c r="EL26" s="19"/>
      <c r="EM26" s="20"/>
      <c r="EN26" s="23"/>
      <c r="EO26" s="23"/>
      <c r="EP26" s="23"/>
      <c r="EQ26" s="23"/>
      <c r="ER26" s="23"/>
      <c r="ES26" s="23"/>
      <c r="ET26" s="23"/>
      <c r="EU26" s="23"/>
      <c r="EV26" s="23"/>
      <c r="EW26" s="23"/>
      <c r="EX26" s="23"/>
      <c r="EY26" s="23"/>
      <c r="EZ26" s="23"/>
      <c r="FA26" s="23"/>
      <c r="FB26" s="23"/>
      <c r="FC26" s="32"/>
      <c r="FD26" s="33"/>
      <c r="FE26" s="19"/>
      <c r="FF26" s="20"/>
      <c r="FG26" s="19"/>
      <c r="FH26" s="20"/>
      <c r="FI26" s="19"/>
      <c r="FJ26" s="20"/>
      <c r="FK26" s="19"/>
      <c r="FL26" s="20"/>
      <c r="FM26" s="23"/>
      <c r="FN26" s="23"/>
      <c r="FO26" s="23"/>
      <c r="FP26" s="23"/>
      <c r="FQ26" s="23"/>
      <c r="FR26" s="23"/>
      <c r="FS26" s="23"/>
    </row>
    <row r="27" spans="1:175" ht="16.5" thickBot="1" x14ac:dyDescent="0.4">
      <c r="A27" s="23"/>
      <c r="B27" s="23"/>
      <c r="C27" s="23"/>
      <c r="D27" s="23"/>
      <c r="E27" s="23"/>
      <c r="F27" s="23"/>
      <c r="G27" s="23"/>
      <c r="H27" s="23"/>
      <c r="I27" s="34"/>
      <c r="J27" s="35"/>
      <c r="K27" s="21"/>
      <c r="L27" s="22"/>
      <c r="M27" s="21"/>
      <c r="N27" s="22"/>
      <c r="O27" s="21"/>
      <c r="P27" s="22"/>
      <c r="Q27" s="21"/>
      <c r="R27" s="22"/>
      <c r="S27" s="23"/>
      <c r="T27" s="23"/>
      <c r="U27" s="23"/>
      <c r="V27" s="23"/>
      <c r="W27" s="23"/>
      <c r="X27" s="23"/>
      <c r="Y27" s="23"/>
      <c r="Z27" s="23"/>
      <c r="AA27" s="23"/>
      <c r="AB27" s="23"/>
      <c r="AC27" s="23"/>
      <c r="AD27" s="23"/>
      <c r="AE27" s="23"/>
      <c r="AF27" s="23"/>
      <c r="AG27" s="23"/>
      <c r="AH27" s="34"/>
      <c r="AI27" s="35"/>
      <c r="AJ27" s="21"/>
      <c r="AK27" s="22"/>
      <c r="AL27" s="21"/>
      <c r="AM27" s="22"/>
      <c r="AN27" s="21"/>
      <c r="AO27" s="22"/>
      <c r="AP27" s="21"/>
      <c r="AQ27" s="22"/>
      <c r="AR27" s="23"/>
      <c r="AS27" s="23"/>
      <c r="AT27" s="23"/>
      <c r="AU27" s="23"/>
      <c r="AV27" s="23"/>
      <c r="AW27" s="23"/>
      <c r="AX27" s="23"/>
      <c r="AY27" s="23"/>
      <c r="AZ27" s="23"/>
      <c r="BA27" s="23"/>
      <c r="BB27" s="23"/>
      <c r="BC27" s="23"/>
      <c r="BD27" s="23"/>
      <c r="BE27" s="23"/>
      <c r="BF27" s="23"/>
      <c r="BG27" s="34"/>
      <c r="BH27" s="35"/>
      <c r="BI27" s="21"/>
      <c r="BJ27" s="22"/>
      <c r="BK27" s="21"/>
      <c r="BL27" s="22"/>
      <c r="BM27" s="21"/>
      <c r="BN27" s="22"/>
      <c r="BO27" s="21"/>
      <c r="BP27" s="22"/>
      <c r="BQ27" s="23"/>
      <c r="BR27" s="23"/>
      <c r="BS27" s="23"/>
      <c r="BT27" s="23"/>
      <c r="BU27" s="23"/>
      <c r="BV27" s="23"/>
      <c r="BW27" s="23"/>
      <c r="BX27" s="23"/>
      <c r="BY27" s="23"/>
      <c r="BZ27" s="23"/>
      <c r="CA27" s="23"/>
      <c r="CB27" s="23"/>
      <c r="CC27" s="23"/>
      <c r="CD27" s="23"/>
      <c r="CE27" s="23"/>
      <c r="CF27" s="34"/>
      <c r="CG27" s="35"/>
      <c r="CH27" s="21"/>
      <c r="CI27" s="22"/>
      <c r="CJ27" s="21"/>
      <c r="CK27" s="22"/>
      <c r="CL27" s="21"/>
      <c r="CM27" s="22"/>
      <c r="CN27" s="21"/>
      <c r="CO27" s="22"/>
      <c r="CP27" s="23"/>
      <c r="CQ27" s="23"/>
      <c r="CR27" s="23"/>
      <c r="CS27" s="23"/>
      <c r="CT27" s="23"/>
      <c r="CU27" s="23"/>
      <c r="CV27" s="23"/>
      <c r="CW27" s="23"/>
      <c r="CX27" s="23"/>
      <c r="CY27" s="23"/>
      <c r="CZ27" s="23"/>
      <c r="DA27" s="23"/>
      <c r="DB27" s="23"/>
      <c r="DC27" s="23"/>
      <c r="DD27" s="23"/>
      <c r="DE27" s="34"/>
      <c r="DF27" s="35"/>
      <c r="DG27" s="21"/>
      <c r="DH27" s="22"/>
      <c r="DI27" s="21"/>
      <c r="DJ27" s="22"/>
      <c r="DK27" s="21"/>
      <c r="DL27" s="22"/>
      <c r="DM27" s="21"/>
      <c r="DN27" s="22"/>
      <c r="DO27" s="23"/>
      <c r="DP27" s="23"/>
      <c r="DQ27" s="23"/>
      <c r="DR27" s="23"/>
      <c r="DS27" s="23"/>
      <c r="DT27" s="23"/>
      <c r="DU27" s="23"/>
      <c r="DV27" s="23"/>
      <c r="DW27" s="23"/>
      <c r="DX27" s="23"/>
      <c r="DY27" s="23"/>
      <c r="DZ27" s="23"/>
      <c r="EA27" s="23"/>
      <c r="EB27" s="23"/>
      <c r="EC27" s="23"/>
      <c r="ED27" s="34"/>
      <c r="EE27" s="35"/>
      <c r="EF27" s="21"/>
      <c r="EG27" s="22"/>
      <c r="EH27" s="21"/>
      <c r="EI27" s="22"/>
      <c r="EJ27" s="21"/>
      <c r="EK27" s="22"/>
      <c r="EL27" s="21"/>
      <c r="EM27" s="22"/>
      <c r="EN27" s="23"/>
      <c r="EO27" s="23"/>
      <c r="EP27" s="23"/>
      <c r="EQ27" s="23"/>
      <c r="ER27" s="23"/>
      <c r="ES27" s="23"/>
      <c r="ET27" s="23"/>
      <c r="EU27" s="23"/>
      <c r="EV27" s="23"/>
      <c r="EW27" s="23"/>
      <c r="EX27" s="23"/>
      <c r="EY27" s="23"/>
      <c r="EZ27" s="23"/>
      <c r="FA27" s="23"/>
      <c r="FB27" s="23"/>
      <c r="FC27" s="34"/>
      <c r="FD27" s="35"/>
      <c r="FE27" s="21"/>
      <c r="FF27" s="22"/>
      <c r="FG27" s="21"/>
      <c r="FH27" s="22"/>
      <c r="FI27" s="21"/>
      <c r="FJ27" s="22"/>
      <c r="FK27" s="21"/>
      <c r="FL27" s="22"/>
      <c r="FM27" s="23"/>
      <c r="FN27" s="23"/>
      <c r="FO27" s="23"/>
      <c r="FP27" s="23"/>
      <c r="FQ27" s="23"/>
      <c r="FR27" s="23"/>
      <c r="FS27" s="23"/>
    </row>
    <row r="28" spans="1:175" ht="16" x14ac:dyDescent="0.35">
      <c r="A28" s="23"/>
      <c r="B28" s="23"/>
      <c r="C28" s="23"/>
      <c r="D28" s="23"/>
      <c r="E28" s="23"/>
      <c r="F28" s="23"/>
      <c r="G28" s="23"/>
      <c r="H28" s="23"/>
      <c r="I28" s="30" t="s">
        <v>60</v>
      </c>
      <c r="J28" s="31"/>
      <c r="K28" s="17">
        <f>VLOOKUP(I25,METVALUE,2,FALSE)</f>
        <v>10</v>
      </c>
      <c r="L28" s="18"/>
      <c r="M28" s="17">
        <v>0.25</v>
      </c>
      <c r="N28" s="18"/>
      <c r="O28" s="17">
        <f>D3*K28</f>
        <v>1932.8441558441559</v>
      </c>
      <c r="P28" s="18"/>
      <c r="Q28" s="17">
        <f>M28*O28</f>
        <v>483.21103896103898</v>
      </c>
      <c r="R28" s="18"/>
      <c r="S28" s="23"/>
      <c r="T28" s="23"/>
      <c r="U28" s="23"/>
      <c r="V28" s="23"/>
      <c r="W28" s="23"/>
      <c r="X28" s="23"/>
      <c r="Y28" s="23"/>
      <c r="Z28" s="23"/>
      <c r="AA28" s="23"/>
      <c r="AB28" s="23"/>
      <c r="AC28" s="23"/>
      <c r="AD28" s="23"/>
      <c r="AE28" s="23"/>
      <c r="AF28" s="23"/>
      <c r="AG28" s="23"/>
      <c r="AH28" s="30" t="s">
        <v>60</v>
      </c>
      <c r="AI28" s="31"/>
      <c r="AJ28" s="17">
        <f>VLOOKUP(AH25,METVALUE,2,FALSE)</f>
        <v>10</v>
      </c>
      <c r="AK28" s="18"/>
      <c r="AL28" s="17">
        <v>0</v>
      </c>
      <c r="AM28" s="18"/>
      <c r="AN28" s="17">
        <f>AC3*AJ28</f>
        <v>1932.8441558441559</v>
      </c>
      <c r="AO28" s="18"/>
      <c r="AP28" s="17">
        <f>AL28*AN28</f>
        <v>0</v>
      </c>
      <c r="AQ28" s="18"/>
      <c r="AR28" s="23"/>
      <c r="AS28" s="23"/>
      <c r="AT28" s="23"/>
      <c r="AU28" s="23"/>
      <c r="AV28" s="23"/>
      <c r="AW28" s="23"/>
      <c r="AX28" s="23"/>
      <c r="AY28" s="23"/>
      <c r="AZ28" s="23"/>
      <c r="BA28" s="23"/>
      <c r="BB28" s="23"/>
      <c r="BC28" s="23"/>
      <c r="BD28" s="23"/>
      <c r="BE28" s="23"/>
      <c r="BF28" s="23"/>
      <c r="BG28" s="30" t="s">
        <v>60</v>
      </c>
      <c r="BH28" s="31"/>
      <c r="BI28" s="17">
        <f>VLOOKUP(BG25,METVALUE,2,FALSE)</f>
        <v>10</v>
      </c>
      <c r="BJ28" s="18"/>
      <c r="BK28" s="17">
        <v>1</v>
      </c>
      <c r="BL28" s="18"/>
      <c r="BM28" s="17">
        <f>BB3*BI28</f>
        <v>1932.8441558441559</v>
      </c>
      <c r="BN28" s="18"/>
      <c r="BO28" s="17">
        <f>BK28*BM28</f>
        <v>1932.8441558441559</v>
      </c>
      <c r="BP28" s="18"/>
      <c r="BQ28" s="23"/>
      <c r="BR28" s="23"/>
      <c r="BS28" s="23"/>
      <c r="BT28" s="23"/>
      <c r="BU28" s="23"/>
      <c r="BV28" s="23"/>
      <c r="BW28" s="23"/>
      <c r="BX28" s="23"/>
      <c r="BY28" s="23"/>
      <c r="BZ28" s="23"/>
      <c r="CA28" s="23"/>
      <c r="CB28" s="23"/>
      <c r="CC28" s="23"/>
      <c r="CD28" s="23"/>
      <c r="CE28" s="23"/>
      <c r="CF28" s="30" t="s">
        <v>60</v>
      </c>
      <c r="CG28" s="31"/>
      <c r="CH28" s="17">
        <f>VLOOKUP(CF25,METVALUE,2,FALSE)</f>
        <v>10</v>
      </c>
      <c r="CI28" s="18"/>
      <c r="CJ28" s="17">
        <v>1</v>
      </c>
      <c r="CK28" s="18"/>
      <c r="CL28" s="17">
        <f>CA3*CH28</f>
        <v>1932.8441558441559</v>
      </c>
      <c r="CM28" s="18"/>
      <c r="CN28" s="17">
        <f>CJ28*CL28</f>
        <v>1932.8441558441559</v>
      </c>
      <c r="CO28" s="18"/>
      <c r="CP28" s="23"/>
      <c r="CQ28" s="23"/>
      <c r="CR28" s="23"/>
      <c r="CS28" s="23"/>
      <c r="CT28" s="23"/>
      <c r="CU28" s="23"/>
      <c r="CV28" s="23"/>
      <c r="CW28" s="23"/>
      <c r="CX28" s="23"/>
      <c r="CY28" s="23"/>
      <c r="CZ28" s="23"/>
      <c r="DA28" s="23"/>
      <c r="DB28" s="23"/>
      <c r="DC28" s="23"/>
      <c r="DD28" s="23"/>
      <c r="DE28" s="30" t="s">
        <v>60</v>
      </c>
      <c r="DF28" s="31"/>
      <c r="DG28" s="17">
        <f>VLOOKUP(DE25,METVALUE,2,FALSE)</f>
        <v>10</v>
      </c>
      <c r="DH28" s="18"/>
      <c r="DI28" s="17">
        <v>0.5</v>
      </c>
      <c r="DJ28" s="18"/>
      <c r="DK28" s="17">
        <f>CZ3*DG28</f>
        <v>1932.8441558441559</v>
      </c>
      <c r="DL28" s="18"/>
      <c r="DM28" s="17">
        <f>DI28*DK28</f>
        <v>966.42207792207796</v>
      </c>
      <c r="DN28" s="18"/>
      <c r="DO28" s="23"/>
      <c r="DP28" s="23"/>
      <c r="DQ28" s="23"/>
      <c r="DR28" s="23"/>
      <c r="DS28" s="23"/>
      <c r="DT28" s="23"/>
      <c r="DU28" s="23"/>
      <c r="DV28" s="23"/>
      <c r="DW28" s="23"/>
      <c r="DX28" s="23"/>
      <c r="DY28" s="23"/>
      <c r="DZ28" s="23"/>
      <c r="EA28" s="23"/>
      <c r="EB28" s="23"/>
      <c r="EC28" s="23"/>
      <c r="ED28" s="30" t="s">
        <v>60</v>
      </c>
      <c r="EE28" s="31"/>
      <c r="EF28" s="17">
        <f>VLOOKUP(ED25,METVALUE,2,FALSE)</f>
        <v>10</v>
      </c>
      <c r="EG28" s="18"/>
      <c r="EH28" s="17">
        <v>0</v>
      </c>
      <c r="EI28" s="18"/>
      <c r="EJ28" s="17">
        <f>DY3*EF28</f>
        <v>1932.8441558441559</v>
      </c>
      <c r="EK28" s="18"/>
      <c r="EL28" s="17">
        <f>EH28*EJ28</f>
        <v>0</v>
      </c>
      <c r="EM28" s="18"/>
      <c r="EN28" s="23"/>
      <c r="EO28" s="23"/>
      <c r="EP28" s="23"/>
      <c r="EQ28" s="23"/>
      <c r="ER28" s="23"/>
      <c r="ES28" s="23"/>
      <c r="ET28" s="23"/>
      <c r="EU28" s="23"/>
      <c r="EV28" s="23"/>
      <c r="EW28" s="23"/>
      <c r="EX28" s="23"/>
      <c r="EY28" s="23"/>
      <c r="EZ28" s="23"/>
      <c r="FA28" s="23"/>
      <c r="FB28" s="23"/>
      <c r="FC28" s="30" t="s">
        <v>60</v>
      </c>
      <c r="FD28" s="31"/>
      <c r="FE28" s="17">
        <f>VLOOKUP(FC25,METVALUE,2,FALSE)</f>
        <v>10</v>
      </c>
      <c r="FF28" s="18"/>
      <c r="FG28" s="17">
        <v>1</v>
      </c>
      <c r="FH28" s="18"/>
      <c r="FI28" s="17">
        <f>EX3*FE28</f>
        <v>1932.8441558441559</v>
      </c>
      <c r="FJ28" s="18"/>
      <c r="FK28" s="17">
        <f>FG28*FI28</f>
        <v>1932.8441558441559</v>
      </c>
      <c r="FL28" s="18"/>
      <c r="FM28" s="23"/>
      <c r="FN28" s="23"/>
      <c r="FO28" s="23"/>
      <c r="FP28" s="23"/>
      <c r="FQ28" s="23"/>
      <c r="FR28" s="23"/>
      <c r="FS28" s="23"/>
    </row>
    <row r="29" spans="1:175" ht="16" x14ac:dyDescent="0.35">
      <c r="A29" s="23"/>
      <c r="B29" s="23"/>
      <c r="C29" s="23"/>
      <c r="D29" s="23"/>
      <c r="E29" s="23"/>
      <c r="F29" s="23"/>
      <c r="G29" s="23"/>
      <c r="H29" s="23"/>
      <c r="I29" s="32"/>
      <c r="J29" s="33"/>
      <c r="K29" s="19"/>
      <c r="L29" s="20"/>
      <c r="M29" s="19"/>
      <c r="N29" s="20"/>
      <c r="O29" s="19"/>
      <c r="P29" s="20"/>
      <c r="Q29" s="19"/>
      <c r="R29" s="20"/>
      <c r="S29" s="23"/>
      <c r="T29" s="23"/>
      <c r="U29" s="23"/>
      <c r="V29" s="23"/>
      <c r="W29" s="23"/>
      <c r="X29" s="23"/>
      <c r="Y29" s="23"/>
      <c r="Z29" s="23"/>
      <c r="AA29" s="23"/>
      <c r="AB29" s="23"/>
      <c r="AC29" s="23"/>
      <c r="AD29" s="23"/>
      <c r="AE29" s="23"/>
      <c r="AF29" s="23"/>
      <c r="AG29" s="23"/>
      <c r="AH29" s="32"/>
      <c r="AI29" s="33"/>
      <c r="AJ29" s="19"/>
      <c r="AK29" s="20"/>
      <c r="AL29" s="19"/>
      <c r="AM29" s="20"/>
      <c r="AN29" s="19"/>
      <c r="AO29" s="20"/>
      <c r="AP29" s="19"/>
      <c r="AQ29" s="20"/>
      <c r="AR29" s="23"/>
      <c r="AS29" s="23"/>
      <c r="AT29" s="23"/>
      <c r="AU29" s="23"/>
      <c r="AV29" s="23"/>
      <c r="AW29" s="23"/>
      <c r="AX29" s="23"/>
      <c r="AY29" s="23"/>
      <c r="AZ29" s="23"/>
      <c r="BA29" s="23"/>
      <c r="BB29" s="23"/>
      <c r="BC29" s="23"/>
      <c r="BD29" s="23"/>
      <c r="BE29" s="23"/>
      <c r="BF29" s="23"/>
      <c r="BG29" s="32"/>
      <c r="BH29" s="33"/>
      <c r="BI29" s="19"/>
      <c r="BJ29" s="20"/>
      <c r="BK29" s="19"/>
      <c r="BL29" s="20"/>
      <c r="BM29" s="19"/>
      <c r="BN29" s="20"/>
      <c r="BO29" s="19"/>
      <c r="BP29" s="20"/>
      <c r="BQ29" s="23"/>
      <c r="BR29" s="23"/>
      <c r="BS29" s="23"/>
      <c r="BT29" s="23"/>
      <c r="BU29" s="23"/>
      <c r="BV29" s="23"/>
      <c r="BW29" s="23"/>
      <c r="BX29" s="23"/>
      <c r="BY29" s="23"/>
      <c r="BZ29" s="23"/>
      <c r="CA29" s="23"/>
      <c r="CB29" s="23"/>
      <c r="CC29" s="23"/>
      <c r="CD29" s="23"/>
      <c r="CE29" s="23"/>
      <c r="CF29" s="32"/>
      <c r="CG29" s="33"/>
      <c r="CH29" s="19"/>
      <c r="CI29" s="20"/>
      <c r="CJ29" s="19"/>
      <c r="CK29" s="20"/>
      <c r="CL29" s="19"/>
      <c r="CM29" s="20"/>
      <c r="CN29" s="19"/>
      <c r="CO29" s="20"/>
      <c r="CP29" s="23"/>
      <c r="CQ29" s="23"/>
      <c r="CR29" s="23"/>
      <c r="CS29" s="23"/>
      <c r="CT29" s="23"/>
      <c r="CU29" s="23"/>
      <c r="CV29" s="23"/>
      <c r="CW29" s="23"/>
      <c r="CX29" s="23"/>
      <c r="CY29" s="23"/>
      <c r="CZ29" s="23"/>
      <c r="DA29" s="23"/>
      <c r="DB29" s="23"/>
      <c r="DC29" s="23"/>
      <c r="DD29" s="23"/>
      <c r="DE29" s="32"/>
      <c r="DF29" s="33"/>
      <c r="DG29" s="19"/>
      <c r="DH29" s="20"/>
      <c r="DI29" s="19"/>
      <c r="DJ29" s="20"/>
      <c r="DK29" s="19"/>
      <c r="DL29" s="20"/>
      <c r="DM29" s="19"/>
      <c r="DN29" s="20"/>
      <c r="DO29" s="23"/>
      <c r="DP29" s="23"/>
      <c r="DQ29" s="23"/>
      <c r="DR29" s="23"/>
      <c r="DS29" s="23"/>
      <c r="DT29" s="23"/>
      <c r="DU29" s="23"/>
      <c r="DV29" s="23"/>
      <c r="DW29" s="23"/>
      <c r="DX29" s="23"/>
      <c r="DY29" s="23"/>
      <c r="DZ29" s="23"/>
      <c r="EA29" s="23"/>
      <c r="EB29" s="23"/>
      <c r="EC29" s="23"/>
      <c r="ED29" s="32"/>
      <c r="EE29" s="33"/>
      <c r="EF29" s="19"/>
      <c r="EG29" s="20"/>
      <c r="EH29" s="19"/>
      <c r="EI29" s="20"/>
      <c r="EJ29" s="19"/>
      <c r="EK29" s="20"/>
      <c r="EL29" s="19"/>
      <c r="EM29" s="20"/>
      <c r="EN29" s="23"/>
      <c r="EO29" s="23"/>
      <c r="EP29" s="23"/>
      <c r="EQ29" s="23"/>
      <c r="ER29" s="23"/>
      <c r="ES29" s="23"/>
      <c r="ET29" s="23"/>
      <c r="EU29" s="23"/>
      <c r="EV29" s="23"/>
      <c r="EW29" s="23"/>
      <c r="EX29" s="23"/>
      <c r="EY29" s="23"/>
      <c r="EZ29" s="23"/>
      <c r="FA29" s="23"/>
      <c r="FB29" s="23"/>
      <c r="FC29" s="32"/>
      <c r="FD29" s="33"/>
      <c r="FE29" s="19"/>
      <c r="FF29" s="20"/>
      <c r="FG29" s="19"/>
      <c r="FH29" s="20"/>
      <c r="FI29" s="19"/>
      <c r="FJ29" s="20"/>
      <c r="FK29" s="19"/>
      <c r="FL29" s="20"/>
      <c r="FM29" s="23"/>
      <c r="FN29" s="23"/>
      <c r="FO29" s="23"/>
      <c r="FP29" s="23"/>
      <c r="FQ29" s="23"/>
      <c r="FR29" s="23"/>
      <c r="FS29" s="23"/>
    </row>
    <row r="30" spans="1:175" ht="16.5" thickBot="1" x14ac:dyDescent="0.4">
      <c r="A30" s="23"/>
      <c r="B30" s="23"/>
      <c r="C30" s="23"/>
      <c r="D30" s="23"/>
      <c r="E30" s="23"/>
      <c r="F30" s="23"/>
      <c r="G30" s="23"/>
      <c r="H30" s="23"/>
      <c r="I30" s="34"/>
      <c r="J30" s="35"/>
      <c r="K30" s="21"/>
      <c r="L30" s="22"/>
      <c r="M30" s="21"/>
      <c r="N30" s="22"/>
      <c r="O30" s="21"/>
      <c r="P30" s="22"/>
      <c r="Q30" s="21"/>
      <c r="R30" s="22"/>
      <c r="S30" s="23"/>
      <c r="T30" s="23"/>
      <c r="U30" s="23"/>
      <c r="V30" s="23"/>
      <c r="W30" s="23"/>
      <c r="X30" s="23"/>
      <c r="Y30" s="23"/>
      <c r="Z30" s="23"/>
      <c r="AA30" s="23"/>
      <c r="AB30" s="23"/>
      <c r="AC30" s="23"/>
      <c r="AD30" s="23"/>
      <c r="AE30" s="23"/>
      <c r="AF30" s="23"/>
      <c r="AG30" s="23"/>
      <c r="AH30" s="34"/>
      <c r="AI30" s="35"/>
      <c r="AJ30" s="21"/>
      <c r="AK30" s="22"/>
      <c r="AL30" s="21"/>
      <c r="AM30" s="22"/>
      <c r="AN30" s="21"/>
      <c r="AO30" s="22"/>
      <c r="AP30" s="21"/>
      <c r="AQ30" s="22"/>
      <c r="AR30" s="23"/>
      <c r="AS30" s="23"/>
      <c r="AT30" s="23"/>
      <c r="AU30" s="23"/>
      <c r="AV30" s="23"/>
      <c r="AW30" s="23"/>
      <c r="AX30" s="23"/>
      <c r="AY30" s="23"/>
      <c r="AZ30" s="23"/>
      <c r="BA30" s="23"/>
      <c r="BB30" s="23"/>
      <c r="BC30" s="23"/>
      <c r="BD30" s="23"/>
      <c r="BE30" s="23"/>
      <c r="BF30" s="23"/>
      <c r="BG30" s="34"/>
      <c r="BH30" s="35"/>
      <c r="BI30" s="21"/>
      <c r="BJ30" s="22"/>
      <c r="BK30" s="21"/>
      <c r="BL30" s="22"/>
      <c r="BM30" s="21"/>
      <c r="BN30" s="22"/>
      <c r="BO30" s="21"/>
      <c r="BP30" s="22"/>
      <c r="BQ30" s="23"/>
      <c r="BR30" s="23"/>
      <c r="BS30" s="23"/>
      <c r="BT30" s="23"/>
      <c r="BU30" s="23"/>
      <c r="BV30" s="23"/>
      <c r="BW30" s="23"/>
      <c r="BX30" s="23"/>
      <c r="BY30" s="23"/>
      <c r="BZ30" s="23"/>
      <c r="CA30" s="23"/>
      <c r="CB30" s="23"/>
      <c r="CC30" s="23"/>
      <c r="CD30" s="23"/>
      <c r="CE30" s="23"/>
      <c r="CF30" s="34"/>
      <c r="CG30" s="35"/>
      <c r="CH30" s="21"/>
      <c r="CI30" s="22"/>
      <c r="CJ30" s="21"/>
      <c r="CK30" s="22"/>
      <c r="CL30" s="21"/>
      <c r="CM30" s="22"/>
      <c r="CN30" s="21"/>
      <c r="CO30" s="22"/>
      <c r="CP30" s="23"/>
      <c r="CQ30" s="23"/>
      <c r="CR30" s="23"/>
      <c r="CS30" s="23"/>
      <c r="CT30" s="23"/>
      <c r="CU30" s="23"/>
      <c r="CV30" s="23"/>
      <c r="CW30" s="23"/>
      <c r="CX30" s="23"/>
      <c r="CY30" s="23"/>
      <c r="CZ30" s="23"/>
      <c r="DA30" s="23"/>
      <c r="DB30" s="23"/>
      <c r="DC30" s="23"/>
      <c r="DD30" s="23"/>
      <c r="DE30" s="34"/>
      <c r="DF30" s="35"/>
      <c r="DG30" s="21"/>
      <c r="DH30" s="22"/>
      <c r="DI30" s="21"/>
      <c r="DJ30" s="22"/>
      <c r="DK30" s="21"/>
      <c r="DL30" s="22"/>
      <c r="DM30" s="21"/>
      <c r="DN30" s="22"/>
      <c r="DO30" s="23"/>
      <c r="DP30" s="23"/>
      <c r="DQ30" s="23"/>
      <c r="DR30" s="23"/>
      <c r="DS30" s="23"/>
      <c r="DT30" s="23"/>
      <c r="DU30" s="23"/>
      <c r="DV30" s="23"/>
      <c r="DW30" s="23"/>
      <c r="DX30" s="23"/>
      <c r="DY30" s="23"/>
      <c r="DZ30" s="23"/>
      <c r="EA30" s="23"/>
      <c r="EB30" s="23"/>
      <c r="EC30" s="23"/>
      <c r="ED30" s="34"/>
      <c r="EE30" s="35"/>
      <c r="EF30" s="21"/>
      <c r="EG30" s="22"/>
      <c r="EH30" s="21"/>
      <c r="EI30" s="22"/>
      <c r="EJ30" s="21"/>
      <c r="EK30" s="22"/>
      <c r="EL30" s="21"/>
      <c r="EM30" s="22"/>
      <c r="EN30" s="23"/>
      <c r="EO30" s="23"/>
      <c r="EP30" s="23"/>
      <c r="EQ30" s="23"/>
      <c r="ER30" s="23"/>
      <c r="ES30" s="23"/>
      <c r="ET30" s="23"/>
      <c r="EU30" s="23"/>
      <c r="EV30" s="23"/>
      <c r="EW30" s="23"/>
      <c r="EX30" s="23"/>
      <c r="EY30" s="23"/>
      <c r="EZ30" s="23"/>
      <c r="FA30" s="23"/>
      <c r="FB30" s="23"/>
      <c r="FC30" s="34"/>
      <c r="FD30" s="35"/>
      <c r="FE30" s="21"/>
      <c r="FF30" s="22"/>
      <c r="FG30" s="21"/>
      <c r="FH30" s="22"/>
      <c r="FI30" s="21"/>
      <c r="FJ30" s="22"/>
      <c r="FK30" s="21"/>
      <c r="FL30" s="22"/>
      <c r="FM30" s="23"/>
      <c r="FN30" s="23"/>
      <c r="FO30" s="23"/>
      <c r="FP30" s="23"/>
      <c r="FQ30" s="23"/>
      <c r="FR30" s="23"/>
      <c r="FS30" s="23"/>
    </row>
    <row r="31" spans="1:175" x14ac:dyDescent="0.3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row>
    <row r="32" spans="1:175" ht="15" thickBot="1" x14ac:dyDescent="0.4">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row>
    <row r="33" spans="1:189" ht="18.5" x14ac:dyDescent="0.35">
      <c r="A33" s="23"/>
      <c r="B33" s="23"/>
      <c r="C33" s="88" t="s">
        <v>61</v>
      </c>
      <c r="D33" s="89"/>
      <c r="E33" s="89"/>
      <c r="F33" s="90"/>
      <c r="G33" s="36"/>
      <c r="H33" s="36"/>
      <c r="I33" s="23"/>
      <c r="J33" s="23"/>
      <c r="K33" s="23"/>
      <c r="L33" s="23"/>
      <c r="M33" s="23"/>
      <c r="N33" s="23"/>
      <c r="O33" s="23"/>
      <c r="P33" s="23"/>
      <c r="Q33" s="23"/>
      <c r="R33" s="23"/>
      <c r="S33" s="23"/>
      <c r="T33" s="23"/>
      <c r="U33" s="23"/>
      <c r="V33" s="23"/>
      <c r="W33" s="23"/>
      <c r="X33" s="23"/>
      <c r="Y33" s="23"/>
      <c r="Z33" s="23"/>
      <c r="AA33" s="23"/>
      <c r="AB33" s="88" t="s">
        <v>62</v>
      </c>
      <c r="AC33" s="89"/>
      <c r="AD33" s="89"/>
      <c r="AE33" s="90"/>
      <c r="AF33" s="36"/>
      <c r="AG33" s="36"/>
      <c r="AH33" s="23"/>
      <c r="AI33" s="23"/>
      <c r="AJ33" s="23"/>
      <c r="AK33" s="23"/>
      <c r="AL33" s="23"/>
      <c r="AM33" s="23"/>
      <c r="AN33" s="23"/>
      <c r="AO33" s="23"/>
      <c r="AP33" s="23"/>
      <c r="AQ33" s="23"/>
      <c r="AR33" s="23"/>
      <c r="AS33" s="23"/>
      <c r="AT33" s="23"/>
      <c r="AU33" s="23"/>
      <c r="AV33" s="23"/>
      <c r="AW33" s="23"/>
      <c r="AX33" s="23"/>
      <c r="AY33" s="23"/>
      <c r="AZ33" s="23"/>
      <c r="BA33" s="88" t="s">
        <v>63</v>
      </c>
      <c r="BB33" s="89"/>
      <c r="BC33" s="89"/>
      <c r="BD33" s="90"/>
      <c r="BE33" s="36"/>
      <c r="BF33" s="36"/>
      <c r="BG33" s="23"/>
      <c r="BH33" s="23"/>
      <c r="BI33" s="23"/>
      <c r="BJ33" s="23"/>
      <c r="BK33" s="23"/>
      <c r="BL33" s="23"/>
      <c r="BM33" s="23"/>
      <c r="BN33" s="23"/>
      <c r="BO33" s="23"/>
      <c r="BP33" s="23"/>
      <c r="BQ33" s="23"/>
      <c r="BR33" s="23"/>
      <c r="BS33" s="23"/>
      <c r="BT33" s="23"/>
      <c r="BU33" s="23"/>
      <c r="BV33" s="23"/>
      <c r="BW33" s="23"/>
      <c r="BX33" s="23"/>
      <c r="BY33" s="23"/>
      <c r="BZ33" s="88" t="s">
        <v>64</v>
      </c>
      <c r="CA33" s="89"/>
      <c r="CB33" s="89"/>
      <c r="CC33" s="90"/>
      <c r="CD33" s="36"/>
      <c r="CE33" s="36"/>
      <c r="CF33" s="23"/>
      <c r="CG33" s="23"/>
      <c r="CH33" s="23"/>
      <c r="CI33" s="23"/>
      <c r="CJ33" s="23"/>
      <c r="CK33" s="23"/>
      <c r="CL33" s="23"/>
      <c r="CM33" s="23"/>
      <c r="CN33" s="23"/>
      <c r="CO33" s="23"/>
      <c r="CP33" s="23"/>
      <c r="CQ33" s="23"/>
      <c r="CR33" s="23"/>
      <c r="CS33" s="23"/>
      <c r="CT33" s="23"/>
      <c r="CU33" s="23"/>
      <c r="CV33" s="23"/>
      <c r="CW33" s="23"/>
      <c r="CX33" s="23"/>
      <c r="CY33" s="88" t="s">
        <v>65</v>
      </c>
      <c r="CZ33" s="89"/>
      <c r="DA33" s="89"/>
      <c r="DB33" s="90"/>
      <c r="DC33" s="36"/>
      <c r="DD33" s="36"/>
      <c r="DE33" s="23"/>
      <c r="DF33" s="23"/>
      <c r="DG33" s="23"/>
      <c r="DH33" s="23"/>
      <c r="DI33" s="23"/>
      <c r="DJ33" s="23"/>
      <c r="DK33" s="23"/>
      <c r="DL33" s="23"/>
      <c r="DM33" s="23"/>
      <c r="DN33" s="23"/>
      <c r="DO33" s="23"/>
      <c r="DP33" s="23"/>
      <c r="DQ33" s="23"/>
      <c r="DR33" s="23"/>
      <c r="DS33" s="23"/>
      <c r="DT33" s="23"/>
      <c r="DU33" s="23"/>
      <c r="DV33" s="23"/>
      <c r="DW33" s="23"/>
      <c r="DX33" s="88" t="s">
        <v>66</v>
      </c>
      <c r="DY33" s="89"/>
      <c r="DZ33" s="89"/>
      <c r="EA33" s="90"/>
      <c r="EB33" s="36"/>
      <c r="EC33" s="36"/>
      <c r="ED33" s="23"/>
      <c r="EE33" s="23"/>
      <c r="EF33" s="23"/>
      <c r="EG33" s="23"/>
      <c r="EH33" s="23"/>
      <c r="EI33" s="23"/>
      <c r="EJ33" s="23"/>
      <c r="EK33" s="23"/>
      <c r="EL33" s="23"/>
      <c r="EM33" s="23"/>
      <c r="EN33" s="23"/>
      <c r="EO33" s="23"/>
      <c r="EP33" s="23"/>
      <c r="EQ33" s="23"/>
      <c r="ER33" s="23"/>
      <c r="ES33" s="23"/>
      <c r="ET33" s="23"/>
      <c r="EU33" s="23"/>
      <c r="EV33" s="23"/>
      <c r="EW33" s="88" t="s">
        <v>67</v>
      </c>
      <c r="EX33" s="89"/>
      <c r="EY33" s="89"/>
      <c r="EZ33" s="90"/>
      <c r="FA33" s="36"/>
      <c r="FB33" s="36"/>
      <c r="FC33" s="23"/>
      <c r="FD33" s="23"/>
      <c r="FE33" s="23"/>
      <c r="FF33" s="23"/>
      <c r="FG33" s="23"/>
      <c r="FH33" s="23"/>
      <c r="FI33" s="23"/>
      <c r="FJ33" s="23"/>
      <c r="FK33" s="23"/>
      <c r="FL33" s="23"/>
      <c r="FM33" s="23"/>
      <c r="FN33" s="23"/>
      <c r="FO33" s="23"/>
      <c r="FP33" s="23"/>
      <c r="FQ33" s="23"/>
      <c r="FR33" s="23"/>
      <c r="FS33" s="23"/>
    </row>
    <row r="34" spans="1:189" ht="19" thickBot="1" x14ac:dyDescent="0.4">
      <c r="A34" s="23"/>
      <c r="B34" s="23"/>
      <c r="C34" s="91"/>
      <c r="D34" s="92"/>
      <c r="E34" s="92"/>
      <c r="F34" s="93"/>
      <c r="G34" s="36"/>
      <c r="H34" s="36"/>
      <c r="I34" s="23"/>
      <c r="J34" s="23"/>
      <c r="K34" s="23"/>
      <c r="L34" s="23"/>
      <c r="M34" s="23"/>
      <c r="N34" s="23"/>
      <c r="O34" s="23"/>
      <c r="P34" s="23"/>
      <c r="Q34" s="23"/>
      <c r="R34" s="23"/>
      <c r="S34" s="23"/>
      <c r="T34" s="23"/>
      <c r="U34" s="23"/>
      <c r="V34" s="23"/>
      <c r="W34" s="23"/>
      <c r="X34" s="23"/>
      <c r="Y34" s="23"/>
      <c r="Z34" s="23"/>
      <c r="AA34" s="23"/>
      <c r="AB34" s="91"/>
      <c r="AC34" s="92"/>
      <c r="AD34" s="92"/>
      <c r="AE34" s="93"/>
      <c r="AF34" s="36"/>
      <c r="AG34" s="36"/>
      <c r="AH34" s="23"/>
      <c r="AI34" s="23"/>
      <c r="AJ34" s="23"/>
      <c r="AK34" s="23"/>
      <c r="AL34" s="23"/>
      <c r="AM34" s="23"/>
      <c r="AN34" s="23"/>
      <c r="AO34" s="23"/>
      <c r="AP34" s="23"/>
      <c r="AQ34" s="23"/>
      <c r="AR34" s="23"/>
      <c r="AS34" s="23"/>
      <c r="AT34" s="23"/>
      <c r="AU34" s="23"/>
      <c r="AV34" s="23"/>
      <c r="AW34" s="23"/>
      <c r="AX34" s="23"/>
      <c r="AY34" s="23"/>
      <c r="AZ34" s="23"/>
      <c r="BA34" s="91"/>
      <c r="BB34" s="92"/>
      <c r="BC34" s="92"/>
      <c r="BD34" s="93"/>
      <c r="BE34" s="36"/>
      <c r="BF34" s="36"/>
      <c r="BG34" s="23"/>
      <c r="BH34" s="23"/>
      <c r="BI34" s="23"/>
      <c r="BJ34" s="23"/>
      <c r="BK34" s="23"/>
      <c r="BL34" s="23"/>
      <c r="BM34" s="23"/>
      <c r="BN34" s="23"/>
      <c r="BO34" s="23"/>
      <c r="BP34" s="23"/>
      <c r="BQ34" s="23"/>
      <c r="BR34" s="23"/>
      <c r="BS34" s="23"/>
      <c r="BT34" s="23"/>
      <c r="BU34" s="23"/>
      <c r="BV34" s="23"/>
      <c r="BW34" s="23"/>
      <c r="BX34" s="23"/>
      <c r="BY34" s="23"/>
      <c r="BZ34" s="91"/>
      <c r="CA34" s="92"/>
      <c r="CB34" s="92"/>
      <c r="CC34" s="93"/>
      <c r="CD34" s="36"/>
      <c r="CE34" s="36"/>
      <c r="CF34" s="23"/>
      <c r="CG34" s="23"/>
      <c r="CH34" s="23"/>
      <c r="CI34" s="23"/>
      <c r="CJ34" s="23"/>
      <c r="CK34" s="23"/>
      <c r="CL34" s="23"/>
      <c r="CM34" s="23"/>
      <c r="CN34" s="23"/>
      <c r="CO34" s="23"/>
      <c r="CP34" s="23"/>
      <c r="CQ34" s="23"/>
      <c r="CR34" s="23"/>
      <c r="CS34" s="23"/>
      <c r="CT34" s="23"/>
      <c r="CU34" s="23"/>
      <c r="CV34" s="23"/>
      <c r="CW34" s="23"/>
      <c r="CX34" s="23"/>
      <c r="CY34" s="91"/>
      <c r="CZ34" s="92"/>
      <c r="DA34" s="92"/>
      <c r="DB34" s="93"/>
      <c r="DC34" s="36"/>
      <c r="DD34" s="36"/>
      <c r="DE34" s="23"/>
      <c r="DF34" s="23"/>
      <c r="DG34" s="23"/>
      <c r="DH34" s="23"/>
      <c r="DI34" s="23"/>
      <c r="DJ34" s="23"/>
      <c r="DK34" s="23"/>
      <c r="DL34" s="23"/>
      <c r="DM34" s="23"/>
      <c r="DN34" s="23"/>
      <c r="DO34" s="23"/>
      <c r="DP34" s="23"/>
      <c r="DQ34" s="23"/>
      <c r="DR34" s="23"/>
      <c r="DS34" s="23"/>
      <c r="DT34" s="23"/>
      <c r="DU34" s="23"/>
      <c r="DV34" s="23"/>
      <c r="DW34" s="23"/>
      <c r="DX34" s="91"/>
      <c r="DY34" s="92"/>
      <c r="DZ34" s="92"/>
      <c r="EA34" s="93"/>
      <c r="EB34" s="36"/>
      <c r="EC34" s="36"/>
      <c r="ED34" s="23"/>
      <c r="EE34" s="23"/>
      <c r="EF34" s="23"/>
      <c r="EG34" s="23"/>
      <c r="EH34" s="23"/>
      <c r="EI34" s="23"/>
      <c r="EJ34" s="23"/>
      <c r="EK34" s="23"/>
      <c r="EL34" s="23"/>
      <c r="EM34" s="23"/>
      <c r="EN34" s="23"/>
      <c r="EO34" s="23"/>
      <c r="EP34" s="23"/>
      <c r="EQ34" s="23"/>
      <c r="ER34" s="23"/>
      <c r="ES34" s="23"/>
      <c r="ET34" s="23"/>
      <c r="EU34" s="23"/>
      <c r="EV34" s="23"/>
      <c r="EW34" s="91"/>
      <c r="EX34" s="92"/>
      <c r="EY34" s="92"/>
      <c r="EZ34" s="93"/>
      <c r="FA34" s="36"/>
      <c r="FB34" s="36"/>
      <c r="FC34" s="23"/>
      <c r="FD34" s="23"/>
      <c r="FE34" s="23"/>
      <c r="FF34" s="23"/>
      <c r="FG34" s="23"/>
      <c r="FH34" s="23"/>
      <c r="FI34" s="23"/>
      <c r="FJ34" s="23"/>
      <c r="FK34" s="23"/>
      <c r="FL34" s="23"/>
      <c r="FM34" s="23"/>
      <c r="FN34" s="23"/>
      <c r="FO34" s="23"/>
      <c r="FP34" s="23"/>
      <c r="FQ34" s="23"/>
      <c r="FR34" s="23"/>
      <c r="FS34" s="23"/>
    </row>
    <row r="35" spans="1:189" ht="14.5" customHeight="1" x14ac:dyDescent="0.35">
      <c r="A35" s="23"/>
      <c r="B35" s="23"/>
      <c r="C35" s="94" t="s">
        <v>68</v>
      </c>
      <c r="D35" s="94">
        <f>F11+F15+F19</f>
        <v>1110</v>
      </c>
      <c r="E35" s="94" t="s">
        <v>69</v>
      </c>
      <c r="F35" s="94">
        <f>D39-D35</f>
        <v>7901.885876623377</v>
      </c>
      <c r="G35" s="23"/>
      <c r="H35" s="23"/>
      <c r="I35" s="23"/>
      <c r="J35" s="23"/>
      <c r="K35" s="23"/>
      <c r="L35" s="23"/>
      <c r="M35" s="23"/>
      <c r="N35" s="23"/>
      <c r="O35" s="23"/>
      <c r="P35" s="23"/>
      <c r="Q35" s="23"/>
      <c r="R35" s="23"/>
      <c r="S35" s="23"/>
      <c r="T35" s="23"/>
      <c r="U35" s="23"/>
      <c r="V35" s="23"/>
      <c r="W35" s="23"/>
      <c r="X35" s="23"/>
      <c r="Y35" s="23"/>
      <c r="Z35" s="23"/>
      <c r="AA35" s="23"/>
      <c r="AB35" s="94" t="s">
        <v>68</v>
      </c>
      <c r="AC35" s="94">
        <f>AE11+AE15+AE19</f>
        <v>1165</v>
      </c>
      <c r="AD35" s="94" t="s">
        <v>69</v>
      </c>
      <c r="AE35" s="94">
        <f>AC39-AC35</f>
        <v>6624.3619480519483</v>
      </c>
      <c r="AF35" s="23"/>
      <c r="AG35" s="23"/>
      <c r="AH35" s="23"/>
      <c r="AI35" s="23"/>
      <c r="AJ35" s="23"/>
      <c r="AK35" s="23"/>
      <c r="AL35" s="23"/>
      <c r="AM35" s="23"/>
      <c r="AN35" s="23"/>
      <c r="AO35" s="23"/>
      <c r="AP35" s="23"/>
      <c r="AQ35" s="23"/>
      <c r="AR35" s="23"/>
      <c r="AS35" s="23"/>
      <c r="AT35" s="23"/>
      <c r="AU35" s="23"/>
      <c r="AV35" s="23"/>
      <c r="AW35" s="23"/>
      <c r="AX35" s="23"/>
      <c r="AY35" s="23"/>
      <c r="AZ35" s="23"/>
      <c r="BA35" s="94" t="s">
        <v>68</v>
      </c>
      <c r="BB35" s="94">
        <f>BD11+BD15+BD19</f>
        <v>1270</v>
      </c>
      <c r="BC35" s="94" t="s">
        <v>69</v>
      </c>
      <c r="BD35" s="94">
        <f>BB39-BB35</f>
        <v>10027.474090909091</v>
      </c>
      <c r="BE35" s="23"/>
      <c r="BF35" s="23"/>
      <c r="BG35" s="23"/>
      <c r="BH35" s="23"/>
      <c r="BI35" s="23"/>
      <c r="BJ35" s="23"/>
      <c r="BK35" s="23"/>
      <c r="BL35" s="23"/>
      <c r="BM35" s="23"/>
      <c r="BN35" s="23"/>
      <c r="BO35" s="23"/>
      <c r="BP35" s="23"/>
      <c r="BQ35" s="23"/>
      <c r="BR35" s="23"/>
      <c r="BS35" s="23"/>
      <c r="BT35" s="23"/>
      <c r="BU35" s="23"/>
      <c r="BV35" s="23"/>
      <c r="BW35" s="23"/>
      <c r="BX35" s="23"/>
      <c r="BY35" s="23"/>
      <c r="BZ35" s="94" t="s">
        <v>68</v>
      </c>
      <c r="CA35" s="94">
        <f>CC11+CC15+CC19</f>
        <v>1170</v>
      </c>
      <c r="CB35" s="94" t="s">
        <v>69</v>
      </c>
      <c r="CC35" s="94">
        <f>CA39-CA35</f>
        <v>10968.261298701298</v>
      </c>
      <c r="CD35" s="23"/>
      <c r="CE35" s="23"/>
      <c r="CF35" s="23"/>
      <c r="CG35" s="23"/>
      <c r="CH35" s="23"/>
      <c r="CI35" s="23"/>
      <c r="CJ35" s="23"/>
      <c r="CK35" s="23"/>
      <c r="CL35" s="23"/>
      <c r="CM35" s="23"/>
      <c r="CN35" s="23"/>
      <c r="CO35" s="23"/>
      <c r="CP35" s="23"/>
      <c r="CQ35" s="23"/>
      <c r="CR35" s="23"/>
      <c r="CS35" s="23"/>
      <c r="CT35" s="23"/>
      <c r="CU35" s="23"/>
      <c r="CV35" s="23"/>
      <c r="CW35" s="23"/>
      <c r="CX35" s="23"/>
      <c r="CY35" s="94" t="s">
        <v>68</v>
      </c>
      <c r="CZ35" s="94">
        <f>DB11+DB15+DB19</f>
        <v>1120</v>
      </c>
      <c r="DA35" s="94" t="s">
        <v>69</v>
      </c>
      <c r="DB35" s="94">
        <f>CZ39-CZ35</f>
        <v>8399.2574675324668</v>
      </c>
      <c r="DC35" s="23"/>
      <c r="DD35" s="23"/>
      <c r="DE35" s="23"/>
      <c r="DF35" s="23"/>
      <c r="DG35" s="23"/>
      <c r="DH35" s="23"/>
      <c r="DI35" s="23"/>
      <c r="DJ35" s="23"/>
      <c r="DK35" s="23"/>
      <c r="DL35" s="23"/>
      <c r="DM35" s="23"/>
      <c r="DN35" s="23"/>
      <c r="DO35" s="23"/>
      <c r="DP35" s="23"/>
      <c r="DQ35" s="23"/>
      <c r="DR35" s="23"/>
      <c r="DS35" s="23"/>
      <c r="DT35" s="23"/>
      <c r="DU35" s="23"/>
      <c r="DV35" s="23"/>
      <c r="DW35" s="23"/>
      <c r="DX35" s="94" t="s">
        <v>68</v>
      </c>
      <c r="DY35" s="94">
        <f>EA11+EA15+EA19</f>
        <v>1110</v>
      </c>
      <c r="DZ35" s="94" t="s">
        <v>69</v>
      </c>
      <c r="EA35" s="94">
        <f>DY39-DY35</f>
        <v>4954.2985389610394</v>
      </c>
      <c r="EB35" s="23"/>
      <c r="EC35" s="23"/>
      <c r="ED35" s="23"/>
      <c r="EE35" s="23"/>
      <c r="EF35" s="23"/>
      <c r="EG35" s="23"/>
      <c r="EH35" s="23"/>
      <c r="EI35" s="23"/>
      <c r="EJ35" s="23"/>
      <c r="EK35" s="23"/>
      <c r="EL35" s="23"/>
      <c r="EM35" s="23"/>
      <c r="EN35" s="23"/>
      <c r="EO35" s="23"/>
      <c r="EP35" s="23"/>
      <c r="EQ35" s="23"/>
      <c r="ER35" s="23"/>
      <c r="ES35" s="23"/>
      <c r="ET35" s="23"/>
      <c r="EU35" s="23"/>
      <c r="EV35" s="23"/>
      <c r="EW35" s="94" t="s">
        <v>68</v>
      </c>
      <c r="EX35" s="94">
        <f>EZ11+EZ15+EZ19</f>
        <v>1110</v>
      </c>
      <c r="EY35" s="94" t="s">
        <v>69</v>
      </c>
      <c r="EZ35" s="94">
        <f>EX39-EX359</f>
        <v>7151.523376623376</v>
      </c>
      <c r="FA35" s="23"/>
      <c r="FB35" s="23"/>
      <c r="FC35" s="23"/>
      <c r="FD35" s="23"/>
      <c r="FE35" s="23"/>
      <c r="FF35" s="23"/>
      <c r="FG35" s="23"/>
      <c r="FH35" s="23"/>
      <c r="FI35" s="23"/>
      <c r="FJ35" s="23"/>
      <c r="FK35" s="23"/>
      <c r="FL35" s="23"/>
      <c r="FM35" s="23"/>
      <c r="FN35" s="23"/>
      <c r="FO35" s="23"/>
      <c r="FP35" s="23"/>
      <c r="FQ35" s="23"/>
      <c r="FR35" s="23"/>
      <c r="FS35" s="23"/>
    </row>
    <row r="36" spans="1:189" ht="14.5" customHeight="1" x14ac:dyDescent="0.35">
      <c r="A36" s="23"/>
      <c r="B36" s="23"/>
      <c r="C36" s="94"/>
      <c r="D36" s="94"/>
      <c r="E36" s="94"/>
      <c r="F36" s="94"/>
      <c r="G36" s="23"/>
      <c r="H36" s="37"/>
      <c r="I36" s="37"/>
      <c r="J36" s="37"/>
      <c r="K36" s="37"/>
      <c r="L36" s="37"/>
      <c r="M36" s="37"/>
      <c r="N36" s="37"/>
      <c r="O36" s="23"/>
      <c r="P36" s="23"/>
      <c r="Q36" s="23"/>
      <c r="R36" s="23"/>
      <c r="S36" s="23"/>
      <c r="T36" s="23"/>
      <c r="U36" s="23"/>
      <c r="V36" s="23"/>
      <c r="W36" s="23"/>
      <c r="X36" s="23"/>
      <c r="Y36" s="23"/>
      <c r="Z36" s="23"/>
      <c r="AA36" s="23"/>
      <c r="AB36" s="94"/>
      <c r="AC36" s="94"/>
      <c r="AD36" s="94"/>
      <c r="AE36" s="94"/>
      <c r="AF36" s="23"/>
      <c r="AG36" s="37"/>
      <c r="AH36" s="37"/>
      <c r="AI36" s="37"/>
      <c r="AJ36" s="37"/>
      <c r="AK36" s="37"/>
      <c r="AL36" s="37"/>
      <c r="AM36" s="37"/>
      <c r="AN36" s="23"/>
      <c r="AO36" s="23"/>
      <c r="AP36" s="23"/>
      <c r="AQ36" s="23"/>
      <c r="AR36" s="23"/>
      <c r="AS36" s="23"/>
      <c r="AT36" s="23"/>
      <c r="AU36" s="23"/>
      <c r="AV36" s="23"/>
      <c r="AW36" s="23"/>
      <c r="AX36" s="23"/>
      <c r="AY36" s="23"/>
      <c r="AZ36" s="23"/>
      <c r="BA36" s="94"/>
      <c r="BB36" s="94"/>
      <c r="BC36" s="94"/>
      <c r="BD36" s="94"/>
      <c r="BE36" s="23"/>
      <c r="BF36" s="37"/>
      <c r="BG36" s="37"/>
      <c r="BH36" s="37"/>
      <c r="BI36" s="37"/>
      <c r="BJ36" s="37"/>
      <c r="BK36" s="37"/>
      <c r="BL36" s="37"/>
      <c r="BM36" s="23"/>
      <c r="BN36" s="23"/>
      <c r="BO36" s="23"/>
      <c r="BP36" s="23"/>
      <c r="BQ36" s="23"/>
      <c r="BR36" s="23"/>
      <c r="BS36" s="23"/>
      <c r="BT36" s="23"/>
      <c r="BU36" s="23"/>
      <c r="BV36" s="23"/>
      <c r="BW36" s="23"/>
      <c r="BX36" s="23"/>
      <c r="BY36" s="23"/>
      <c r="BZ36" s="94"/>
      <c r="CA36" s="94"/>
      <c r="CB36" s="94"/>
      <c r="CC36" s="94"/>
      <c r="CD36" s="23"/>
      <c r="CE36" s="37"/>
      <c r="CF36" s="37"/>
      <c r="CG36" s="37"/>
      <c r="CH36" s="37"/>
      <c r="CI36" s="37"/>
      <c r="CJ36" s="37"/>
      <c r="CK36" s="37"/>
      <c r="CL36" s="23"/>
      <c r="CM36" s="23"/>
      <c r="CN36" s="23"/>
      <c r="CO36" s="23"/>
      <c r="CP36" s="23"/>
      <c r="CQ36" s="23"/>
      <c r="CR36" s="23"/>
      <c r="CS36" s="23"/>
      <c r="CT36" s="23"/>
      <c r="CU36" s="23"/>
      <c r="CV36" s="23"/>
      <c r="CW36" s="23"/>
      <c r="CX36" s="23"/>
      <c r="CY36" s="94"/>
      <c r="CZ36" s="94"/>
      <c r="DA36" s="94"/>
      <c r="DB36" s="94"/>
      <c r="DC36" s="23"/>
      <c r="DD36" s="37"/>
      <c r="DE36" s="37"/>
      <c r="DF36" s="37"/>
      <c r="DG36" s="37"/>
      <c r="DH36" s="37"/>
      <c r="DI36" s="37"/>
      <c r="DJ36" s="37"/>
      <c r="DK36" s="23"/>
      <c r="DL36" s="23"/>
      <c r="DM36" s="23"/>
      <c r="DN36" s="23"/>
      <c r="DO36" s="23"/>
      <c r="DP36" s="23"/>
      <c r="DQ36" s="23"/>
      <c r="DR36" s="23"/>
      <c r="DS36" s="23"/>
      <c r="DT36" s="23"/>
      <c r="DU36" s="23"/>
      <c r="DV36" s="23"/>
      <c r="DW36" s="23"/>
      <c r="DX36" s="94"/>
      <c r="DY36" s="94"/>
      <c r="DZ36" s="94"/>
      <c r="EA36" s="94"/>
      <c r="EB36" s="23"/>
      <c r="EC36" s="37"/>
      <c r="ED36" s="37"/>
      <c r="EE36" s="37"/>
      <c r="EF36" s="37"/>
      <c r="EG36" s="37"/>
      <c r="EH36" s="37"/>
      <c r="EI36" s="37"/>
      <c r="EJ36" s="23"/>
      <c r="EK36" s="23"/>
      <c r="EL36" s="23"/>
      <c r="EM36" s="23"/>
      <c r="EN36" s="23"/>
      <c r="EO36" s="23"/>
      <c r="EP36" s="23"/>
      <c r="EQ36" s="23"/>
      <c r="ER36" s="23"/>
      <c r="ES36" s="23"/>
      <c r="ET36" s="23"/>
      <c r="EU36" s="23"/>
      <c r="EV36" s="23"/>
      <c r="EW36" s="94"/>
      <c r="EX36" s="94"/>
      <c r="EY36" s="94"/>
      <c r="EZ36" s="94"/>
      <c r="FA36" s="23"/>
      <c r="FB36" s="37"/>
      <c r="FC36" s="37"/>
      <c r="FD36" s="37"/>
      <c r="FE36" s="37"/>
      <c r="FF36" s="37"/>
      <c r="FG36" s="37"/>
      <c r="FH36" s="37"/>
      <c r="FI36" s="23"/>
      <c r="FJ36" s="23"/>
      <c r="FK36" s="23"/>
      <c r="FL36" s="23"/>
      <c r="FM36" s="23"/>
      <c r="FN36" s="23"/>
      <c r="FO36" s="23"/>
      <c r="FP36" s="23"/>
      <c r="FQ36" s="23"/>
      <c r="FR36" s="23"/>
      <c r="FS36" s="23"/>
    </row>
    <row r="37" spans="1:189" ht="14.5" customHeight="1" x14ac:dyDescent="0.35">
      <c r="A37" s="23"/>
      <c r="B37" s="23"/>
      <c r="C37" s="94"/>
      <c r="D37" s="94"/>
      <c r="E37" s="94"/>
      <c r="F37" s="94"/>
      <c r="G37" s="23"/>
      <c r="H37" s="37"/>
      <c r="I37" s="37"/>
      <c r="J37" s="37"/>
      <c r="K37" s="37"/>
      <c r="L37" s="37"/>
      <c r="M37" s="37"/>
      <c r="N37" s="37"/>
      <c r="O37" s="23"/>
      <c r="P37" s="23"/>
      <c r="Q37" s="23"/>
      <c r="R37" s="23"/>
      <c r="S37" s="23"/>
      <c r="T37" s="23"/>
      <c r="U37" s="23"/>
      <c r="V37" s="23"/>
      <c r="W37" s="23"/>
      <c r="X37" s="23"/>
      <c r="Y37" s="23"/>
      <c r="Z37" s="23"/>
      <c r="AA37" s="23"/>
      <c r="AB37" s="94"/>
      <c r="AC37" s="94"/>
      <c r="AD37" s="94"/>
      <c r="AE37" s="94"/>
      <c r="AF37" s="23"/>
      <c r="AG37" s="37"/>
      <c r="AH37" s="37"/>
      <c r="AI37" s="37"/>
      <c r="AJ37" s="37"/>
      <c r="AK37" s="37"/>
      <c r="AL37" s="37"/>
      <c r="AM37" s="37"/>
      <c r="AN37" s="23"/>
      <c r="AO37" s="23"/>
      <c r="AP37" s="23"/>
      <c r="AQ37" s="23"/>
      <c r="AR37" s="23"/>
      <c r="AS37" s="23"/>
      <c r="AT37" s="23"/>
      <c r="AU37" s="23"/>
      <c r="AV37" s="23"/>
      <c r="AW37" s="23"/>
      <c r="AX37" s="23"/>
      <c r="AY37" s="23"/>
      <c r="AZ37" s="23"/>
      <c r="BA37" s="94"/>
      <c r="BB37" s="94"/>
      <c r="BC37" s="94"/>
      <c r="BD37" s="94"/>
      <c r="BE37" s="23"/>
      <c r="BF37" s="37"/>
      <c r="BG37" s="37"/>
      <c r="BH37" s="37"/>
      <c r="BI37" s="37"/>
      <c r="BJ37" s="37"/>
      <c r="BK37" s="37"/>
      <c r="BL37" s="37"/>
      <c r="BM37" s="23"/>
      <c r="BN37" s="23"/>
      <c r="BO37" s="23"/>
      <c r="BP37" s="23"/>
      <c r="BQ37" s="23"/>
      <c r="BR37" s="23"/>
      <c r="BS37" s="23"/>
      <c r="BT37" s="23"/>
      <c r="BU37" s="23"/>
      <c r="BV37" s="23"/>
      <c r="BW37" s="23"/>
      <c r="BX37" s="23"/>
      <c r="BY37" s="23"/>
      <c r="BZ37" s="94"/>
      <c r="CA37" s="94"/>
      <c r="CB37" s="94"/>
      <c r="CC37" s="94"/>
      <c r="CD37" s="23"/>
      <c r="CE37" s="37"/>
      <c r="CF37" s="37"/>
      <c r="CG37" s="37"/>
      <c r="CH37" s="37"/>
      <c r="CI37" s="37"/>
      <c r="CJ37" s="37"/>
      <c r="CK37" s="37"/>
      <c r="CL37" s="23"/>
      <c r="CM37" s="23"/>
      <c r="CN37" s="23"/>
      <c r="CO37" s="23"/>
      <c r="CP37" s="23"/>
      <c r="CQ37" s="23"/>
      <c r="CR37" s="23"/>
      <c r="CS37" s="23"/>
      <c r="CT37" s="23"/>
      <c r="CU37" s="23"/>
      <c r="CV37" s="23"/>
      <c r="CW37" s="23"/>
      <c r="CX37" s="23"/>
      <c r="CY37" s="94"/>
      <c r="CZ37" s="94"/>
      <c r="DA37" s="94"/>
      <c r="DB37" s="94"/>
      <c r="DC37" s="23"/>
      <c r="DD37" s="37"/>
      <c r="DE37" s="37"/>
      <c r="DF37" s="37"/>
      <c r="DG37" s="37"/>
      <c r="DH37" s="37"/>
      <c r="DI37" s="37"/>
      <c r="DJ37" s="37"/>
      <c r="DK37" s="23"/>
      <c r="DL37" s="23"/>
      <c r="DM37" s="23"/>
      <c r="DN37" s="23"/>
      <c r="DO37" s="23"/>
      <c r="DP37" s="23"/>
      <c r="DQ37" s="23"/>
      <c r="DR37" s="23"/>
      <c r="DS37" s="23"/>
      <c r="DT37" s="23"/>
      <c r="DU37" s="23"/>
      <c r="DV37" s="23"/>
      <c r="DW37" s="23"/>
      <c r="DX37" s="94"/>
      <c r="DY37" s="94"/>
      <c r="DZ37" s="94"/>
      <c r="EA37" s="94"/>
      <c r="EB37" s="23"/>
      <c r="EC37" s="37"/>
      <c r="ED37" s="37"/>
      <c r="EE37" s="37"/>
      <c r="EF37" s="37"/>
      <c r="EG37" s="37"/>
      <c r="EH37" s="37"/>
      <c r="EI37" s="37"/>
      <c r="EJ37" s="23"/>
      <c r="EK37" s="23"/>
      <c r="EL37" s="23"/>
      <c r="EM37" s="23"/>
      <c r="EN37" s="23"/>
      <c r="EO37" s="23"/>
      <c r="EP37" s="23"/>
      <c r="EQ37" s="23"/>
      <c r="ER37" s="23"/>
      <c r="ES37" s="23"/>
      <c r="ET37" s="23"/>
      <c r="EU37" s="23"/>
      <c r="EV37" s="23"/>
      <c r="EW37" s="94"/>
      <c r="EX37" s="94"/>
      <c r="EY37" s="94"/>
      <c r="EZ37" s="94"/>
      <c r="FA37" s="23"/>
      <c r="FB37" s="37"/>
      <c r="FC37" s="37"/>
      <c r="FD37" s="37"/>
      <c r="FE37" s="37"/>
      <c r="FF37" s="37"/>
      <c r="FG37" s="37"/>
      <c r="FH37" s="37"/>
      <c r="FI37" s="23"/>
      <c r="FJ37" s="23"/>
      <c r="FK37" s="23"/>
      <c r="FL37" s="23"/>
      <c r="FM37" s="23"/>
      <c r="FN37" s="23"/>
      <c r="FO37" s="23"/>
      <c r="FP37" s="23"/>
      <c r="FQ37" s="23"/>
      <c r="FR37" s="23"/>
      <c r="FS37" s="23"/>
    </row>
    <row r="38" spans="1:189" ht="15" customHeight="1" thickBot="1" x14ac:dyDescent="0.4">
      <c r="A38" s="23"/>
      <c r="B38" s="23"/>
      <c r="C38" s="95"/>
      <c r="D38" s="95"/>
      <c r="E38" s="95"/>
      <c r="F38" s="95"/>
      <c r="G38" s="23"/>
      <c r="H38" s="37"/>
      <c r="I38" s="37"/>
      <c r="J38" s="37"/>
      <c r="K38" s="37"/>
      <c r="L38" s="37"/>
      <c r="M38" s="37"/>
      <c r="N38" s="37"/>
      <c r="O38" s="23"/>
      <c r="P38" s="23"/>
      <c r="Q38" s="23"/>
      <c r="R38" s="23"/>
      <c r="S38" s="23"/>
      <c r="T38" s="23"/>
      <c r="U38" s="23"/>
      <c r="V38" s="23"/>
      <c r="W38" s="23"/>
      <c r="X38" s="23"/>
      <c r="Y38" s="23"/>
      <c r="Z38" s="23"/>
      <c r="AA38" s="23"/>
      <c r="AB38" s="95"/>
      <c r="AC38" s="95"/>
      <c r="AD38" s="95"/>
      <c r="AE38" s="95"/>
      <c r="AF38" s="23"/>
      <c r="AG38" s="37"/>
      <c r="AH38" s="37"/>
      <c r="AI38" s="37"/>
      <c r="AJ38" s="37"/>
      <c r="AK38" s="37"/>
      <c r="AL38" s="37"/>
      <c r="AM38" s="37"/>
      <c r="AN38" s="23"/>
      <c r="AO38" s="23"/>
      <c r="AP38" s="23"/>
      <c r="AQ38" s="23"/>
      <c r="AR38" s="23"/>
      <c r="AS38" s="23"/>
      <c r="AT38" s="23"/>
      <c r="AU38" s="23"/>
      <c r="AV38" s="23"/>
      <c r="AW38" s="23"/>
      <c r="AX38" s="23"/>
      <c r="AY38" s="23"/>
      <c r="AZ38" s="23"/>
      <c r="BA38" s="95"/>
      <c r="BB38" s="95"/>
      <c r="BC38" s="95"/>
      <c r="BD38" s="95"/>
      <c r="BE38" s="23"/>
      <c r="BF38" s="37"/>
      <c r="BG38" s="37"/>
      <c r="BH38" s="37"/>
      <c r="BI38" s="37"/>
      <c r="BJ38" s="37"/>
      <c r="BK38" s="37"/>
      <c r="BL38" s="37"/>
      <c r="BM38" s="23"/>
      <c r="BN38" s="23"/>
      <c r="BO38" s="23"/>
      <c r="BP38" s="23"/>
      <c r="BQ38" s="23"/>
      <c r="BR38" s="23"/>
      <c r="BS38" s="23"/>
      <c r="BT38" s="23"/>
      <c r="BU38" s="23"/>
      <c r="BV38" s="23"/>
      <c r="BW38" s="23"/>
      <c r="BX38" s="23"/>
      <c r="BY38" s="23"/>
      <c r="BZ38" s="95"/>
      <c r="CA38" s="95"/>
      <c r="CB38" s="95"/>
      <c r="CC38" s="95"/>
      <c r="CD38" s="23"/>
      <c r="CE38" s="37"/>
      <c r="CF38" s="37"/>
      <c r="CG38" s="37"/>
      <c r="CH38" s="37"/>
      <c r="CI38" s="37"/>
      <c r="CJ38" s="37"/>
      <c r="CK38" s="37"/>
      <c r="CL38" s="23"/>
      <c r="CM38" s="23"/>
      <c r="CN38" s="23"/>
      <c r="CO38" s="23"/>
      <c r="CP38" s="23"/>
      <c r="CQ38" s="23"/>
      <c r="CR38" s="23"/>
      <c r="CS38" s="23"/>
      <c r="CT38" s="23"/>
      <c r="CU38" s="23"/>
      <c r="CV38" s="23"/>
      <c r="CW38" s="23"/>
      <c r="CX38" s="23"/>
      <c r="CY38" s="95"/>
      <c r="CZ38" s="95"/>
      <c r="DA38" s="95"/>
      <c r="DB38" s="95"/>
      <c r="DC38" s="23"/>
      <c r="DD38" s="37"/>
      <c r="DE38" s="37"/>
      <c r="DF38" s="37"/>
      <c r="DG38" s="37"/>
      <c r="DH38" s="37"/>
      <c r="DI38" s="37"/>
      <c r="DJ38" s="37"/>
      <c r="DK38" s="23"/>
      <c r="DL38" s="23"/>
      <c r="DM38" s="23"/>
      <c r="DN38" s="23"/>
      <c r="DO38" s="23"/>
      <c r="DP38" s="23"/>
      <c r="DQ38" s="23"/>
      <c r="DR38" s="23"/>
      <c r="DS38" s="23"/>
      <c r="DT38" s="23"/>
      <c r="DU38" s="23"/>
      <c r="DV38" s="23"/>
      <c r="DW38" s="23"/>
      <c r="DX38" s="95"/>
      <c r="DY38" s="95"/>
      <c r="DZ38" s="95"/>
      <c r="EA38" s="95"/>
      <c r="EB38" s="23"/>
      <c r="EC38" s="37"/>
      <c r="ED38" s="37"/>
      <c r="EE38" s="37"/>
      <c r="EF38" s="37"/>
      <c r="EG38" s="37"/>
      <c r="EH38" s="37"/>
      <c r="EI38" s="37"/>
      <c r="EJ38" s="23"/>
      <c r="EK38" s="23"/>
      <c r="EL38" s="23"/>
      <c r="EM38" s="23"/>
      <c r="EN38" s="23"/>
      <c r="EO38" s="23"/>
      <c r="EP38" s="23"/>
      <c r="EQ38" s="23"/>
      <c r="ER38" s="23"/>
      <c r="ES38" s="23"/>
      <c r="ET38" s="23"/>
      <c r="EU38" s="23"/>
      <c r="EV38" s="23"/>
      <c r="EW38" s="95"/>
      <c r="EX38" s="95"/>
      <c r="EY38" s="95"/>
      <c r="EZ38" s="95"/>
      <c r="FA38" s="23"/>
      <c r="FB38" s="37"/>
      <c r="FC38" s="37"/>
      <c r="FD38" s="37"/>
      <c r="FE38" s="37"/>
      <c r="FF38" s="37"/>
      <c r="FG38" s="37"/>
      <c r="FH38" s="37"/>
      <c r="FI38" s="23"/>
      <c r="FJ38" s="23"/>
      <c r="FK38" s="23"/>
      <c r="FL38" s="23"/>
      <c r="FM38" s="23"/>
      <c r="FN38" s="23"/>
      <c r="FO38" s="23"/>
      <c r="FP38" s="23"/>
      <c r="FQ38" s="23"/>
      <c r="FR38" s="23"/>
      <c r="FS38" s="23"/>
    </row>
    <row r="39" spans="1:189" ht="14.5" customHeight="1" x14ac:dyDescent="0.35">
      <c r="A39" s="23"/>
      <c r="B39" s="23"/>
      <c r="C39" s="94" t="s">
        <v>70</v>
      </c>
      <c r="D39" s="94">
        <f>SUM(Q13:Q28)</f>
        <v>9011.885876623377</v>
      </c>
      <c r="E39" s="94" t="s">
        <v>71</v>
      </c>
      <c r="F39" s="94" t="str">
        <f>IF(F35&lt;0,"Bad shape","Fit shape")</f>
        <v>Fit shape</v>
      </c>
      <c r="G39" s="23"/>
      <c r="H39" s="37"/>
      <c r="I39" s="37"/>
      <c r="J39" s="37"/>
      <c r="K39" s="37"/>
      <c r="L39" s="37"/>
      <c r="M39" s="37"/>
      <c r="N39" s="37"/>
      <c r="O39" s="23"/>
      <c r="P39" s="23"/>
      <c r="Q39" s="23"/>
      <c r="R39" s="23"/>
      <c r="S39" s="23"/>
      <c r="T39" s="23"/>
      <c r="U39" s="23"/>
      <c r="V39" s="23"/>
      <c r="W39" s="23"/>
      <c r="X39" s="23"/>
      <c r="Y39" s="23"/>
      <c r="Z39" s="23"/>
      <c r="AA39" s="23"/>
      <c r="AB39" s="94" t="s">
        <v>70</v>
      </c>
      <c r="AC39" s="94">
        <f>SUM(AP13:AP28)</f>
        <v>7789.3619480519483</v>
      </c>
      <c r="AD39" s="94" t="s">
        <v>71</v>
      </c>
      <c r="AE39" s="94" t="str">
        <f>IF(AE35&lt;0,"Bad shape","Fit shape")</f>
        <v>Fit shape</v>
      </c>
      <c r="AF39" s="23"/>
      <c r="AG39" s="37"/>
      <c r="AH39" s="37"/>
      <c r="AI39" s="37"/>
      <c r="AJ39" s="37"/>
      <c r="AK39" s="37"/>
      <c r="AL39" s="37"/>
      <c r="AM39" s="37"/>
      <c r="AN39" s="23"/>
      <c r="AO39" s="23"/>
      <c r="AP39" s="23"/>
      <c r="AQ39" s="23"/>
      <c r="AR39" s="23"/>
      <c r="AS39" s="23"/>
      <c r="AT39" s="23"/>
      <c r="AU39" s="23"/>
      <c r="AV39" s="23"/>
      <c r="AW39" s="23"/>
      <c r="AX39" s="23"/>
      <c r="AY39" s="23"/>
      <c r="AZ39" s="23"/>
      <c r="BA39" s="94" t="s">
        <v>70</v>
      </c>
      <c r="BB39" s="94">
        <f>SUM(BO13:BO28)</f>
        <v>11297.474090909091</v>
      </c>
      <c r="BC39" s="94" t="s">
        <v>71</v>
      </c>
      <c r="BD39" s="94" t="str">
        <f>IF(BD35&lt;0,"Bad shape","Fit shape")</f>
        <v>Fit shape</v>
      </c>
      <c r="BE39" s="23"/>
      <c r="BF39" s="37"/>
      <c r="BG39" s="37"/>
      <c r="BH39" s="37"/>
      <c r="BI39" s="37"/>
      <c r="BJ39" s="37"/>
      <c r="BK39" s="37"/>
      <c r="BL39" s="37"/>
      <c r="BM39" s="23"/>
      <c r="BN39" s="23"/>
      <c r="BO39" s="23"/>
      <c r="BP39" s="23"/>
      <c r="BQ39" s="23"/>
      <c r="BR39" s="23"/>
      <c r="BS39" s="23"/>
      <c r="BT39" s="23"/>
      <c r="BU39" s="23"/>
      <c r="BV39" s="23"/>
      <c r="BW39" s="23"/>
      <c r="BX39" s="23"/>
      <c r="BY39" s="23"/>
      <c r="BZ39" s="94" t="s">
        <v>70</v>
      </c>
      <c r="CA39" s="94">
        <f>SUM(CN13:CN28)</f>
        <v>12138.261298701298</v>
      </c>
      <c r="CB39" s="94" t="s">
        <v>71</v>
      </c>
      <c r="CC39" s="94" t="str">
        <f>IF(CC35&lt;0,"Bad shape","Fit shape")</f>
        <v>Fit shape</v>
      </c>
      <c r="CD39" s="23"/>
      <c r="CE39" s="37"/>
      <c r="CF39" s="37"/>
      <c r="CG39" s="37"/>
      <c r="CH39" s="37"/>
      <c r="CI39" s="37"/>
      <c r="CJ39" s="37"/>
      <c r="CK39" s="37"/>
      <c r="CL39" s="23"/>
      <c r="CM39" s="23"/>
      <c r="CN39" s="23"/>
      <c r="CO39" s="23"/>
      <c r="CP39" s="23"/>
      <c r="CQ39" s="23"/>
      <c r="CR39" s="23"/>
      <c r="CS39" s="23"/>
      <c r="CT39" s="23"/>
      <c r="CU39" s="23"/>
      <c r="CV39" s="23"/>
      <c r="CW39" s="23"/>
      <c r="CX39" s="23"/>
      <c r="CY39" s="94" t="s">
        <v>70</v>
      </c>
      <c r="CZ39" s="94">
        <f>SUM(DM13:DM28)</f>
        <v>9519.2574675324668</v>
      </c>
      <c r="DA39" s="94" t="s">
        <v>71</v>
      </c>
      <c r="DB39" s="94" t="str">
        <f>IF(DB35&lt;0,"Bad shape","Fit shape")</f>
        <v>Fit shape</v>
      </c>
      <c r="DC39" s="23"/>
      <c r="DD39" s="37"/>
      <c r="DE39" s="37"/>
      <c r="DF39" s="37"/>
      <c r="DG39" s="37"/>
      <c r="DH39" s="37"/>
      <c r="DI39" s="37"/>
      <c r="DJ39" s="37"/>
      <c r="DK39" s="23"/>
      <c r="DL39" s="23"/>
      <c r="DM39" s="23"/>
      <c r="DN39" s="23"/>
      <c r="DO39" s="23"/>
      <c r="DP39" s="23"/>
      <c r="DQ39" s="23"/>
      <c r="DR39" s="23"/>
      <c r="DS39" s="23"/>
      <c r="DT39" s="23"/>
      <c r="DU39" s="23"/>
      <c r="DV39" s="23"/>
      <c r="DW39" s="23"/>
      <c r="DX39" s="94" t="s">
        <v>70</v>
      </c>
      <c r="DY39" s="94">
        <f>SUM(EL13:EL28)</f>
        <v>6064.2985389610394</v>
      </c>
      <c r="DZ39" s="94" t="s">
        <v>71</v>
      </c>
      <c r="EA39" s="94" t="str">
        <f>IF(EA35&lt;0,"Bad shape","Fit shape")</f>
        <v>Fit shape</v>
      </c>
      <c r="EB39" s="23"/>
      <c r="EC39" s="37"/>
      <c r="ED39" s="37"/>
      <c r="EE39" s="37"/>
      <c r="EF39" s="37"/>
      <c r="EG39" s="37"/>
      <c r="EH39" s="37"/>
      <c r="EI39" s="37"/>
      <c r="EJ39" s="23"/>
      <c r="EK39" s="23"/>
      <c r="EL39" s="23"/>
      <c r="EM39" s="23"/>
      <c r="EN39" s="23"/>
      <c r="EO39" s="23"/>
      <c r="EP39" s="23"/>
      <c r="EQ39" s="23"/>
      <c r="ER39" s="23"/>
      <c r="ES39" s="23"/>
      <c r="ET39" s="23"/>
      <c r="EU39" s="23"/>
      <c r="EV39" s="23"/>
      <c r="EW39" s="94" t="s">
        <v>70</v>
      </c>
      <c r="EX39" s="94">
        <f>SUM(FK13:FK28)</f>
        <v>7151.523376623376</v>
      </c>
      <c r="EY39" s="94" t="s">
        <v>71</v>
      </c>
      <c r="EZ39" s="94" t="str">
        <f>IF(EZ35&lt;0,"Bad shape","Fit shape")</f>
        <v>Fit shape</v>
      </c>
      <c r="FA39" s="23"/>
      <c r="FB39" s="37"/>
      <c r="FC39" s="37"/>
      <c r="FD39" s="37"/>
      <c r="FE39" s="37"/>
      <c r="FF39" s="37"/>
      <c r="FG39" s="37"/>
      <c r="FH39" s="37"/>
      <c r="FI39" s="23"/>
      <c r="FJ39" s="23"/>
      <c r="FK39" s="23"/>
      <c r="FL39" s="23"/>
      <c r="FM39" s="23"/>
      <c r="FN39" s="23"/>
      <c r="FO39" s="23"/>
      <c r="FP39" s="23"/>
      <c r="FQ39" s="23"/>
      <c r="FR39" s="23"/>
      <c r="FS39" s="23"/>
    </row>
    <row r="40" spans="1:189" ht="14.5" customHeight="1" x14ac:dyDescent="0.35">
      <c r="A40" s="23"/>
      <c r="B40" s="23"/>
      <c r="C40" s="94"/>
      <c r="D40" s="94"/>
      <c r="E40" s="94"/>
      <c r="F40" s="94"/>
      <c r="G40" s="23"/>
      <c r="H40" s="37"/>
      <c r="I40" s="37"/>
      <c r="J40" s="37"/>
      <c r="K40" s="37"/>
      <c r="L40" s="37"/>
      <c r="M40" s="37"/>
      <c r="N40" s="37"/>
      <c r="O40" s="23"/>
      <c r="P40" s="23"/>
      <c r="Q40" s="23"/>
      <c r="R40" s="23"/>
      <c r="S40" s="23"/>
      <c r="T40" s="23"/>
      <c r="U40" s="23"/>
      <c r="V40" s="23"/>
      <c r="W40" s="23"/>
      <c r="X40" s="23"/>
      <c r="Y40" s="23"/>
      <c r="Z40" s="23"/>
      <c r="AA40" s="23"/>
      <c r="AB40" s="94"/>
      <c r="AC40" s="94"/>
      <c r="AD40" s="94"/>
      <c r="AE40" s="94"/>
      <c r="AF40" s="23"/>
      <c r="AG40" s="37"/>
      <c r="AH40" s="37"/>
      <c r="AI40" s="37"/>
      <c r="AJ40" s="37"/>
      <c r="AK40" s="37"/>
      <c r="AL40" s="37"/>
      <c r="AM40" s="37"/>
      <c r="AN40" s="23"/>
      <c r="AO40" s="23"/>
      <c r="AP40" s="23"/>
      <c r="AQ40" s="23"/>
      <c r="AR40" s="23"/>
      <c r="AS40" s="23"/>
      <c r="AT40" s="23"/>
      <c r="AU40" s="23"/>
      <c r="AV40" s="23"/>
      <c r="AW40" s="23"/>
      <c r="AX40" s="23"/>
      <c r="AY40" s="23"/>
      <c r="AZ40" s="23"/>
      <c r="BA40" s="94"/>
      <c r="BB40" s="94"/>
      <c r="BC40" s="94"/>
      <c r="BD40" s="94"/>
      <c r="BE40" s="23"/>
      <c r="BF40" s="37"/>
      <c r="BG40" s="37"/>
      <c r="BH40" s="37"/>
      <c r="BI40" s="37"/>
      <c r="BJ40" s="37"/>
      <c r="BK40" s="37"/>
      <c r="BL40" s="37"/>
      <c r="BM40" s="23"/>
      <c r="BN40" s="23"/>
      <c r="BO40" s="23"/>
      <c r="BP40" s="23"/>
      <c r="BQ40" s="23"/>
      <c r="BR40" s="23"/>
      <c r="BS40" s="23"/>
      <c r="BT40" s="23"/>
      <c r="BU40" s="23"/>
      <c r="BV40" s="23"/>
      <c r="BW40" s="23"/>
      <c r="BX40" s="23"/>
      <c r="BY40" s="23"/>
      <c r="BZ40" s="94"/>
      <c r="CA40" s="94"/>
      <c r="CB40" s="94"/>
      <c r="CC40" s="94"/>
      <c r="CD40" s="23"/>
      <c r="CE40" s="37"/>
      <c r="CF40" s="37"/>
      <c r="CG40" s="37"/>
      <c r="CH40" s="37"/>
      <c r="CI40" s="37"/>
      <c r="CJ40" s="37"/>
      <c r="CK40" s="37"/>
      <c r="CL40" s="23"/>
      <c r="CM40" s="23"/>
      <c r="CN40" s="23"/>
      <c r="CO40" s="23"/>
      <c r="CP40" s="23"/>
      <c r="CQ40" s="23"/>
      <c r="CR40" s="23"/>
      <c r="CS40" s="23"/>
      <c r="CT40" s="23"/>
      <c r="CU40" s="23"/>
      <c r="CV40" s="23"/>
      <c r="CW40" s="23"/>
      <c r="CX40" s="23"/>
      <c r="CY40" s="94"/>
      <c r="CZ40" s="94"/>
      <c r="DA40" s="94"/>
      <c r="DB40" s="94"/>
      <c r="DC40" s="23"/>
      <c r="DD40" s="37"/>
      <c r="DE40" s="37"/>
      <c r="DF40" s="37"/>
      <c r="DG40" s="37"/>
      <c r="DH40" s="37"/>
      <c r="DI40" s="37"/>
      <c r="DJ40" s="37"/>
      <c r="DK40" s="23"/>
      <c r="DL40" s="23"/>
      <c r="DM40" s="23"/>
      <c r="DN40" s="23"/>
      <c r="DO40" s="23"/>
      <c r="DP40" s="23"/>
      <c r="DQ40" s="23"/>
      <c r="DR40" s="23"/>
      <c r="DS40" s="23"/>
      <c r="DT40" s="23"/>
      <c r="DU40" s="23"/>
      <c r="DV40" s="23"/>
      <c r="DW40" s="23"/>
      <c r="DX40" s="94"/>
      <c r="DY40" s="94"/>
      <c r="DZ40" s="94"/>
      <c r="EA40" s="94"/>
      <c r="EB40" s="23"/>
      <c r="EC40" s="37"/>
      <c r="ED40" s="37"/>
      <c r="EE40" s="37"/>
      <c r="EF40" s="37"/>
      <c r="EG40" s="37"/>
      <c r="EH40" s="37"/>
      <c r="EI40" s="37"/>
      <c r="EJ40" s="23"/>
      <c r="EK40" s="23"/>
      <c r="EL40" s="23"/>
      <c r="EM40" s="23"/>
      <c r="EN40" s="23"/>
      <c r="EO40" s="23"/>
      <c r="EP40" s="23"/>
      <c r="EQ40" s="23"/>
      <c r="ER40" s="23"/>
      <c r="ES40" s="23"/>
      <c r="ET40" s="23"/>
      <c r="EU40" s="23"/>
      <c r="EV40" s="23"/>
      <c r="EW40" s="94"/>
      <c r="EX40" s="94"/>
      <c r="EY40" s="94"/>
      <c r="EZ40" s="94"/>
      <c r="FA40" s="23"/>
      <c r="FB40" s="37"/>
      <c r="FC40" s="37"/>
      <c r="FD40" s="37"/>
      <c r="FE40" s="37"/>
      <c r="FF40" s="37"/>
      <c r="FG40" s="37"/>
      <c r="FH40" s="37"/>
      <c r="FI40" s="23"/>
      <c r="FJ40" s="23"/>
      <c r="FK40" s="23"/>
      <c r="FL40" s="23"/>
      <c r="FM40" s="23"/>
      <c r="FN40" s="23"/>
      <c r="FO40" s="23"/>
      <c r="FP40" s="23"/>
      <c r="FQ40" s="23"/>
      <c r="FR40" s="23"/>
      <c r="FS40" s="23"/>
    </row>
    <row r="41" spans="1:189" ht="14.5" customHeight="1" x14ac:dyDescent="0.35">
      <c r="A41" s="23"/>
      <c r="B41" s="23"/>
      <c r="C41" s="94"/>
      <c r="D41" s="94"/>
      <c r="E41" s="94"/>
      <c r="F41" s="94"/>
      <c r="G41" s="23"/>
      <c r="H41" s="37"/>
      <c r="I41" s="37"/>
      <c r="J41" s="37"/>
      <c r="K41" s="37"/>
      <c r="L41" s="37"/>
      <c r="M41" s="37"/>
      <c r="N41" s="37"/>
      <c r="O41" s="37"/>
      <c r="P41" s="37"/>
      <c r="Q41" s="23"/>
      <c r="R41" s="23"/>
      <c r="S41" s="23"/>
      <c r="T41" s="23"/>
      <c r="U41" s="23"/>
      <c r="V41" s="23"/>
      <c r="W41" s="23"/>
      <c r="X41" s="23"/>
      <c r="Y41" s="23"/>
      <c r="Z41" s="23"/>
      <c r="AA41" s="23"/>
      <c r="AB41" s="94"/>
      <c r="AC41" s="94"/>
      <c r="AD41" s="94"/>
      <c r="AE41" s="94"/>
      <c r="AF41" s="23"/>
      <c r="AG41" s="37"/>
      <c r="AH41" s="37"/>
      <c r="AI41" s="37"/>
      <c r="AJ41" s="37"/>
      <c r="AK41" s="37"/>
      <c r="AL41" s="37"/>
      <c r="AM41" s="37"/>
      <c r="AN41" s="37"/>
      <c r="AO41" s="37"/>
      <c r="AP41" s="23"/>
      <c r="AQ41" s="23"/>
      <c r="AR41" s="23"/>
      <c r="AS41" s="23"/>
      <c r="AT41" s="23"/>
      <c r="AU41" s="23"/>
      <c r="AV41" s="23"/>
      <c r="AW41" s="23"/>
      <c r="AX41" s="23"/>
      <c r="AY41" s="23"/>
      <c r="AZ41" s="23"/>
      <c r="BA41" s="94"/>
      <c r="BB41" s="94"/>
      <c r="BC41" s="94"/>
      <c r="BD41" s="94"/>
      <c r="BE41" s="23"/>
      <c r="BF41" s="37"/>
      <c r="BG41" s="37"/>
      <c r="BH41" s="37"/>
      <c r="BI41" s="37"/>
      <c r="BJ41" s="37"/>
      <c r="BK41" s="37"/>
      <c r="BL41" s="37"/>
      <c r="BM41" s="37"/>
      <c r="BN41" s="37"/>
      <c r="BO41" s="23"/>
      <c r="BP41" s="23"/>
      <c r="BQ41" s="23"/>
      <c r="BR41" s="23"/>
      <c r="BS41" s="23"/>
      <c r="BT41" s="23"/>
      <c r="BU41" s="23"/>
      <c r="BV41" s="23"/>
      <c r="BW41" s="23"/>
      <c r="BX41" s="23"/>
      <c r="BY41" s="23"/>
      <c r="BZ41" s="94"/>
      <c r="CA41" s="94"/>
      <c r="CB41" s="94"/>
      <c r="CC41" s="94"/>
      <c r="CD41" s="23"/>
      <c r="CE41" s="37"/>
      <c r="CF41" s="37"/>
      <c r="CG41" s="37"/>
      <c r="CH41" s="37"/>
      <c r="CI41" s="37"/>
      <c r="CJ41" s="37"/>
      <c r="CK41" s="37"/>
      <c r="CL41" s="37"/>
      <c r="CM41" s="37"/>
      <c r="CN41" s="23"/>
      <c r="CO41" s="23"/>
      <c r="CP41" s="23"/>
      <c r="CQ41" s="23"/>
      <c r="CR41" s="23"/>
      <c r="CS41" s="23"/>
      <c r="CT41" s="23"/>
      <c r="CU41" s="23"/>
      <c r="CV41" s="23"/>
      <c r="CW41" s="23"/>
      <c r="CX41" s="23"/>
      <c r="CY41" s="94"/>
      <c r="CZ41" s="94"/>
      <c r="DA41" s="94"/>
      <c r="DB41" s="94"/>
      <c r="DC41" s="23"/>
      <c r="DD41" s="37"/>
      <c r="DE41" s="37"/>
      <c r="DF41" s="37"/>
      <c r="DG41" s="37"/>
      <c r="DH41" s="37"/>
      <c r="DI41" s="37"/>
      <c r="DJ41" s="37"/>
      <c r="DK41" s="37"/>
      <c r="DL41" s="37"/>
      <c r="DM41" s="23"/>
      <c r="DN41" s="23"/>
      <c r="DO41" s="23"/>
      <c r="DP41" s="23"/>
      <c r="DQ41" s="23"/>
      <c r="DR41" s="23"/>
      <c r="DS41" s="23"/>
      <c r="DT41" s="23"/>
      <c r="DU41" s="23"/>
      <c r="DV41" s="23"/>
      <c r="DW41" s="23"/>
      <c r="DX41" s="94"/>
      <c r="DY41" s="94"/>
      <c r="DZ41" s="94"/>
      <c r="EA41" s="94"/>
      <c r="EB41" s="23"/>
      <c r="EC41" s="37"/>
      <c r="ED41" s="37"/>
      <c r="EE41" s="37"/>
      <c r="EF41" s="37"/>
      <c r="EG41" s="37"/>
      <c r="EH41" s="37"/>
      <c r="EI41" s="37"/>
      <c r="EJ41" s="37"/>
      <c r="EK41" s="37"/>
      <c r="EL41" s="23"/>
      <c r="EM41" s="23"/>
      <c r="EN41" s="23"/>
      <c r="EO41" s="23"/>
      <c r="EP41" s="23"/>
      <c r="EQ41" s="23"/>
      <c r="ER41" s="23"/>
      <c r="ES41" s="23"/>
      <c r="ET41" s="23"/>
      <c r="EU41" s="23"/>
      <c r="EV41" s="23"/>
      <c r="EW41" s="94"/>
      <c r="EX41" s="94"/>
      <c r="EY41" s="94"/>
      <c r="EZ41" s="94"/>
      <c r="FA41" s="23"/>
      <c r="FB41" s="37"/>
      <c r="FC41" s="37"/>
      <c r="FD41" s="37"/>
      <c r="FE41" s="37"/>
      <c r="FF41" s="37"/>
      <c r="FG41" s="37"/>
      <c r="FH41" s="37"/>
      <c r="FI41" s="37"/>
      <c r="FJ41" s="37"/>
      <c r="FK41" s="23"/>
      <c r="FL41" s="23"/>
      <c r="FM41" s="23"/>
      <c r="FN41" s="23"/>
      <c r="FO41" s="23"/>
      <c r="FP41" s="23"/>
      <c r="FQ41" s="23"/>
      <c r="FR41" s="23"/>
      <c r="FS41" s="23"/>
    </row>
    <row r="42" spans="1:189" ht="15" customHeight="1" thickBot="1" x14ac:dyDescent="0.4">
      <c r="A42" s="23"/>
      <c r="B42" s="23"/>
      <c r="C42" s="95"/>
      <c r="D42" s="95"/>
      <c r="E42" s="95"/>
      <c r="F42" s="95"/>
      <c r="G42" s="23"/>
      <c r="H42" s="37"/>
      <c r="I42" s="37"/>
      <c r="J42" s="37"/>
      <c r="K42" s="37"/>
      <c r="L42" s="37"/>
      <c r="M42" s="37"/>
      <c r="N42" s="37"/>
      <c r="O42" s="37"/>
      <c r="P42" s="37"/>
      <c r="Q42" s="23"/>
      <c r="R42" s="23"/>
      <c r="S42" s="23"/>
      <c r="T42" s="23"/>
      <c r="U42" s="23"/>
      <c r="V42" s="23"/>
      <c r="W42" s="23"/>
      <c r="X42" s="23"/>
      <c r="Y42" s="23"/>
      <c r="Z42" s="23"/>
      <c r="AA42" s="23"/>
      <c r="AB42" s="95"/>
      <c r="AC42" s="95"/>
      <c r="AD42" s="95"/>
      <c r="AE42" s="95"/>
      <c r="AF42" s="23"/>
      <c r="AG42" s="37"/>
      <c r="AH42" s="37"/>
      <c r="AI42" s="37"/>
      <c r="AJ42" s="37"/>
      <c r="AK42" s="37"/>
      <c r="AL42" s="37"/>
      <c r="AM42" s="37"/>
      <c r="AN42" s="37"/>
      <c r="AO42" s="37"/>
      <c r="AP42" s="23"/>
      <c r="AQ42" s="23"/>
      <c r="AR42" s="23"/>
      <c r="AS42" s="23"/>
      <c r="AT42" s="23"/>
      <c r="AU42" s="23"/>
      <c r="AV42" s="23"/>
      <c r="AW42" s="23"/>
      <c r="AX42" s="23"/>
      <c r="AY42" s="23"/>
      <c r="AZ42" s="23"/>
      <c r="BA42" s="95"/>
      <c r="BB42" s="95"/>
      <c r="BC42" s="95"/>
      <c r="BD42" s="95"/>
      <c r="BE42" s="23"/>
      <c r="BF42" s="37"/>
      <c r="BG42" s="37"/>
      <c r="BH42" s="37"/>
      <c r="BI42" s="37"/>
      <c r="BJ42" s="37"/>
      <c r="BK42" s="37"/>
      <c r="BL42" s="37"/>
      <c r="BM42" s="37"/>
      <c r="BN42" s="37"/>
      <c r="BO42" s="23"/>
      <c r="BP42" s="23"/>
      <c r="BQ42" s="23"/>
      <c r="BR42" s="23"/>
      <c r="BS42" s="23"/>
      <c r="BT42" s="23"/>
      <c r="BU42" s="23"/>
      <c r="BV42" s="23"/>
      <c r="BW42" s="23"/>
      <c r="BX42" s="23"/>
      <c r="BY42" s="23"/>
      <c r="BZ42" s="95"/>
      <c r="CA42" s="95"/>
      <c r="CB42" s="95"/>
      <c r="CC42" s="95"/>
      <c r="CD42" s="23"/>
      <c r="CE42" s="37"/>
      <c r="CF42" s="37"/>
      <c r="CG42" s="37"/>
      <c r="CH42" s="37"/>
      <c r="CI42" s="37"/>
      <c r="CJ42" s="37"/>
      <c r="CK42" s="37"/>
      <c r="CL42" s="37"/>
      <c r="CM42" s="37"/>
      <c r="CN42" s="23"/>
      <c r="CO42" s="23"/>
      <c r="CP42" s="23"/>
      <c r="CQ42" s="23"/>
      <c r="CR42" s="23"/>
      <c r="CS42" s="23"/>
      <c r="CT42" s="23"/>
      <c r="CU42" s="23"/>
      <c r="CV42" s="23"/>
      <c r="CW42" s="23"/>
      <c r="CX42" s="23"/>
      <c r="CY42" s="95"/>
      <c r="CZ42" s="95"/>
      <c r="DA42" s="95"/>
      <c r="DB42" s="95"/>
      <c r="DC42" s="23"/>
      <c r="DD42" s="37"/>
      <c r="DE42" s="37"/>
      <c r="DF42" s="37"/>
      <c r="DG42" s="37"/>
      <c r="DH42" s="37"/>
      <c r="DI42" s="37"/>
      <c r="DJ42" s="37"/>
      <c r="DK42" s="37"/>
      <c r="DL42" s="37"/>
      <c r="DM42" s="23"/>
      <c r="DN42" s="23"/>
      <c r="DO42" s="23"/>
      <c r="DP42" s="23"/>
      <c r="DQ42" s="23"/>
      <c r="DR42" s="23"/>
      <c r="DS42" s="23"/>
      <c r="DT42" s="23"/>
      <c r="DU42" s="23"/>
      <c r="DV42" s="23"/>
      <c r="DW42" s="23"/>
      <c r="DX42" s="95"/>
      <c r="DY42" s="95"/>
      <c r="DZ42" s="95"/>
      <c r="EA42" s="95"/>
      <c r="EB42" s="23"/>
      <c r="EC42" s="37"/>
      <c r="ED42" s="37"/>
      <c r="EE42" s="37"/>
      <c r="EF42" s="37"/>
      <c r="EG42" s="37"/>
      <c r="EH42" s="37"/>
      <c r="EI42" s="37"/>
      <c r="EJ42" s="37"/>
      <c r="EK42" s="37"/>
      <c r="EL42" s="23"/>
      <c r="EM42" s="23"/>
      <c r="EN42" s="23"/>
      <c r="EO42" s="23"/>
      <c r="EP42" s="23"/>
      <c r="EQ42" s="23"/>
      <c r="ER42" s="23"/>
      <c r="ES42" s="23"/>
      <c r="ET42" s="23"/>
      <c r="EU42" s="23"/>
      <c r="EV42" s="23"/>
      <c r="EW42" s="95"/>
      <c r="EX42" s="95"/>
      <c r="EY42" s="95"/>
      <c r="EZ42" s="95"/>
      <c r="FA42" s="23"/>
      <c r="FB42" s="37"/>
      <c r="FC42" s="37"/>
      <c r="FD42" s="37"/>
      <c r="FE42" s="37"/>
      <c r="FF42" s="37"/>
      <c r="FG42" s="37"/>
      <c r="FH42" s="37"/>
      <c r="FI42" s="37"/>
      <c r="FJ42" s="37"/>
      <c r="FK42" s="23"/>
      <c r="FL42" s="23"/>
      <c r="FM42" s="23"/>
      <c r="FN42" s="23"/>
      <c r="FO42" s="23"/>
      <c r="FP42" s="23"/>
      <c r="FQ42" s="23"/>
      <c r="FR42" s="23"/>
      <c r="FS42" s="23"/>
    </row>
    <row r="43" spans="1:189" x14ac:dyDescent="0.35">
      <c r="A43" s="23"/>
      <c r="B43" s="23"/>
      <c r="C43" s="23"/>
      <c r="D43" s="23"/>
      <c r="E43" s="23"/>
      <c r="F43" s="23"/>
      <c r="G43" s="23"/>
      <c r="H43" s="37"/>
      <c r="I43" s="37"/>
      <c r="J43" s="37"/>
      <c r="K43" s="37"/>
      <c r="L43" s="37"/>
      <c r="M43" s="37"/>
      <c r="N43" s="37"/>
      <c r="O43" s="37"/>
      <c r="P43" s="37"/>
      <c r="Q43" s="23"/>
      <c r="R43" s="23"/>
      <c r="S43" s="23"/>
      <c r="T43" s="23"/>
      <c r="U43" s="23"/>
      <c r="V43" s="23"/>
      <c r="W43" s="23"/>
      <c r="X43" s="23"/>
      <c r="Y43" s="23"/>
      <c r="Z43" s="23"/>
      <c r="AA43" s="23"/>
      <c r="AB43" s="23"/>
      <c r="AC43" s="23"/>
      <c r="AD43" s="23"/>
      <c r="AE43" s="23"/>
      <c r="AF43" s="23"/>
      <c r="AG43" s="37"/>
      <c r="AH43" s="37"/>
      <c r="AI43" s="37"/>
      <c r="AJ43" s="37"/>
      <c r="AK43" s="37"/>
      <c r="AL43" s="37"/>
      <c r="AM43" s="37"/>
      <c r="AN43" s="37"/>
      <c r="AO43" s="37"/>
      <c r="AP43" s="23"/>
      <c r="AQ43" s="23"/>
      <c r="AR43" s="23"/>
      <c r="AS43" s="23"/>
      <c r="AT43" s="23"/>
      <c r="AU43" s="23"/>
      <c r="AV43" s="23"/>
      <c r="AW43" s="23"/>
      <c r="AX43" s="23"/>
      <c r="AY43" s="23"/>
      <c r="AZ43" s="23"/>
      <c r="BA43" s="23"/>
      <c r="BB43" s="23"/>
      <c r="BC43" s="23"/>
      <c r="BD43" s="23"/>
      <c r="BE43" s="23"/>
      <c r="BF43" s="37"/>
      <c r="BG43" s="37"/>
      <c r="BH43" s="37"/>
      <c r="BI43" s="37"/>
      <c r="BJ43" s="37"/>
      <c r="BK43" s="37"/>
      <c r="BL43" s="37"/>
      <c r="BM43" s="37"/>
      <c r="BN43" s="37"/>
      <c r="BO43" s="23"/>
      <c r="BP43" s="23"/>
      <c r="BQ43" s="23"/>
      <c r="BR43" s="23"/>
      <c r="BS43" s="23"/>
      <c r="BT43" s="23"/>
      <c r="BU43" s="23"/>
      <c r="BV43" s="23"/>
      <c r="BW43" s="23"/>
      <c r="BX43" s="23"/>
      <c r="BY43" s="23"/>
      <c r="BZ43" s="23"/>
      <c r="CA43" s="23"/>
      <c r="CB43" s="23"/>
      <c r="CC43" s="23"/>
      <c r="CD43" s="23"/>
      <c r="CE43" s="37"/>
      <c r="CF43" s="37"/>
      <c r="CG43" s="37"/>
      <c r="CH43" s="37"/>
      <c r="CI43" s="37"/>
      <c r="CJ43" s="37"/>
      <c r="CK43" s="37"/>
      <c r="CL43" s="37"/>
      <c r="CM43" s="37"/>
      <c r="CN43" s="23"/>
      <c r="CO43" s="23"/>
      <c r="CP43" s="23"/>
      <c r="CQ43" s="23"/>
      <c r="CR43" s="23"/>
      <c r="CS43" s="23"/>
      <c r="CT43" s="23"/>
      <c r="CU43" s="23"/>
      <c r="CV43" s="23"/>
      <c r="CW43" s="23"/>
      <c r="CX43" s="23"/>
      <c r="CY43" s="23"/>
      <c r="CZ43" s="23"/>
      <c r="DA43" s="23"/>
      <c r="DB43" s="23"/>
      <c r="DC43" s="23"/>
      <c r="DD43" s="37"/>
      <c r="DE43" s="37"/>
      <c r="DF43" s="37"/>
      <c r="DG43" s="37"/>
      <c r="DH43" s="37"/>
      <c r="DI43" s="37"/>
      <c r="DJ43" s="37"/>
      <c r="DK43" s="37"/>
      <c r="DL43" s="37"/>
      <c r="DM43" s="23"/>
      <c r="DN43" s="23"/>
      <c r="DO43" s="23"/>
      <c r="DP43" s="23"/>
      <c r="DQ43" s="23"/>
      <c r="DR43" s="23"/>
      <c r="DS43" s="23"/>
      <c r="DT43" s="23"/>
      <c r="DU43" s="23"/>
      <c r="DV43" s="23"/>
      <c r="DW43" s="23"/>
      <c r="DX43" s="23"/>
      <c r="DY43" s="23"/>
      <c r="DZ43" s="23"/>
      <c r="EA43" s="23" t="s">
        <v>77</v>
      </c>
      <c r="EB43" s="23"/>
      <c r="EC43" s="37"/>
      <c r="ED43" s="37"/>
      <c r="EE43" s="37"/>
      <c r="EF43" s="37"/>
      <c r="EG43" s="37"/>
      <c r="EH43" s="37"/>
      <c r="EI43" s="37"/>
      <c r="EJ43" s="37"/>
      <c r="EK43" s="37"/>
      <c r="EL43" s="23"/>
      <c r="EM43" s="23"/>
      <c r="EN43" s="23"/>
      <c r="EO43" s="23"/>
      <c r="EP43" s="23"/>
      <c r="EQ43" s="23"/>
      <c r="ER43" s="23"/>
      <c r="ES43" s="23"/>
      <c r="ET43" s="23"/>
      <c r="EU43" s="23"/>
      <c r="EV43" s="23"/>
      <c r="EW43" s="23"/>
      <c r="EX43" s="23"/>
      <c r="EY43" s="23"/>
      <c r="EZ43" s="23"/>
      <c r="FA43" s="23"/>
      <c r="FB43" s="37"/>
      <c r="FC43" s="37"/>
      <c r="FD43" s="37"/>
      <c r="FE43" s="37"/>
      <c r="FF43" s="37"/>
      <c r="FG43" s="37"/>
      <c r="FH43" s="37"/>
      <c r="FI43" s="37"/>
      <c r="FJ43" s="37"/>
      <c r="FK43" s="23"/>
      <c r="FL43" s="23"/>
      <c r="FM43" s="23"/>
      <c r="FN43" s="23"/>
      <c r="FO43" s="23"/>
      <c r="FP43" s="23"/>
      <c r="FQ43" s="23"/>
      <c r="FR43" s="23"/>
      <c r="FS43" s="23"/>
    </row>
    <row r="44" spans="1:189" x14ac:dyDescent="0.35">
      <c r="A44" s="23"/>
      <c r="B44" s="23"/>
      <c r="C44" s="23"/>
      <c r="D44" s="23"/>
      <c r="E44" s="23"/>
      <c r="F44" s="23"/>
      <c r="G44" s="23"/>
      <c r="H44" s="37"/>
      <c r="I44" s="37"/>
      <c r="J44" s="37"/>
      <c r="K44" s="37"/>
      <c r="L44" s="37"/>
      <c r="M44" s="37"/>
      <c r="N44" s="37"/>
      <c r="O44" s="37"/>
      <c r="P44" s="37"/>
      <c r="Q44" s="23"/>
      <c r="R44" s="23"/>
      <c r="S44" s="23"/>
      <c r="T44" s="23"/>
      <c r="U44" s="23"/>
      <c r="V44" s="23"/>
      <c r="W44" s="23"/>
      <c r="X44" s="23"/>
      <c r="Y44" s="23"/>
      <c r="Z44" s="23"/>
      <c r="AA44" s="23"/>
      <c r="AB44" s="23"/>
      <c r="AC44" s="23"/>
      <c r="AD44" s="23"/>
      <c r="AE44" s="23"/>
      <c r="AF44" s="23"/>
      <c r="AG44" s="37"/>
      <c r="AH44" s="37"/>
      <c r="AI44" s="37"/>
      <c r="AJ44" s="37"/>
      <c r="AK44" s="37"/>
      <c r="AL44" s="37"/>
      <c r="AM44" s="37"/>
      <c r="AN44" s="37"/>
      <c r="AO44" s="37"/>
      <c r="AP44" s="23"/>
      <c r="AQ44" s="23"/>
      <c r="AR44" s="23"/>
      <c r="AS44" s="23"/>
      <c r="AT44" s="23"/>
      <c r="AU44" s="23"/>
      <c r="AV44" s="23"/>
      <c r="AW44" s="23"/>
      <c r="AX44" s="23"/>
      <c r="AY44" s="23"/>
      <c r="AZ44" s="23"/>
      <c r="BA44" s="23"/>
      <c r="BB44" s="23"/>
      <c r="BC44" s="23"/>
      <c r="BD44" s="23"/>
      <c r="BE44" s="23"/>
      <c r="BF44" s="37"/>
      <c r="BG44" s="37"/>
      <c r="BH44" s="37"/>
      <c r="BI44" s="37"/>
      <c r="BJ44" s="37"/>
      <c r="BK44" s="37"/>
      <c r="BL44" s="37"/>
      <c r="BM44" s="37"/>
      <c r="BN44" s="37"/>
      <c r="BO44" s="23"/>
      <c r="BP44" s="23"/>
      <c r="BQ44" s="23"/>
      <c r="BR44" s="23"/>
      <c r="BS44" s="23"/>
      <c r="BT44" s="23"/>
      <c r="BU44" s="23"/>
      <c r="BV44" s="23"/>
      <c r="BW44" s="23"/>
      <c r="BX44" s="23"/>
      <c r="BY44" s="23"/>
      <c r="BZ44" s="23"/>
      <c r="CA44" s="23"/>
      <c r="CB44" s="23"/>
      <c r="CC44" s="23"/>
      <c r="CD44" s="23"/>
      <c r="CE44" s="37"/>
      <c r="CF44" s="37"/>
      <c r="CG44" s="37"/>
      <c r="CH44" s="37"/>
      <c r="CI44" s="37"/>
      <c r="CJ44" s="37"/>
      <c r="CK44" s="37"/>
      <c r="CL44" s="37"/>
      <c r="CM44" s="37"/>
      <c r="CN44" s="23"/>
      <c r="CO44" s="23"/>
      <c r="CP44" s="23"/>
      <c r="CQ44" s="23"/>
      <c r="CR44" s="23"/>
      <c r="CS44" s="23"/>
      <c r="CT44" s="23"/>
      <c r="CU44" s="23"/>
      <c r="CV44" s="23"/>
      <c r="CW44" s="23"/>
      <c r="CX44" s="23"/>
      <c r="CY44" s="23"/>
      <c r="CZ44" s="23"/>
      <c r="DA44" s="23"/>
      <c r="DB44" s="23"/>
      <c r="DC44" s="23"/>
      <c r="DD44" s="37"/>
      <c r="DE44" s="37"/>
      <c r="DF44" s="37"/>
      <c r="DG44" s="37"/>
      <c r="DH44" s="37"/>
      <c r="DI44" s="37"/>
      <c r="DJ44" s="37"/>
      <c r="DK44" s="37"/>
      <c r="DL44" s="37"/>
      <c r="DM44" s="23"/>
      <c r="DN44" s="23"/>
      <c r="DO44" s="23"/>
      <c r="DP44" s="23"/>
      <c r="DQ44" s="23"/>
      <c r="DR44" s="23"/>
      <c r="DS44" s="23"/>
      <c r="DT44" s="23"/>
      <c r="DU44" s="23"/>
      <c r="DV44" s="23"/>
      <c r="DW44" s="23"/>
      <c r="DX44" s="23"/>
      <c r="DY44" s="23"/>
      <c r="DZ44" s="23"/>
      <c r="EA44" s="23"/>
      <c r="EB44" s="23"/>
      <c r="EC44" s="37"/>
      <c r="ED44" s="37"/>
      <c r="EE44" s="37"/>
      <c r="EF44" s="37"/>
      <c r="EG44" s="37"/>
      <c r="EH44" s="37"/>
      <c r="EI44" s="37"/>
      <c r="EJ44" s="37"/>
      <c r="EK44" s="37"/>
      <c r="EL44" s="23"/>
      <c r="EM44" s="23"/>
      <c r="EN44" s="23"/>
      <c r="EO44" s="23"/>
      <c r="EP44" s="23"/>
      <c r="EQ44" s="23"/>
      <c r="ER44" s="23"/>
      <c r="ES44" s="23"/>
      <c r="ET44" s="23"/>
      <c r="EU44" s="23"/>
      <c r="EV44" s="23"/>
      <c r="EW44" s="23"/>
      <c r="EX44" s="23"/>
      <c r="EY44" s="23"/>
      <c r="EZ44" s="23"/>
      <c r="FA44" s="23"/>
      <c r="FB44" s="37"/>
      <c r="FC44" s="37"/>
      <c r="FD44" s="37"/>
      <c r="FE44" s="37"/>
      <c r="FF44" s="37"/>
      <c r="FG44" s="37"/>
      <c r="FH44" s="37"/>
      <c r="FI44" s="37"/>
      <c r="FJ44" s="37"/>
      <c r="FK44" s="23"/>
      <c r="FL44" s="23"/>
      <c r="FM44" s="23"/>
      <c r="FN44" s="23"/>
      <c r="FO44" s="23"/>
      <c r="FP44" s="23"/>
      <c r="FQ44" s="23"/>
      <c r="FR44" s="23"/>
      <c r="FS44" s="37"/>
      <c r="FT44" s="37"/>
      <c r="FU44" s="37"/>
      <c r="FV44" s="37"/>
      <c r="FW44" s="37"/>
      <c r="FX44" s="37"/>
      <c r="FY44" s="37"/>
      <c r="FZ44" s="37"/>
      <c r="GA44" s="37"/>
      <c r="GB44" s="23"/>
      <c r="GC44" s="23"/>
      <c r="GD44" s="23"/>
      <c r="GE44" s="23"/>
      <c r="GF44" s="23"/>
      <c r="GG44" s="23"/>
    </row>
    <row r="45" spans="1:189" x14ac:dyDescent="0.35">
      <c r="A45" s="23"/>
      <c r="B45" s="23"/>
      <c r="C45" s="23"/>
      <c r="D45" s="23"/>
      <c r="E45" s="23"/>
      <c r="F45" s="23"/>
      <c r="G45" s="23"/>
      <c r="H45" s="37"/>
      <c r="I45" s="37"/>
      <c r="J45" s="37"/>
      <c r="K45" s="37"/>
      <c r="L45" s="37"/>
      <c r="M45" s="37"/>
      <c r="N45" s="37"/>
      <c r="O45" s="37"/>
      <c r="P45" s="37"/>
      <c r="Q45" s="23"/>
      <c r="R45" s="23"/>
      <c r="S45" s="23"/>
      <c r="T45" s="23"/>
      <c r="U45" s="23"/>
      <c r="V45" s="23"/>
      <c r="W45" s="23"/>
      <c r="X45" s="23"/>
      <c r="Y45" s="23"/>
      <c r="Z45" s="23"/>
      <c r="AA45" s="23"/>
      <c r="AB45" s="23"/>
      <c r="AC45" s="23"/>
      <c r="AD45" s="23"/>
      <c r="AE45" s="23"/>
      <c r="AF45" s="23"/>
      <c r="AG45" s="37"/>
      <c r="AH45" s="37"/>
      <c r="AI45" s="37"/>
      <c r="AJ45" s="37"/>
      <c r="AK45" s="37"/>
      <c r="AL45" s="37"/>
      <c r="AM45" s="37"/>
      <c r="AN45" s="37"/>
      <c r="AO45" s="37"/>
      <c r="AP45" s="23"/>
      <c r="AQ45" s="23"/>
      <c r="AR45" s="23"/>
      <c r="AS45" s="23"/>
      <c r="AT45" s="23"/>
      <c r="AU45" s="23"/>
      <c r="AV45" s="23"/>
      <c r="AW45" s="23"/>
      <c r="AX45" s="23"/>
      <c r="AY45" s="23"/>
      <c r="AZ45" s="23"/>
      <c r="BA45" s="23"/>
      <c r="BB45" s="23"/>
      <c r="BC45" s="23"/>
      <c r="BD45" s="23"/>
      <c r="BE45" s="23"/>
      <c r="BF45" s="37"/>
      <c r="BG45" s="37"/>
      <c r="BH45" s="37"/>
      <c r="BI45" s="37"/>
      <c r="BJ45" s="37"/>
      <c r="BK45" s="37"/>
      <c r="BL45" s="37"/>
      <c r="BM45" s="37"/>
      <c r="BN45" s="37"/>
      <c r="BO45" s="23"/>
      <c r="BP45" s="23"/>
      <c r="BQ45" s="23"/>
      <c r="BR45" s="23"/>
      <c r="BS45" s="23"/>
      <c r="BT45" s="23"/>
      <c r="BU45" s="23"/>
      <c r="BV45" s="23"/>
      <c r="BW45" s="23"/>
      <c r="BX45" s="23"/>
      <c r="BY45" s="23"/>
      <c r="BZ45" s="23"/>
      <c r="CA45" s="23"/>
      <c r="CB45" s="23"/>
      <c r="CC45" s="23"/>
      <c r="CD45" s="23"/>
      <c r="CE45" s="37"/>
      <c r="CF45" s="37"/>
      <c r="CG45" s="37"/>
      <c r="CH45" s="37"/>
      <c r="CI45" s="37"/>
      <c r="CJ45" s="37"/>
      <c r="CK45" s="37"/>
      <c r="CL45" s="37"/>
      <c r="CM45" s="37"/>
      <c r="CN45" s="23"/>
      <c r="CO45" s="23"/>
      <c r="CP45" s="23"/>
      <c r="CQ45" s="23"/>
      <c r="CR45" s="23"/>
      <c r="CS45" s="23"/>
      <c r="CT45" s="23"/>
      <c r="CU45" s="23"/>
      <c r="CV45" s="23"/>
      <c r="CW45" s="23"/>
      <c r="CX45" s="23"/>
      <c r="CY45" s="23"/>
      <c r="CZ45" s="23"/>
      <c r="DA45" s="23"/>
      <c r="DB45" s="23"/>
      <c r="DC45" s="23"/>
      <c r="DD45" s="37"/>
      <c r="DE45" s="37"/>
      <c r="DF45" s="37"/>
      <c r="DG45" s="37"/>
      <c r="DH45" s="37"/>
      <c r="DI45" s="37"/>
      <c r="DJ45" s="37"/>
      <c r="DK45" s="37"/>
      <c r="DL45" s="37"/>
      <c r="DM45" s="23"/>
      <c r="DN45" s="23"/>
      <c r="DO45" s="23"/>
      <c r="DP45" s="23"/>
      <c r="DQ45" s="23"/>
      <c r="DR45" s="23"/>
      <c r="DS45" s="23"/>
      <c r="DT45" s="23"/>
      <c r="DU45" s="23"/>
      <c r="DV45" s="23"/>
      <c r="DW45" s="23"/>
      <c r="DX45" s="23"/>
      <c r="DY45" s="23"/>
      <c r="DZ45" s="23"/>
      <c r="EA45" s="23"/>
      <c r="EB45" s="23"/>
      <c r="EC45" s="37"/>
      <c r="ED45" s="37"/>
      <c r="EE45" s="37"/>
      <c r="EF45" s="37"/>
      <c r="EG45" s="37"/>
      <c r="EH45" s="37"/>
      <c r="EI45" s="37"/>
      <c r="EJ45" s="37"/>
      <c r="EK45" s="37"/>
      <c r="EL45" s="23"/>
      <c r="EM45" s="23"/>
      <c r="EN45" s="23"/>
      <c r="EO45" s="23"/>
      <c r="EP45" s="23"/>
      <c r="EQ45" s="23"/>
      <c r="ER45" s="23"/>
      <c r="ES45" s="23"/>
      <c r="ET45" s="23"/>
      <c r="EU45" s="23"/>
      <c r="EV45" s="23"/>
      <c r="EW45" s="23"/>
      <c r="EX45" s="23"/>
      <c r="EY45" s="23"/>
      <c r="EZ45" s="23"/>
      <c r="FA45" s="23"/>
      <c r="FB45" s="37"/>
      <c r="FC45" s="37"/>
      <c r="FD45" s="37"/>
      <c r="FE45" s="37"/>
      <c r="FF45" s="37"/>
      <c r="FG45" s="37"/>
      <c r="FH45" s="37"/>
      <c r="FI45" s="37"/>
      <c r="FJ45" s="37"/>
      <c r="FK45" s="23"/>
      <c r="FL45" s="23"/>
      <c r="FM45" s="2"/>
      <c r="FN45" s="2"/>
      <c r="FO45" s="2"/>
      <c r="FP45" s="2"/>
      <c r="FQ45" s="2"/>
      <c r="FR45" s="2"/>
      <c r="FS45" s="2"/>
      <c r="FT45" s="2"/>
      <c r="FU45" s="2"/>
      <c r="FV45" s="2"/>
      <c r="FW45" s="2"/>
      <c r="FX45" s="2"/>
      <c r="FY45" s="2"/>
      <c r="FZ45" s="2"/>
      <c r="GA45" s="2"/>
      <c r="GB45" s="2"/>
      <c r="GC45" s="2"/>
      <c r="GD45" s="2"/>
      <c r="GE45" s="2"/>
      <c r="GF45" s="2"/>
      <c r="GG45" s="2"/>
    </row>
    <row r="46" spans="1:189" x14ac:dyDescent="0.35">
      <c r="A46" s="23"/>
      <c r="B46" s="23"/>
      <c r="C46" s="23"/>
      <c r="D46" s="23"/>
      <c r="E46" s="23"/>
      <c r="F46" s="23"/>
      <c r="G46" s="23"/>
      <c r="H46" s="37"/>
      <c r="I46" s="37"/>
      <c r="J46" s="37"/>
      <c r="K46" s="37"/>
      <c r="L46" s="37"/>
      <c r="M46" s="37"/>
      <c r="N46" s="37"/>
      <c r="O46" s="37"/>
      <c r="P46" s="37"/>
      <c r="Q46" s="23"/>
      <c r="R46" s="23"/>
      <c r="S46" s="23"/>
      <c r="T46" s="23"/>
      <c r="U46" s="23"/>
      <c r="V46" s="23"/>
      <c r="W46" s="23"/>
      <c r="X46" s="23"/>
      <c r="Y46" s="23"/>
      <c r="Z46" s="23"/>
      <c r="AA46" s="23"/>
      <c r="AB46" s="23"/>
      <c r="AC46" s="23"/>
      <c r="AD46" s="23"/>
      <c r="AE46" s="23"/>
      <c r="AF46" s="23"/>
      <c r="AG46" s="37"/>
      <c r="AH46" s="37"/>
      <c r="AI46" s="37"/>
      <c r="AJ46" s="37"/>
      <c r="AK46" s="37"/>
      <c r="AL46" s="37"/>
      <c r="AM46" s="37"/>
      <c r="AN46" s="37"/>
      <c r="AO46" s="37"/>
      <c r="AP46" s="23"/>
      <c r="AQ46" s="23"/>
      <c r="AR46" s="23"/>
      <c r="AS46" s="23"/>
      <c r="AT46" s="23"/>
      <c r="AU46" s="23"/>
      <c r="AV46" s="23"/>
      <c r="AW46" s="23"/>
      <c r="AX46" s="23"/>
      <c r="AY46" s="23"/>
      <c r="AZ46" s="23"/>
      <c r="BA46" s="23"/>
      <c r="BB46" s="23"/>
      <c r="BC46" s="23"/>
      <c r="BD46" s="23"/>
      <c r="BE46" s="23"/>
      <c r="BF46" s="37"/>
      <c r="BG46" s="37"/>
      <c r="BH46" s="37"/>
      <c r="BI46" s="37"/>
      <c r="BJ46" s="37"/>
      <c r="BK46" s="37"/>
      <c r="BL46" s="37"/>
      <c r="BM46" s="37"/>
      <c r="BN46" s="37"/>
      <c r="BO46" s="23"/>
      <c r="BP46" s="23"/>
      <c r="BQ46" s="23"/>
      <c r="BR46" s="23"/>
      <c r="BS46" s="23"/>
      <c r="BT46" s="23"/>
      <c r="BU46" s="23"/>
      <c r="BV46" s="23"/>
      <c r="BW46" s="23"/>
      <c r="BX46" s="23"/>
      <c r="BY46" s="23"/>
      <c r="BZ46" s="23"/>
      <c r="CA46" s="23"/>
      <c r="CB46" s="23"/>
      <c r="CC46" s="23"/>
      <c r="CD46" s="23"/>
      <c r="CE46" s="37"/>
      <c r="CF46" s="37"/>
      <c r="CG46" s="37"/>
      <c r="CH46" s="37"/>
      <c r="CI46" s="37"/>
      <c r="CJ46" s="37"/>
      <c r="CK46" s="37"/>
      <c r="CL46" s="37"/>
      <c r="CM46" s="37"/>
      <c r="CN46" s="23"/>
      <c r="CO46" s="23"/>
      <c r="CP46" s="23"/>
      <c r="CQ46" s="23"/>
      <c r="CR46" s="23"/>
      <c r="CS46" s="23"/>
      <c r="CT46" s="23"/>
      <c r="CU46" s="23"/>
      <c r="CV46" s="23"/>
      <c r="CW46" s="23"/>
      <c r="CX46" s="23"/>
      <c r="CY46" s="23"/>
      <c r="CZ46" s="23"/>
      <c r="DA46" s="23"/>
      <c r="DB46" s="23"/>
      <c r="DC46" s="23"/>
      <c r="DD46" s="37"/>
      <c r="DE46" s="37"/>
      <c r="DF46" s="37"/>
      <c r="DG46" s="37"/>
      <c r="DH46" s="37"/>
      <c r="DI46" s="37"/>
      <c r="DJ46" s="37"/>
      <c r="DK46" s="37"/>
      <c r="DL46" s="37"/>
      <c r="DM46" s="23"/>
      <c r="DN46" s="23"/>
      <c r="DO46" s="23"/>
      <c r="DP46" s="23"/>
      <c r="DQ46" s="23"/>
      <c r="DR46" s="23"/>
      <c r="DS46" s="23"/>
      <c r="DT46" s="23"/>
      <c r="DU46" s="23"/>
      <c r="DV46" s="23"/>
      <c r="DW46" s="23"/>
      <c r="DX46" s="23"/>
      <c r="DY46" s="23"/>
      <c r="DZ46" s="23"/>
      <c r="EA46" s="23"/>
      <c r="EB46" s="23"/>
      <c r="EC46" s="37"/>
      <c r="ED46" s="37"/>
      <c r="EE46" s="37"/>
      <c r="EF46" s="37"/>
      <c r="EG46" s="37"/>
      <c r="EH46" s="37"/>
      <c r="EI46" s="37"/>
      <c r="EJ46" s="37"/>
      <c r="EK46" s="37"/>
      <c r="EL46" s="23"/>
      <c r="EM46" s="23"/>
      <c r="EN46" s="23"/>
      <c r="EO46" s="23"/>
      <c r="EP46" s="23"/>
      <c r="EQ46" s="23"/>
      <c r="ER46" s="23"/>
      <c r="ES46" s="23"/>
      <c r="ET46" s="23"/>
      <c r="EU46" s="23"/>
      <c r="EV46" s="23"/>
      <c r="EW46" s="23"/>
      <c r="EX46" s="23"/>
      <c r="EY46" s="23"/>
      <c r="EZ46" s="23"/>
      <c r="FA46" s="23"/>
      <c r="FB46" s="37"/>
      <c r="FC46" s="37"/>
      <c r="FD46" s="37"/>
      <c r="FE46" s="37"/>
      <c r="FF46" s="37"/>
      <c r="FG46" s="37"/>
      <c r="FH46" s="37"/>
      <c r="FI46" s="37"/>
      <c r="FJ46" s="37"/>
      <c r="FK46" s="23"/>
      <c r="FL46" s="23"/>
      <c r="FM46" s="2"/>
      <c r="FN46" s="2"/>
      <c r="FO46" s="2"/>
      <c r="FP46" s="2"/>
      <c r="FQ46" s="2"/>
      <c r="FR46" s="2"/>
      <c r="FS46" s="2"/>
      <c r="FT46" s="2"/>
      <c r="FU46" s="2"/>
      <c r="FV46" s="2"/>
      <c r="FW46" s="2"/>
      <c r="FX46" s="2"/>
      <c r="FY46" s="2"/>
      <c r="FZ46" s="2"/>
      <c r="GA46" s="2"/>
      <c r="GB46" s="2"/>
      <c r="GC46" s="2"/>
      <c r="GD46" s="2"/>
      <c r="GE46" s="2"/>
      <c r="GF46" s="2"/>
      <c r="GG46" s="2"/>
    </row>
    <row r="47" spans="1:189" x14ac:dyDescent="0.35">
      <c r="A47" s="23"/>
      <c r="B47" s="23"/>
      <c r="C47" s="23"/>
      <c r="D47" s="23"/>
      <c r="E47" s="23"/>
      <c r="F47" s="23"/>
      <c r="G47" s="23"/>
      <c r="H47" s="37"/>
      <c r="I47" s="37"/>
      <c r="J47" s="37"/>
      <c r="K47" s="37"/>
      <c r="L47" s="37"/>
      <c r="M47" s="37"/>
      <c r="N47" s="37"/>
      <c r="O47" s="37"/>
      <c r="P47" s="37"/>
      <c r="Q47" s="23"/>
      <c r="R47" s="23"/>
      <c r="S47" s="23"/>
      <c r="T47" s="23"/>
      <c r="U47" s="23"/>
      <c r="V47" s="23"/>
      <c r="W47" s="23"/>
      <c r="X47" s="23"/>
      <c r="Y47" s="23"/>
      <c r="Z47" s="23"/>
      <c r="AA47" s="23"/>
      <c r="AB47" s="23"/>
      <c r="AC47" s="23"/>
      <c r="AD47" s="23"/>
      <c r="AE47" s="23"/>
      <c r="AF47" s="23"/>
      <c r="AG47" s="37"/>
      <c r="AH47" s="37"/>
      <c r="AI47" s="37"/>
      <c r="AJ47" s="37"/>
      <c r="AK47" s="37"/>
      <c r="AL47" s="37"/>
      <c r="AM47" s="37"/>
      <c r="AN47" s="37"/>
      <c r="AO47" s="37"/>
      <c r="AP47" s="23"/>
      <c r="AQ47" s="23"/>
      <c r="AR47" s="23"/>
      <c r="AS47" s="23"/>
      <c r="AT47" s="23"/>
      <c r="AU47" s="23"/>
      <c r="AV47" s="23"/>
      <c r="AW47" s="23"/>
      <c r="AX47" s="23"/>
      <c r="AY47" s="23"/>
      <c r="AZ47" s="23"/>
      <c r="BA47" s="23"/>
      <c r="BB47" s="23"/>
      <c r="BC47" s="23"/>
      <c r="BD47" s="23"/>
      <c r="BE47" s="23"/>
      <c r="BF47" s="37"/>
      <c r="BG47" s="37"/>
      <c r="BH47" s="37"/>
      <c r="BI47" s="37"/>
      <c r="BJ47" s="37"/>
      <c r="BK47" s="37"/>
      <c r="BL47" s="37"/>
      <c r="BM47" s="37"/>
      <c r="BN47" s="37"/>
      <c r="BO47" s="23"/>
      <c r="BP47" s="23"/>
      <c r="BQ47" s="23"/>
      <c r="BR47" s="23"/>
      <c r="BS47" s="23"/>
      <c r="BT47" s="23"/>
      <c r="BU47" s="23"/>
      <c r="BV47" s="23"/>
      <c r="BW47" s="23"/>
      <c r="BX47" s="23"/>
      <c r="BY47" s="23"/>
      <c r="BZ47" s="23"/>
      <c r="CA47" s="23"/>
      <c r="CB47" s="23"/>
      <c r="CC47" s="23"/>
      <c r="CD47" s="23"/>
      <c r="CE47" s="37"/>
      <c r="CF47" s="37"/>
      <c r="CG47" s="37"/>
      <c r="CH47" s="37"/>
      <c r="CI47" s="37"/>
      <c r="CJ47" s="37"/>
      <c r="CK47" s="37"/>
      <c r="CL47" s="37"/>
      <c r="CM47" s="37"/>
      <c r="CN47" s="23"/>
      <c r="CO47" s="23"/>
      <c r="CP47" s="23"/>
      <c r="CQ47" s="23"/>
      <c r="CR47" s="23"/>
      <c r="CS47" s="23"/>
      <c r="CT47" s="23"/>
      <c r="CU47" s="23"/>
      <c r="CV47" s="23"/>
      <c r="CW47" s="23"/>
      <c r="CX47" s="23"/>
      <c r="CY47" s="23"/>
      <c r="CZ47" s="23"/>
      <c r="DA47" s="23"/>
      <c r="DB47" s="23"/>
      <c r="DC47" s="23"/>
      <c r="DD47" s="37"/>
      <c r="DE47" s="37"/>
      <c r="DF47" s="37"/>
      <c r="DG47" s="37"/>
      <c r="DH47" s="37"/>
      <c r="DI47" s="37"/>
      <c r="DJ47" s="37"/>
      <c r="DK47" s="37"/>
      <c r="DL47" s="37"/>
      <c r="DM47" s="23"/>
      <c r="DN47" s="23"/>
      <c r="DO47" s="23"/>
      <c r="DP47" s="23"/>
      <c r="DQ47" s="23"/>
      <c r="DR47" s="23"/>
      <c r="DS47" s="23"/>
      <c r="DT47" s="23"/>
      <c r="DU47" s="23"/>
      <c r="DV47" s="23"/>
      <c r="DW47" s="23"/>
      <c r="DX47" s="23"/>
      <c r="DY47" s="23"/>
      <c r="DZ47" s="23"/>
      <c r="EA47" s="23"/>
      <c r="EB47" s="23"/>
      <c r="EC47" s="37"/>
      <c r="ED47" s="37"/>
      <c r="EE47" s="37"/>
      <c r="EF47" s="37"/>
      <c r="EG47" s="37"/>
      <c r="EH47" s="37"/>
      <c r="EI47" s="37"/>
      <c r="EJ47" s="37"/>
      <c r="EK47" s="37"/>
      <c r="EL47" s="23"/>
      <c r="EM47" s="23"/>
      <c r="EN47" s="23"/>
      <c r="EO47" s="23"/>
      <c r="EP47" s="23"/>
      <c r="EQ47" s="23"/>
      <c r="ER47" s="23"/>
      <c r="ES47" s="23"/>
      <c r="ET47" s="23"/>
      <c r="EU47" s="23"/>
      <c r="EV47" s="23"/>
      <c r="EW47" s="23"/>
      <c r="EX47" s="23"/>
      <c r="EY47" s="23"/>
      <c r="EZ47" s="23"/>
      <c r="FA47" s="23"/>
      <c r="FB47" s="37"/>
      <c r="FC47" s="37"/>
      <c r="FD47" s="37"/>
      <c r="FE47" s="37"/>
      <c r="FF47" s="37"/>
      <c r="FG47" s="37"/>
      <c r="FH47" s="37"/>
      <c r="FI47" s="37"/>
      <c r="FJ47" s="37"/>
      <c r="FK47" s="23"/>
      <c r="FL47" s="23"/>
      <c r="FM47" s="2"/>
      <c r="FN47" s="2"/>
      <c r="FO47" s="2"/>
      <c r="FP47" s="2"/>
      <c r="FQ47" s="2"/>
      <c r="FR47" s="2"/>
      <c r="FS47" s="2"/>
      <c r="FT47" s="2"/>
      <c r="FU47" s="2"/>
      <c r="FV47" s="2"/>
      <c r="FW47" s="2"/>
      <c r="FX47" s="2"/>
      <c r="FY47" s="2"/>
      <c r="FZ47" s="2"/>
      <c r="GA47" s="2"/>
      <c r="GB47" s="2"/>
      <c r="GC47" s="2"/>
      <c r="GD47" s="2"/>
      <c r="GE47" s="2"/>
      <c r="GF47" s="2"/>
      <c r="GG47" s="2"/>
    </row>
    <row r="48" spans="1:189" x14ac:dyDescent="0.35">
      <c r="A48" s="23"/>
      <c r="B48" s="23"/>
      <c r="C48" s="23"/>
      <c r="D48" s="23"/>
      <c r="E48" s="23"/>
      <c r="F48" s="23"/>
      <c r="G48" s="23"/>
      <c r="H48" s="37"/>
      <c r="I48" s="37"/>
      <c r="J48" s="37"/>
      <c r="K48" s="37"/>
      <c r="L48" s="37"/>
      <c r="M48" s="37"/>
      <c r="N48" s="37"/>
      <c r="O48" s="37"/>
      <c r="P48" s="37"/>
      <c r="Q48" s="23"/>
      <c r="R48" s="23"/>
      <c r="S48" s="23"/>
      <c r="T48" s="23"/>
      <c r="U48" s="23"/>
      <c r="V48" s="23"/>
      <c r="W48" s="23"/>
      <c r="X48" s="23"/>
      <c r="Y48" s="23"/>
      <c r="Z48" s="23"/>
      <c r="AA48" s="23"/>
      <c r="AB48" s="23"/>
      <c r="AC48" s="23"/>
      <c r="AD48" s="23"/>
      <c r="AE48" s="23"/>
      <c r="AF48" s="23"/>
      <c r="AG48" s="37"/>
      <c r="AH48" s="37"/>
      <c r="AI48" s="37"/>
      <c r="AJ48" s="37"/>
      <c r="AK48" s="37"/>
      <c r="AL48" s="37"/>
      <c r="AM48" s="37"/>
      <c r="AN48" s="37"/>
      <c r="AO48" s="37"/>
      <c r="AP48" s="23"/>
      <c r="AQ48" s="23"/>
      <c r="AR48" s="23"/>
      <c r="AS48" s="23"/>
      <c r="AT48" s="23"/>
      <c r="AU48" s="23"/>
      <c r="AV48" s="23"/>
      <c r="AW48" s="23"/>
      <c r="AX48" s="23"/>
      <c r="AY48" s="23"/>
      <c r="AZ48" s="23"/>
      <c r="BA48" s="23"/>
      <c r="BB48" s="23"/>
      <c r="BC48" s="23"/>
      <c r="BD48" s="23"/>
      <c r="BE48" s="23"/>
      <c r="BF48" s="37"/>
      <c r="BG48" s="37"/>
      <c r="BH48" s="37"/>
      <c r="BI48" s="37"/>
      <c r="BJ48" s="37"/>
      <c r="BK48" s="37"/>
      <c r="BL48" s="37"/>
      <c r="BM48" s="37"/>
      <c r="BN48" s="37"/>
      <c r="BO48" s="23"/>
      <c r="BP48" s="23"/>
      <c r="BQ48" s="23"/>
      <c r="BR48" s="23"/>
      <c r="BS48" s="23"/>
      <c r="BT48" s="23"/>
      <c r="BU48" s="23"/>
      <c r="BV48" s="23"/>
      <c r="BW48" s="23"/>
      <c r="BX48" s="23"/>
      <c r="BY48" s="23"/>
      <c r="BZ48" s="23"/>
      <c r="CA48" s="23"/>
      <c r="CB48" s="23"/>
      <c r="CC48" s="23"/>
      <c r="CD48" s="23"/>
      <c r="CE48" s="37"/>
      <c r="CF48" s="37"/>
      <c r="CG48" s="37"/>
      <c r="CH48" s="37"/>
      <c r="CI48" s="37"/>
      <c r="CJ48" s="37"/>
      <c r="CK48" s="37"/>
      <c r="CL48" s="37"/>
      <c r="CM48" s="37"/>
      <c r="CN48" s="23"/>
      <c r="CO48" s="23"/>
      <c r="CP48" s="23"/>
      <c r="CQ48" s="23"/>
      <c r="CR48" s="23"/>
      <c r="CS48" s="23"/>
      <c r="CT48" s="23"/>
      <c r="CU48" s="23"/>
      <c r="CV48" s="23"/>
      <c r="CW48" s="23"/>
      <c r="CX48" s="23"/>
      <c r="CY48" s="23"/>
      <c r="CZ48" s="23"/>
      <c r="DA48" s="23"/>
      <c r="DB48" s="23"/>
      <c r="DC48" s="23"/>
      <c r="DD48" s="37"/>
      <c r="DE48" s="37"/>
      <c r="DF48" s="37"/>
      <c r="DG48" s="37"/>
      <c r="DH48" s="37"/>
      <c r="DI48" s="37"/>
      <c r="DJ48" s="37"/>
      <c r="DK48" s="37"/>
      <c r="DL48" s="37"/>
      <c r="DM48" s="23"/>
      <c r="DN48" s="23"/>
      <c r="DO48" s="23"/>
      <c r="DP48" s="23"/>
      <c r="DQ48" s="23"/>
      <c r="DR48" s="23"/>
      <c r="DS48" s="23"/>
      <c r="DT48" s="23"/>
      <c r="DU48" s="23"/>
      <c r="DV48" s="23"/>
      <c r="DW48" s="23"/>
      <c r="DX48" s="23"/>
      <c r="DY48" s="23"/>
      <c r="DZ48" s="23"/>
      <c r="EA48" s="23"/>
      <c r="EB48" s="23"/>
      <c r="EC48" s="37"/>
      <c r="ED48" s="37"/>
      <c r="EE48" s="37"/>
      <c r="EF48" s="37"/>
      <c r="EG48" s="37"/>
      <c r="EH48" s="37"/>
      <c r="EI48" s="37"/>
      <c r="EJ48" s="37"/>
      <c r="EK48" s="37"/>
      <c r="EL48" s="23"/>
      <c r="EM48" s="23"/>
      <c r="EN48" s="23"/>
      <c r="EO48" s="23"/>
      <c r="EP48" s="23"/>
      <c r="EQ48" s="23"/>
      <c r="ER48" s="23"/>
      <c r="ES48" s="23"/>
      <c r="ET48" s="23"/>
      <c r="EU48" s="23"/>
      <c r="EV48" s="23"/>
      <c r="EW48" s="23"/>
      <c r="EX48" s="23"/>
      <c r="EY48" s="23"/>
      <c r="EZ48" s="23"/>
      <c r="FA48" s="23"/>
      <c r="FB48" s="37"/>
      <c r="FC48" s="37"/>
      <c r="FD48" s="37"/>
      <c r="FE48" s="37"/>
      <c r="FF48" s="37"/>
      <c r="FG48" s="37"/>
      <c r="FH48" s="37"/>
      <c r="FI48" s="37"/>
      <c r="FJ48" s="37"/>
      <c r="FK48" s="23"/>
      <c r="FL48" s="23"/>
      <c r="FM48" s="2"/>
      <c r="FN48" s="2"/>
      <c r="FO48" s="2"/>
      <c r="FP48" s="2"/>
      <c r="FQ48" s="2"/>
      <c r="FR48" s="2"/>
      <c r="FS48" s="2"/>
      <c r="FT48" s="2"/>
      <c r="FU48" s="2"/>
      <c r="FV48" s="2"/>
      <c r="FW48" s="2"/>
      <c r="FX48" s="2"/>
      <c r="FY48" s="2"/>
      <c r="FZ48" s="2"/>
      <c r="GA48" s="2"/>
      <c r="GB48" s="2"/>
      <c r="GC48" s="2"/>
      <c r="GD48" s="2"/>
      <c r="GE48" s="2"/>
      <c r="GF48" s="2"/>
      <c r="GG48" s="2"/>
    </row>
    <row r="49" spans="1:189" ht="15" thickBot="1" x14ac:dyDescent="0.4">
      <c r="A49" s="23"/>
      <c r="B49" s="23"/>
      <c r="C49" s="23"/>
      <c r="D49" s="23"/>
      <c r="E49" s="23"/>
      <c r="F49" s="23"/>
      <c r="G49" s="23"/>
      <c r="H49" s="37"/>
      <c r="I49" s="37"/>
      <c r="J49" s="37"/>
      <c r="K49" s="37"/>
      <c r="L49" s="37"/>
      <c r="M49" s="37"/>
      <c r="N49" s="37"/>
      <c r="O49" s="23"/>
      <c r="P49" s="23"/>
      <c r="Q49" s="23"/>
      <c r="R49" s="23"/>
      <c r="S49" s="23"/>
      <c r="T49" s="23"/>
      <c r="U49" s="23"/>
      <c r="V49" s="23"/>
      <c r="W49" s="23"/>
      <c r="X49" s="23"/>
      <c r="Y49" s="23"/>
      <c r="Z49" s="23"/>
      <c r="AA49" s="23"/>
      <c r="AB49" s="23"/>
      <c r="AC49" s="23"/>
      <c r="AD49" s="23"/>
      <c r="AE49" s="23"/>
      <c r="AF49" s="23"/>
      <c r="AG49" s="37"/>
      <c r="AH49" s="37"/>
      <c r="AI49" s="37"/>
      <c r="AJ49" s="37"/>
      <c r="AK49" s="37"/>
      <c r="AL49" s="37"/>
      <c r="AM49" s="37"/>
      <c r="AN49" s="23"/>
      <c r="AO49" s="23"/>
      <c r="AP49" s="23"/>
      <c r="AQ49" s="23"/>
      <c r="AR49" s="23"/>
      <c r="AS49" s="23"/>
      <c r="AT49" s="23"/>
      <c r="AU49" s="23"/>
      <c r="AV49" s="23"/>
      <c r="AW49" s="23"/>
      <c r="AX49" s="23"/>
      <c r="AY49" s="23"/>
      <c r="AZ49" s="23"/>
      <c r="BA49" s="23"/>
      <c r="BB49" s="23"/>
      <c r="BC49" s="23"/>
      <c r="BD49" s="23"/>
      <c r="BE49" s="23"/>
      <c r="BF49" s="37"/>
      <c r="BG49" s="37"/>
      <c r="BH49" s="37"/>
      <c r="BI49" s="37"/>
      <c r="BJ49" s="37"/>
      <c r="BK49" s="37"/>
      <c r="BL49" s="37"/>
      <c r="BM49" s="23"/>
      <c r="BN49" s="23"/>
      <c r="BO49" s="23"/>
      <c r="BP49" s="23"/>
      <c r="BQ49" s="23"/>
      <c r="BR49" s="23"/>
      <c r="BS49" s="23"/>
      <c r="BT49" s="23"/>
      <c r="BU49" s="23"/>
      <c r="BV49" s="23"/>
      <c r="BW49" s="23"/>
      <c r="BX49" s="23"/>
      <c r="BY49" s="23"/>
      <c r="BZ49" s="23"/>
      <c r="CA49" s="23"/>
      <c r="CB49" s="23"/>
      <c r="CC49" s="23"/>
      <c r="CD49" s="23"/>
      <c r="CE49" s="37"/>
      <c r="CF49" s="37"/>
      <c r="CG49" s="37"/>
      <c r="CH49" s="37"/>
      <c r="CI49" s="37"/>
      <c r="CJ49" s="37"/>
      <c r="CK49" s="37"/>
      <c r="CL49" s="23"/>
      <c r="CM49" s="23"/>
      <c r="CN49" s="23"/>
      <c r="CO49" s="23"/>
      <c r="CP49" s="23"/>
      <c r="CQ49" s="23"/>
      <c r="CR49" s="23"/>
      <c r="CS49" s="23"/>
      <c r="CT49" s="23"/>
      <c r="CU49" s="23"/>
      <c r="CV49" s="23"/>
      <c r="CW49" s="23"/>
      <c r="CX49" s="23"/>
      <c r="CY49" s="23"/>
      <c r="CZ49" s="23"/>
      <c r="DA49" s="23"/>
      <c r="DB49" s="23"/>
      <c r="DC49" s="23"/>
      <c r="DD49" s="37"/>
      <c r="DE49" s="37"/>
      <c r="DF49" s="37"/>
      <c r="DG49" s="37"/>
      <c r="DH49" s="37"/>
      <c r="DI49" s="37"/>
      <c r="DJ49" s="37"/>
      <c r="DK49" s="23"/>
      <c r="DL49" s="23"/>
      <c r="DM49" s="23"/>
      <c r="DN49" s="23"/>
      <c r="DO49" s="23"/>
      <c r="DP49" s="23"/>
      <c r="DQ49" s="23"/>
      <c r="DR49" s="23"/>
      <c r="DS49" s="23"/>
      <c r="DT49" s="23"/>
      <c r="DU49" s="23"/>
      <c r="DV49" s="23"/>
      <c r="DW49" s="23"/>
      <c r="DX49" s="23"/>
      <c r="DY49" s="23"/>
      <c r="DZ49" s="23"/>
      <c r="EA49" s="23"/>
      <c r="EB49" s="23"/>
      <c r="EC49" s="37"/>
      <c r="ED49" s="37"/>
      <c r="EE49" s="37"/>
      <c r="EF49" s="37"/>
      <c r="EG49" s="37"/>
      <c r="EH49" s="37"/>
      <c r="EI49" s="37"/>
      <c r="EJ49" s="23"/>
      <c r="EK49" s="23"/>
      <c r="EL49" s="23"/>
      <c r="EM49" s="23"/>
      <c r="EN49" s="23"/>
      <c r="EO49" s="23"/>
      <c r="EP49" s="23"/>
      <c r="EQ49" s="23"/>
      <c r="ER49" s="23"/>
      <c r="ES49" s="23"/>
      <c r="ET49" s="23"/>
      <c r="EU49" s="23"/>
      <c r="EV49" s="23"/>
      <c r="EW49" s="23"/>
      <c r="EX49" s="23"/>
      <c r="EY49" s="23"/>
      <c r="EZ49" s="23"/>
      <c r="FA49" s="23"/>
      <c r="FB49" s="37"/>
      <c r="FC49" s="37"/>
      <c r="FD49" s="37"/>
      <c r="FE49" s="37"/>
      <c r="FF49" s="37"/>
      <c r="FG49" s="37"/>
      <c r="FH49" s="37"/>
      <c r="FI49" s="23"/>
      <c r="FJ49" s="23"/>
      <c r="FK49" s="23"/>
      <c r="FL49" s="23"/>
      <c r="FM49" s="2"/>
      <c r="FN49" s="2"/>
      <c r="FO49" s="2"/>
      <c r="FP49" s="2"/>
      <c r="FQ49" s="2"/>
      <c r="FR49" s="2"/>
      <c r="FS49" s="2"/>
      <c r="FT49" s="2"/>
      <c r="FU49" s="2"/>
      <c r="FV49" s="2"/>
      <c r="FW49" s="2"/>
      <c r="FX49" s="2"/>
      <c r="FY49" s="2"/>
      <c r="FZ49" s="2"/>
      <c r="GA49" s="2"/>
      <c r="GB49" s="2"/>
      <c r="GC49" s="2"/>
      <c r="GD49" s="2"/>
      <c r="GE49" s="2"/>
      <c r="GF49" s="2"/>
      <c r="GG49" s="2"/>
    </row>
    <row r="50" spans="1:189" ht="14.5" customHeight="1" x14ac:dyDescent="0.35">
      <c r="A50" s="23"/>
      <c r="B50" s="23"/>
      <c r="C50" s="23"/>
      <c r="D50" s="23"/>
      <c r="E50" s="88" t="s">
        <v>72</v>
      </c>
      <c r="F50" s="89"/>
      <c r="G50" s="89"/>
      <c r="H50" s="90"/>
      <c r="I50" s="37"/>
      <c r="J50" s="37"/>
      <c r="K50" s="37"/>
      <c r="L50" s="37"/>
      <c r="M50" s="37"/>
      <c r="N50" s="37"/>
      <c r="O50" s="23"/>
      <c r="P50" s="23"/>
      <c r="Q50" s="23"/>
      <c r="R50" s="23"/>
      <c r="S50" s="23"/>
      <c r="T50" s="23"/>
      <c r="U50" s="23"/>
      <c r="V50" s="23"/>
      <c r="W50" s="23"/>
      <c r="X50" s="23"/>
      <c r="Y50" s="23"/>
      <c r="Z50" s="23"/>
      <c r="AA50" s="23"/>
      <c r="AB50" s="23"/>
      <c r="AC50" s="23"/>
      <c r="AD50" s="38"/>
      <c r="AE50" s="38"/>
      <c r="AF50" s="38"/>
      <c r="AG50" s="38"/>
      <c r="AH50" s="37"/>
      <c r="AI50" s="37"/>
      <c r="AJ50" s="37"/>
      <c r="AK50" s="37"/>
      <c r="AL50" s="37"/>
      <c r="AM50" s="37"/>
      <c r="AN50" s="23"/>
      <c r="AO50" s="23"/>
      <c r="AP50" s="23"/>
      <c r="AQ50" s="23"/>
      <c r="AR50" s="23"/>
      <c r="AS50" s="23"/>
      <c r="AT50" s="23"/>
      <c r="AU50" s="23"/>
      <c r="AV50" s="23"/>
      <c r="AW50" s="23"/>
      <c r="AX50" s="23"/>
      <c r="AY50" s="23"/>
      <c r="AZ50" s="23"/>
      <c r="BA50" s="23"/>
      <c r="BB50" s="23"/>
      <c r="BC50" s="119"/>
      <c r="BD50" s="119"/>
      <c r="BE50" s="119"/>
      <c r="BF50" s="119"/>
      <c r="BG50" s="37"/>
      <c r="BH50" s="37"/>
      <c r="BI50" s="37"/>
      <c r="BJ50" s="37"/>
      <c r="BK50" s="37"/>
      <c r="BL50" s="37"/>
      <c r="BM50" s="23"/>
      <c r="BN50" s="23"/>
      <c r="BO50" s="23"/>
      <c r="BP50" s="23"/>
      <c r="BQ50" s="23"/>
      <c r="BR50" s="23"/>
      <c r="BS50" s="23"/>
      <c r="BT50" s="23"/>
      <c r="BU50" s="23"/>
      <c r="BV50" s="23"/>
      <c r="BW50" s="23"/>
      <c r="BX50" s="23"/>
      <c r="BY50" s="23"/>
      <c r="BZ50" s="23"/>
      <c r="CA50" s="23"/>
      <c r="CB50" s="96" t="s">
        <v>72</v>
      </c>
      <c r="CC50" s="97"/>
      <c r="CD50" s="97"/>
      <c r="CE50" s="98"/>
      <c r="CF50" s="37"/>
      <c r="CG50" s="37"/>
      <c r="CH50" s="37"/>
      <c r="CI50" s="37"/>
      <c r="CJ50" s="37"/>
      <c r="CK50" s="37"/>
      <c r="CL50" s="23"/>
      <c r="CM50" s="23"/>
      <c r="CN50" s="23"/>
      <c r="CO50" s="23"/>
      <c r="CP50" s="23"/>
      <c r="CQ50" s="23"/>
      <c r="CR50" s="23"/>
      <c r="CS50" s="23"/>
      <c r="CT50" s="23"/>
      <c r="CU50" s="23"/>
      <c r="CV50" s="23"/>
      <c r="CW50" s="23"/>
      <c r="CX50" s="23"/>
      <c r="CY50" s="23"/>
      <c r="CZ50" s="23"/>
      <c r="DA50" s="96" t="s">
        <v>72</v>
      </c>
      <c r="DB50" s="97"/>
      <c r="DC50" s="97"/>
      <c r="DD50" s="98"/>
      <c r="DE50" s="37"/>
      <c r="DF50" s="37"/>
      <c r="DG50" s="37"/>
      <c r="DH50" s="37"/>
      <c r="DI50" s="37"/>
      <c r="DJ50" s="37"/>
      <c r="DK50" s="23"/>
      <c r="DL50" s="23"/>
      <c r="DM50" s="23"/>
      <c r="DN50" s="23"/>
      <c r="DO50" s="23"/>
      <c r="DP50" s="23"/>
      <c r="DQ50" s="23"/>
      <c r="DR50" s="23"/>
      <c r="DS50" s="23"/>
      <c r="DT50" s="23"/>
      <c r="DU50" s="23"/>
      <c r="DV50" s="23"/>
      <c r="DW50" s="23"/>
      <c r="DX50" s="23"/>
      <c r="DY50" s="23"/>
      <c r="DZ50" s="96" t="s">
        <v>72</v>
      </c>
      <c r="EA50" s="97"/>
      <c r="EB50" s="97"/>
      <c r="EC50" s="98"/>
      <c r="ED50" s="37"/>
      <c r="EE50" s="37"/>
      <c r="EF50" s="37"/>
      <c r="EG50" s="37"/>
      <c r="EH50" s="37"/>
      <c r="EI50" s="37"/>
      <c r="EJ50" s="23"/>
      <c r="EK50" s="23"/>
      <c r="EL50" s="23"/>
      <c r="EM50" s="23"/>
      <c r="EN50" s="23"/>
      <c r="EO50" s="23"/>
      <c r="EP50" s="23"/>
      <c r="EQ50" s="23"/>
      <c r="ER50" s="23"/>
      <c r="ES50" s="23"/>
      <c r="ET50" s="23"/>
      <c r="EU50" s="23"/>
      <c r="EV50" s="23"/>
      <c r="EW50" s="23"/>
      <c r="EX50" s="23"/>
      <c r="EY50" s="96" t="s">
        <v>72</v>
      </c>
      <c r="EZ50" s="97"/>
      <c r="FA50" s="97"/>
      <c r="FB50" s="98"/>
      <c r="FC50" s="37"/>
      <c r="FD50" s="37"/>
      <c r="FE50" s="37"/>
      <c r="FF50" s="37"/>
      <c r="FG50" s="37"/>
      <c r="FH50" s="37"/>
      <c r="FI50" s="23"/>
      <c r="FJ50" s="23"/>
      <c r="FK50" s="23"/>
      <c r="FL50" s="23"/>
      <c r="FM50" s="2"/>
      <c r="FN50" s="2"/>
      <c r="FO50" s="2"/>
      <c r="FP50" s="2"/>
      <c r="FQ50" s="2"/>
      <c r="FR50" s="2"/>
      <c r="FS50" s="2"/>
      <c r="FT50" s="2"/>
      <c r="FU50" s="2"/>
      <c r="FV50" s="2"/>
      <c r="FW50" s="2"/>
      <c r="FX50" s="2"/>
      <c r="FY50" s="2"/>
      <c r="FZ50" s="2"/>
      <c r="GA50" s="2"/>
      <c r="GB50" s="2"/>
      <c r="GC50" s="2"/>
      <c r="GD50" s="2"/>
      <c r="GE50" s="2"/>
      <c r="GF50" s="2"/>
      <c r="GG50" s="2"/>
    </row>
    <row r="51" spans="1:189" ht="15" customHeight="1" thickBot="1" x14ac:dyDescent="0.4">
      <c r="A51" s="23"/>
      <c r="B51" s="23"/>
      <c r="C51" s="23"/>
      <c r="D51" s="23"/>
      <c r="E51" s="91"/>
      <c r="F51" s="92"/>
      <c r="G51" s="92"/>
      <c r="H51" s="93"/>
      <c r="I51" s="37"/>
      <c r="J51" s="37"/>
      <c r="K51" s="37"/>
      <c r="L51" s="37"/>
      <c r="M51" s="37"/>
      <c r="N51" s="37"/>
      <c r="O51" s="23"/>
      <c r="P51" s="23"/>
      <c r="Q51" s="23"/>
      <c r="R51" s="23"/>
      <c r="S51" s="23"/>
      <c r="T51" s="23"/>
      <c r="U51" s="23"/>
      <c r="V51" s="23"/>
      <c r="W51" s="23"/>
      <c r="X51" s="23"/>
      <c r="Y51" s="23"/>
      <c r="Z51" s="23"/>
      <c r="AA51" s="23"/>
      <c r="AB51" s="23"/>
      <c r="AC51" s="23"/>
      <c r="AD51" s="38"/>
      <c r="AE51" s="38"/>
      <c r="AF51" s="38"/>
      <c r="AG51" s="38"/>
      <c r="AH51" s="37"/>
      <c r="AI51" s="37"/>
      <c r="AJ51" s="37"/>
      <c r="AK51" s="37"/>
      <c r="AL51" s="37"/>
      <c r="AM51" s="37"/>
      <c r="AN51" s="23"/>
      <c r="AO51" s="23"/>
      <c r="AP51" s="23"/>
      <c r="AQ51" s="23"/>
      <c r="AR51" s="23"/>
      <c r="AS51" s="23"/>
      <c r="AT51" s="23"/>
      <c r="AU51" s="23"/>
      <c r="AV51" s="23"/>
      <c r="AW51" s="23"/>
      <c r="AX51" s="23"/>
      <c r="AY51" s="23"/>
      <c r="AZ51" s="23"/>
      <c r="BA51" s="23"/>
      <c r="BB51" s="23"/>
      <c r="BC51" s="119"/>
      <c r="BD51" s="119"/>
      <c r="BE51" s="119"/>
      <c r="BF51" s="119"/>
      <c r="BG51" s="37"/>
      <c r="BH51" s="37"/>
      <c r="BI51" s="37"/>
      <c r="BJ51" s="37"/>
      <c r="BK51" s="37"/>
      <c r="BL51" s="37"/>
      <c r="BM51" s="23"/>
      <c r="BN51" s="23"/>
      <c r="BO51" s="23"/>
      <c r="BP51" s="23"/>
      <c r="BQ51" s="23"/>
      <c r="BR51" s="23"/>
      <c r="BS51" s="23"/>
      <c r="BT51" s="23"/>
      <c r="BU51" s="23"/>
      <c r="BV51" s="23"/>
      <c r="BW51" s="23"/>
      <c r="BX51" s="23"/>
      <c r="BY51" s="23"/>
      <c r="BZ51" s="23"/>
      <c r="CA51" s="23"/>
      <c r="CB51" s="99"/>
      <c r="CC51" s="100"/>
      <c r="CD51" s="100"/>
      <c r="CE51" s="101"/>
      <c r="CF51" s="37"/>
      <c r="CG51" s="37"/>
      <c r="CH51" s="37"/>
      <c r="CI51" s="37"/>
      <c r="CJ51" s="37"/>
      <c r="CK51" s="37"/>
      <c r="CL51" s="23"/>
      <c r="CM51" s="23"/>
      <c r="CN51" s="23"/>
      <c r="CO51" s="23"/>
      <c r="CP51" s="23"/>
      <c r="CQ51" s="23"/>
      <c r="CR51" s="23"/>
      <c r="CS51" s="23"/>
      <c r="CT51" s="23"/>
      <c r="CU51" s="23"/>
      <c r="CV51" s="23"/>
      <c r="CW51" s="23"/>
      <c r="CX51" s="23"/>
      <c r="CY51" s="23"/>
      <c r="CZ51" s="23"/>
      <c r="DA51" s="99"/>
      <c r="DB51" s="100"/>
      <c r="DC51" s="100"/>
      <c r="DD51" s="101"/>
      <c r="DE51" s="37"/>
      <c r="DF51" s="37"/>
      <c r="DG51" s="37"/>
      <c r="DH51" s="37"/>
      <c r="DI51" s="37"/>
      <c r="DJ51" s="37"/>
      <c r="DK51" s="23"/>
      <c r="DL51" s="23"/>
      <c r="DM51" s="23"/>
      <c r="DN51" s="23"/>
      <c r="DO51" s="23"/>
      <c r="DP51" s="23"/>
      <c r="DQ51" s="23"/>
      <c r="DR51" s="23"/>
      <c r="DS51" s="23"/>
      <c r="DT51" s="23"/>
      <c r="DU51" s="23"/>
      <c r="DV51" s="23"/>
      <c r="DW51" s="23"/>
      <c r="DX51" s="23"/>
      <c r="DY51" s="23"/>
      <c r="DZ51" s="99"/>
      <c r="EA51" s="100"/>
      <c r="EB51" s="100"/>
      <c r="EC51" s="101"/>
      <c r="ED51" s="37"/>
      <c r="EE51" s="37"/>
      <c r="EF51" s="37"/>
      <c r="EG51" s="37"/>
      <c r="EH51" s="37"/>
      <c r="EI51" s="37"/>
      <c r="EJ51" s="23"/>
      <c r="EK51" s="23"/>
      <c r="EL51" s="23"/>
      <c r="EM51" s="23"/>
      <c r="EN51" s="23"/>
      <c r="EO51" s="23"/>
      <c r="EP51" s="23"/>
      <c r="EQ51" s="23"/>
      <c r="ER51" s="23"/>
      <c r="ES51" s="23"/>
      <c r="ET51" s="23"/>
      <c r="EU51" s="23"/>
      <c r="EV51" s="23"/>
      <c r="EW51" s="23"/>
      <c r="EX51" s="23"/>
      <c r="EY51" s="99"/>
      <c r="EZ51" s="100"/>
      <c r="FA51" s="100"/>
      <c r="FB51" s="101"/>
      <c r="FC51" s="37"/>
      <c r="FD51" s="37"/>
      <c r="FE51" s="37"/>
      <c r="FF51" s="37"/>
      <c r="FG51" s="37"/>
      <c r="FH51" s="37"/>
      <c r="FI51" s="23"/>
      <c r="FJ51" s="23"/>
      <c r="FK51" s="23"/>
      <c r="FL51" s="23"/>
      <c r="FM51" s="23"/>
      <c r="FN51" s="23"/>
      <c r="FO51" s="23"/>
      <c r="FP51" s="23"/>
      <c r="FQ51" s="23"/>
      <c r="FR51" s="23"/>
      <c r="FS51" s="23"/>
    </row>
    <row r="52" spans="1:189" ht="14.5" customHeight="1" x14ac:dyDescent="0.35">
      <c r="A52" s="23"/>
      <c r="B52" s="23"/>
      <c r="C52" s="23"/>
      <c r="D52" s="23"/>
      <c r="E52" s="94" t="s">
        <v>68</v>
      </c>
      <c r="F52" s="107">
        <f>SUM(D35+AC35+BB35+CA35+CZ35+DY35+EX35)</f>
        <v>8055</v>
      </c>
      <c r="G52" s="120"/>
      <c r="H52" s="120"/>
      <c r="I52" s="23"/>
      <c r="J52" s="23"/>
      <c r="K52" s="23"/>
      <c r="L52" s="23"/>
      <c r="M52" s="23"/>
      <c r="N52" s="23"/>
      <c r="O52" s="23"/>
      <c r="P52" s="23"/>
      <c r="Q52" s="23"/>
      <c r="R52" s="23"/>
      <c r="S52" s="23"/>
      <c r="T52" s="23"/>
      <c r="U52" s="23"/>
      <c r="V52" s="23"/>
      <c r="W52" s="23"/>
      <c r="X52" s="23"/>
      <c r="Y52" s="23"/>
      <c r="Z52" s="23"/>
      <c r="AA52" s="23"/>
      <c r="AB52" s="23"/>
      <c r="AC52" s="23"/>
      <c r="AD52" s="39"/>
      <c r="AE52" s="39"/>
      <c r="AF52" s="39"/>
      <c r="AG52" s="39"/>
      <c r="AH52" s="23"/>
      <c r="AI52" s="23"/>
      <c r="AJ52" s="23"/>
      <c r="AK52" s="23"/>
      <c r="AL52" s="23"/>
      <c r="AM52" s="23"/>
      <c r="AN52" s="23"/>
      <c r="AO52" s="23"/>
      <c r="AP52" s="23"/>
      <c r="AQ52" s="23"/>
      <c r="AR52" s="23"/>
      <c r="AS52" s="23"/>
      <c r="AT52" s="23"/>
      <c r="AU52" s="23"/>
      <c r="AV52" s="23"/>
      <c r="AW52" s="23"/>
      <c r="AX52" s="23"/>
      <c r="AY52" s="23"/>
      <c r="AZ52" s="23"/>
      <c r="BA52" s="23"/>
      <c r="BB52" s="23"/>
      <c r="BC52" s="79"/>
      <c r="BD52" s="79"/>
      <c r="BE52" s="79"/>
      <c r="BF52" s="79"/>
      <c r="BG52" s="23"/>
      <c r="BH52" s="23"/>
      <c r="BI52" s="23"/>
      <c r="BJ52" s="23"/>
      <c r="BK52" s="23"/>
      <c r="BL52" s="23"/>
      <c r="BM52" s="23"/>
      <c r="BN52" s="23"/>
      <c r="BO52" s="23"/>
      <c r="BP52" s="23"/>
      <c r="BQ52" s="23"/>
      <c r="BR52" s="23"/>
      <c r="BS52" s="23"/>
      <c r="BT52" s="23"/>
      <c r="BU52" s="23"/>
      <c r="BV52" s="23"/>
      <c r="BW52" s="23"/>
      <c r="BX52" s="23"/>
      <c r="BY52" s="23"/>
      <c r="BZ52" s="23"/>
      <c r="CA52" s="23"/>
      <c r="CB52" s="80" t="s">
        <v>68</v>
      </c>
      <c r="CC52" s="76"/>
      <c r="CD52" s="77"/>
      <c r="CE52" s="77"/>
      <c r="CF52" s="23"/>
      <c r="CG52" s="23"/>
      <c r="CH52" s="23"/>
      <c r="CI52" s="23"/>
      <c r="CJ52" s="23"/>
      <c r="CK52" s="23"/>
      <c r="CL52" s="23"/>
      <c r="CM52" s="23"/>
      <c r="CN52" s="23"/>
      <c r="CO52" s="23"/>
      <c r="CP52" s="23"/>
      <c r="CQ52" s="23"/>
      <c r="CR52" s="23"/>
      <c r="CS52" s="23"/>
      <c r="CT52" s="23"/>
      <c r="CU52" s="23"/>
      <c r="CV52" s="23"/>
      <c r="CW52" s="23"/>
      <c r="CX52" s="23"/>
      <c r="CY52" s="23"/>
      <c r="CZ52" s="23"/>
      <c r="DA52" s="80" t="s">
        <v>68</v>
      </c>
      <c r="DB52" s="76"/>
      <c r="DC52" s="77"/>
      <c r="DD52" s="77"/>
      <c r="DE52" s="23"/>
      <c r="DF52" s="23"/>
      <c r="DG52" s="23"/>
      <c r="DH52" s="23"/>
      <c r="DI52" s="23"/>
      <c r="DJ52" s="23"/>
      <c r="DK52" s="23"/>
      <c r="DL52" s="23"/>
      <c r="DM52" s="23"/>
      <c r="DN52" s="23"/>
      <c r="DO52" s="23"/>
      <c r="DP52" s="23"/>
      <c r="DQ52" s="23"/>
      <c r="DR52" s="23"/>
      <c r="DS52" s="23"/>
      <c r="DT52" s="23"/>
      <c r="DU52" s="23"/>
      <c r="DV52" s="23"/>
      <c r="DW52" s="23"/>
      <c r="DX52" s="23"/>
      <c r="DY52" s="23"/>
      <c r="DZ52" s="80" t="s">
        <v>68</v>
      </c>
      <c r="EA52" s="76"/>
      <c r="EB52" s="77"/>
      <c r="EC52" s="77"/>
      <c r="ED52" s="23"/>
      <c r="EE52" s="23"/>
      <c r="EF52" s="23"/>
      <c r="EG52" s="23"/>
      <c r="EH52" s="23"/>
      <c r="EI52" s="23"/>
      <c r="EJ52" s="23"/>
      <c r="EK52" s="23"/>
      <c r="EL52" s="23"/>
      <c r="EM52" s="23"/>
      <c r="EN52" s="23"/>
      <c r="EO52" s="23"/>
      <c r="EP52" s="23"/>
      <c r="EQ52" s="23"/>
      <c r="ER52" s="23"/>
      <c r="ES52" s="23"/>
      <c r="ET52" s="23"/>
      <c r="EU52" s="23"/>
      <c r="EV52" s="23"/>
      <c r="EW52" s="23"/>
      <c r="EX52" s="23"/>
      <c r="EY52" s="45" t="s">
        <v>68</v>
      </c>
      <c r="EZ52" s="47"/>
      <c r="FA52" s="48"/>
      <c r="FB52" s="48"/>
      <c r="FC52" s="23"/>
      <c r="FD52" s="23"/>
      <c r="FE52" s="23"/>
      <c r="FF52" s="23"/>
      <c r="FG52" s="23"/>
      <c r="FH52" s="23"/>
      <c r="FI52" s="23"/>
      <c r="FJ52" s="23"/>
      <c r="FK52" s="23"/>
      <c r="FL52" s="23"/>
      <c r="FM52" s="23"/>
      <c r="FN52" s="23"/>
      <c r="FO52" s="23"/>
      <c r="FP52" s="23"/>
      <c r="FQ52" s="23"/>
      <c r="FR52" s="23"/>
      <c r="FS52" s="23"/>
    </row>
    <row r="53" spans="1:189" ht="14.5" customHeight="1" x14ac:dyDescent="0.35">
      <c r="A53" s="23"/>
      <c r="B53" s="23"/>
      <c r="C53" s="23"/>
      <c r="D53" s="23"/>
      <c r="E53" s="94"/>
      <c r="F53" s="109"/>
      <c r="G53" s="121"/>
      <c r="H53" s="121"/>
      <c r="I53" s="23"/>
      <c r="J53" s="23"/>
      <c r="K53" s="23"/>
      <c r="L53" s="23"/>
      <c r="M53" s="23"/>
      <c r="N53" s="23"/>
      <c r="O53" s="23"/>
      <c r="P53" s="23"/>
      <c r="Q53" s="23"/>
      <c r="R53" s="23"/>
      <c r="S53" s="23"/>
      <c r="T53" s="23"/>
      <c r="U53" s="23"/>
      <c r="V53" s="23"/>
      <c r="W53" s="23"/>
      <c r="X53" s="23"/>
      <c r="Y53" s="23"/>
      <c r="Z53" s="23"/>
      <c r="AA53" s="23"/>
      <c r="AB53" s="23"/>
      <c r="AC53" s="23"/>
      <c r="AD53" s="39"/>
      <c r="AE53" s="39"/>
      <c r="AF53" s="39"/>
      <c r="AG53" s="39"/>
      <c r="AH53" s="23"/>
      <c r="AI53" s="23"/>
      <c r="AJ53" s="23"/>
      <c r="AK53" s="23"/>
      <c r="AL53" s="23"/>
      <c r="AM53" s="23"/>
      <c r="AN53" s="23"/>
      <c r="AO53" s="23"/>
      <c r="AP53" s="23"/>
      <c r="AQ53" s="23"/>
      <c r="AR53" s="23"/>
      <c r="AS53" s="23"/>
      <c r="AT53" s="23"/>
      <c r="AU53" s="23"/>
      <c r="AV53" s="23"/>
      <c r="AW53" s="23"/>
      <c r="AX53" s="23"/>
      <c r="AY53" s="23"/>
      <c r="AZ53" s="23"/>
      <c r="BA53" s="23"/>
      <c r="BB53" s="23"/>
      <c r="BC53" s="79"/>
      <c r="BD53" s="79"/>
      <c r="BE53" s="79"/>
      <c r="BF53" s="79"/>
      <c r="BG53" s="23"/>
      <c r="BH53" s="23"/>
      <c r="BI53" s="23"/>
      <c r="BJ53" s="23"/>
      <c r="BK53" s="23"/>
      <c r="BL53" s="23"/>
      <c r="BM53" s="23"/>
      <c r="BN53" s="23"/>
      <c r="BO53" s="23"/>
      <c r="BP53" s="23"/>
      <c r="BQ53" s="23"/>
      <c r="BR53" s="23"/>
      <c r="BS53" s="23"/>
      <c r="BT53" s="23"/>
      <c r="BU53" s="23"/>
      <c r="BV53" s="23"/>
      <c r="BW53" s="23"/>
      <c r="BX53" s="23"/>
      <c r="BY53" s="23"/>
      <c r="BZ53" s="23"/>
      <c r="CA53" s="23"/>
      <c r="CB53" s="80"/>
      <c r="CC53" s="78"/>
      <c r="CD53" s="79"/>
      <c r="CE53" s="79"/>
      <c r="CF53" s="23"/>
      <c r="CG53" s="23"/>
      <c r="CH53" s="23"/>
      <c r="CI53" s="23"/>
      <c r="CJ53" s="23"/>
      <c r="CK53" s="23"/>
      <c r="CL53" s="23"/>
      <c r="CM53" s="23"/>
      <c r="CN53" s="23"/>
      <c r="CO53" s="23"/>
      <c r="CP53" s="23"/>
      <c r="CQ53" s="23"/>
      <c r="CR53" s="23"/>
      <c r="CS53" s="23"/>
      <c r="CT53" s="23"/>
      <c r="CU53" s="23"/>
      <c r="CV53" s="23"/>
      <c r="CW53" s="23"/>
      <c r="CX53" s="23"/>
      <c r="CY53" s="23"/>
      <c r="CZ53" s="23"/>
      <c r="DA53" s="80"/>
      <c r="DB53" s="78"/>
      <c r="DC53" s="79"/>
      <c r="DD53" s="79"/>
      <c r="DE53" s="23"/>
      <c r="DF53" s="23"/>
      <c r="DG53" s="23"/>
      <c r="DH53" s="23"/>
      <c r="DI53" s="23"/>
      <c r="DJ53" s="23"/>
      <c r="DK53" s="23"/>
      <c r="DL53" s="23"/>
      <c r="DM53" s="23"/>
      <c r="DN53" s="23"/>
      <c r="DO53" s="23"/>
      <c r="DP53" s="23"/>
      <c r="DQ53" s="23"/>
      <c r="DR53" s="23"/>
      <c r="DS53" s="23"/>
      <c r="DT53" s="23"/>
      <c r="DU53" s="23"/>
      <c r="DV53" s="23"/>
      <c r="DW53" s="23"/>
      <c r="DX53" s="23"/>
      <c r="DY53" s="23"/>
      <c r="DZ53" s="80"/>
      <c r="EA53" s="78"/>
      <c r="EB53" s="79"/>
      <c r="EC53" s="79"/>
      <c r="ED53" s="23"/>
      <c r="EE53" s="23"/>
      <c r="EF53" s="23"/>
      <c r="EG53" s="23"/>
      <c r="EH53" s="23"/>
      <c r="EI53" s="23"/>
      <c r="EJ53" s="23"/>
      <c r="EK53" s="23"/>
      <c r="EL53" s="23"/>
      <c r="EM53" s="23"/>
      <c r="EN53" s="23"/>
      <c r="EO53" s="23"/>
      <c r="EP53" s="23"/>
      <c r="EQ53" s="23"/>
      <c r="ER53" s="23"/>
      <c r="ES53" s="23"/>
      <c r="ET53" s="23"/>
      <c r="EU53" s="23"/>
      <c r="EV53" s="23"/>
      <c r="EW53" s="23"/>
      <c r="EX53" s="23"/>
      <c r="EY53" s="45"/>
      <c r="EZ53" s="49"/>
      <c r="FA53" s="50"/>
      <c r="FB53" s="50"/>
      <c r="FC53" s="23"/>
      <c r="FD53" s="23"/>
      <c r="FE53" s="23"/>
      <c r="FF53" s="23"/>
      <c r="FG53" s="23"/>
      <c r="FH53" s="23"/>
      <c r="FI53" s="23"/>
      <c r="FJ53" s="23"/>
      <c r="FK53" s="23"/>
      <c r="FL53" s="23"/>
      <c r="FM53" s="23"/>
      <c r="FN53" s="23"/>
      <c r="FO53" s="23"/>
      <c r="FP53" s="23"/>
      <c r="FQ53" s="23"/>
      <c r="FR53" s="23"/>
      <c r="FS53" s="23"/>
    </row>
    <row r="54" spans="1:189" ht="14.5" customHeight="1" x14ac:dyDescent="0.35">
      <c r="A54" s="23"/>
      <c r="B54" s="23"/>
      <c r="C54" s="23"/>
      <c r="D54" s="23"/>
      <c r="E54" s="94"/>
      <c r="F54" s="109"/>
      <c r="G54" s="121"/>
      <c r="H54" s="121"/>
      <c r="I54" s="23"/>
      <c r="J54" s="23"/>
      <c r="K54" s="23"/>
      <c r="L54" s="23"/>
      <c r="M54" s="23"/>
      <c r="N54" s="23"/>
      <c r="O54" s="23"/>
      <c r="P54" s="23"/>
      <c r="Q54" s="23"/>
      <c r="R54" s="23"/>
      <c r="S54" s="23"/>
      <c r="T54" s="23"/>
      <c r="U54" s="23"/>
      <c r="V54" s="23"/>
      <c r="W54" s="23"/>
      <c r="X54" s="23"/>
      <c r="Y54" s="23"/>
      <c r="Z54" s="23"/>
      <c r="AA54" s="23"/>
      <c r="AB54" s="23"/>
      <c r="AC54" s="23"/>
      <c r="AD54" s="39"/>
      <c r="AE54" s="39"/>
      <c r="AF54" s="39"/>
      <c r="AG54" s="39"/>
      <c r="AH54" s="23"/>
      <c r="AI54" s="23"/>
      <c r="AJ54" s="23"/>
      <c r="AK54" s="23"/>
      <c r="AL54" s="23"/>
      <c r="AM54" s="23"/>
      <c r="AN54" s="23"/>
      <c r="AO54" s="23"/>
      <c r="AP54" s="23"/>
      <c r="AQ54" s="23"/>
      <c r="AR54" s="23"/>
      <c r="AS54" s="23"/>
      <c r="AT54" s="23"/>
      <c r="AU54" s="23"/>
      <c r="AV54" s="23"/>
      <c r="AW54" s="23"/>
      <c r="AX54" s="23"/>
      <c r="AY54" s="23"/>
      <c r="AZ54" s="23"/>
      <c r="BA54" s="23"/>
      <c r="BB54" s="23"/>
      <c r="BC54" s="79"/>
      <c r="BD54" s="79"/>
      <c r="BE54" s="79"/>
      <c r="BF54" s="79"/>
      <c r="BG54" s="23"/>
      <c r="BH54" s="23"/>
      <c r="BI54" s="23"/>
      <c r="BJ54" s="23"/>
      <c r="BK54" s="23"/>
      <c r="BL54" s="23"/>
      <c r="BM54" s="23"/>
      <c r="BN54" s="23"/>
      <c r="BO54" s="23"/>
      <c r="BP54" s="23"/>
      <c r="BQ54" s="23"/>
      <c r="BR54" s="23"/>
      <c r="BS54" s="23"/>
      <c r="BT54" s="23"/>
      <c r="BU54" s="23"/>
      <c r="BV54" s="23"/>
      <c r="BW54" s="23"/>
      <c r="BX54" s="23"/>
      <c r="BY54" s="23"/>
      <c r="BZ54" s="23"/>
      <c r="CA54" s="23"/>
      <c r="CB54" s="80"/>
      <c r="CC54" s="78"/>
      <c r="CD54" s="79"/>
      <c r="CE54" s="79"/>
      <c r="CF54" s="23"/>
      <c r="CG54" s="23"/>
      <c r="CH54" s="23"/>
      <c r="CI54" s="23"/>
      <c r="CJ54" s="23"/>
      <c r="CK54" s="23"/>
      <c r="CL54" s="23"/>
      <c r="CM54" s="23"/>
      <c r="CN54" s="23"/>
      <c r="CO54" s="23"/>
      <c r="CP54" s="23"/>
      <c r="CQ54" s="23"/>
      <c r="CR54" s="23"/>
      <c r="CS54" s="23"/>
      <c r="CT54" s="23"/>
      <c r="CU54" s="23"/>
      <c r="CV54" s="23"/>
      <c r="CW54" s="23"/>
      <c r="CX54" s="23"/>
      <c r="CY54" s="23"/>
      <c r="CZ54" s="23"/>
      <c r="DA54" s="80"/>
      <c r="DB54" s="78"/>
      <c r="DC54" s="79"/>
      <c r="DD54" s="79"/>
      <c r="DE54" s="23"/>
      <c r="DF54" s="23"/>
      <c r="DG54" s="23"/>
      <c r="DH54" s="23"/>
      <c r="DI54" s="23"/>
      <c r="DJ54" s="23"/>
      <c r="DK54" s="23"/>
      <c r="DL54" s="23"/>
      <c r="DM54" s="23"/>
      <c r="DN54" s="23"/>
      <c r="DO54" s="23"/>
      <c r="DP54" s="23"/>
      <c r="DQ54" s="23"/>
      <c r="DR54" s="23"/>
      <c r="DS54" s="23"/>
      <c r="DT54" s="23"/>
      <c r="DU54" s="23"/>
      <c r="DV54" s="23"/>
      <c r="DW54" s="23"/>
      <c r="DX54" s="23"/>
      <c r="DY54" s="23"/>
      <c r="DZ54" s="80"/>
      <c r="EA54" s="78"/>
      <c r="EB54" s="79"/>
      <c r="EC54" s="79"/>
      <c r="ED54" s="23"/>
      <c r="EE54" s="23"/>
      <c r="EF54" s="23"/>
      <c r="EG54" s="23"/>
      <c r="EH54" s="23"/>
      <c r="EI54" s="23"/>
      <c r="EJ54" s="23"/>
      <c r="EK54" s="23"/>
      <c r="EL54" s="23"/>
      <c r="EM54" s="23"/>
      <c r="EN54" s="23"/>
      <c r="EO54" s="23"/>
      <c r="EP54" s="23"/>
      <c r="EQ54" s="23"/>
      <c r="ER54" s="23"/>
      <c r="ES54" s="23"/>
      <c r="ET54" s="23"/>
      <c r="EU54" s="23"/>
      <c r="EV54" s="23"/>
      <c r="EW54" s="23"/>
      <c r="EX54" s="23"/>
      <c r="EY54" s="45"/>
      <c r="EZ54" s="49"/>
      <c r="FA54" s="50"/>
      <c r="FB54" s="50"/>
      <c r="FC54" s="23"/>
      <c r="FD54" s="23"/>
      <c r="FE54" s="23"/>
      <c r="FF54" s="23"/>
      <c r="FG54" s="23"/>
      <c r="FH54" s="23"/>
      <c r="FI54" s="23"/>
      <c r="FJ54" s="23"/>
      <c r="FK54" s="23"/>
      <c r="FL54" s="23"/>
      <c r="FM54" s="23"/>
      <c r="FN54" s="23"/>
      <c r="FO54" s="23"/>
      <c r="FP54" s="23"/>
      <c r="FQ54" s="23"/>
      <c r="FR54" s="23"/>
      <c r="FS54" s="23"/>
    </row>
    <row r="55" spans="1:189" ht="15" customHeight="1" thickBot="1" x14ac:dyDescent="0.4">
      <c r="A55" s="23"/>
      <c r="B55" s="23"/>
      <c r="C55" s="23"/>
      <c r="D55" s="23"/>
      <c r="E55" s="95"/>
      <c r="F55" s="109"/>
      <c r="G55" s="121"/>
      <c r="H55" s="121"/>
      <c r="I55" s="23"/>
      <c r="J55" s="23"/>
      <c r="K55" s="23"/>
      <c r="L55" s="23"/>
      <c r="M55" s="23"/>
      <c r="N55" s="23"/>
      <c r="O55" s="23"/>
      <c r="P55" s="23"/>
      <c r="Q55" s="23"/>
      <c r="R55" s="23"/>
      <c r="S55" s="23"/>
      <c r="T55" s="23"/>
      <c r="U55" s="23"/>
      <c r="V55" s="23"/>
      <c r="W55" s="23"/>
      <c r="X55" s="23"/>
      <c r="Y55" s="23"/>
      <c r="Z55" s="23"/>
      <c r="AA55" s="23"/>
      <c r="AB55" s="23"/>
      <c r="AC55" s="23"/>
      <c r="AD55" s="39"/>
      <c r="AE55" s="39"/>
      <c r="AF55" s="39"/>
      <c r="AG55" s="39"/>
      <c r="AH55" s="23"/>
      <c r="AI55" s="23"/>
      <c r="AJ55" s="23"/>
      <c r="AK55" s="23"/>
      <c r="AL55" s="23"/>
      <c r="AM55" s="23"/>
      <c r="AN55" s="23"/>
      <c r="AO55" s="23"/>
      <c r="AP55" s="23"/>
      <c r="AQ55" s="23"/>
      <c r="AR55" s="23"/>
      <c r="AS55" s="23"/>
      <c r="AT55" s="23"/>
      <c r="AU55" s="23"/>
      <c r="AV55" s="23"/>
      <c r="AW55" s="23"/>
      <c r="AX55" s="23"/>
      <c r="AY55" s="23"/>
      <c r="AZ55" s="23"/>
      <c r="BA55" s="23"/>
      <c r="BB55" s="23"/>
      <c r="BC55" s="79"/>
      <c r="BD55" s="79"/>
      <c r="BE55" s="79"/>
      <c r="BF55" s="79"/>
      <c r="BG55" s="23"/>
      <c r="BH55" s="23"/>
      <c r="BI55" s="23"/>
      <c r="BJ55" s="23"/>
      <c r="BK55" s="23"/>
      <c r="BL55" s="23"/>
      <c r="BM55" s="23"/>
      <c r="BN55" s="23"/>
      <c r="BO55" s="23"/>
      <c r="BP55" s="23"/>
      <c r="BQ55" s="23"/>
      <c r="BR55" s="23"/>
      <c r="BS55" s="23"/>
      <c r="BT55" s="23"/>
      <c r="BU55" s="23"/>
      <c r="BV55" s="23"/>
      <c r="BW55" s="23"/>
      <c r="BX55" s="23"/>
      <c r="BY55" s="23"/>
      <c r="BZ55" s="23"/>
      <c r="CA55" s="23"/>
      <c r="CB55" s="81"/>
      <c r="CC55" s="78"/>
      <c r="CD55" s="79"/>
      <c r="CE55" s="79"/>
      <c r="CF55" s="23"/>
      <c r="CG55" s="23"/>
      <c r="CH55" s="23"/>
      <c r="CI55" s="23"/>
      <c r="CJ55" s="23"/>
      <c r="CK55" s="23"/>
      <c r="CL55" s="23"/>
      <c r="CM55" s="23"/>
      <c r="CN55" s="23"/>
      <c r="CO55" s="23"/>
      <c r="CP55" s="23"/>
      <c r="CQ55" s="23"/>
      <c r="CR55" s="23"/>
      <c r="CS55" s="23"/>
      <c r="CT55" s="23"/>
      <c r="CU55" s="23"/>
      <c r="CV55" s="23"/>
      <c r="CW55" s="23"/>
      <c r="CX55" s="23"/>
      <c r="CY55" s="23"/>
      <c r="CZ55" s="23"/>
      <c r="DA55" s="81"/>
      <c r="DB55" s="78"/>
      <c r="DC55" s="79"/>
      <c r="DD55" s="79"/>
      <c r="DE55" s="23"/>
      <c r="DF55" s="23"/>
      <c r="DG55" s="23"/>
      <c r="DH55" s="23"/>
      <c r="DI55" s="23"/>
      <c r="DJ55" s="23"/>
      <c r="DK55" s="23"/>
      <c r="DL55" s="23"/>
      <c r="DM55" s="23"/>
      <c r="DN55" s="23"/>
      <c r="DO55" s="23"/>
      <c r="DP55" s="23"/>
      <c r="DQ55" s="23"/>
      <c r="DR55" s="23"/>
      <c r="DS55" s="23"/>
      <c r="DT55" s="23"/>
      <c r="DU55" s="23"/>
      <c r="DV55" s="23"/>
      <c r="DW55" s="23"/>
      <c r="DX55" s="23"/>
      <c r="DY55" s="23"/>
      <c r="DZ55" s="81"/>
      <c r="EA55" s="78"/>
      <c r="EB55" s="79"/>
      <c r="EC55" s="79"/>
      <c r="ED55" s="23"/>
      <c r="EE55" s="23"/>
      <c r="EF55" s="23"/>
      <c r="EG55" s="23"/>
      <c r="EH55" s="23"/>
      <c r="EI55" s="23"/>
      <c r="EJ55" s="23"/>
      <c r="EK55" s="23"/>
      <c r="EL55" s="23"/>
      <c r="EM55" s="23"/>
      <c r="EN55" s="23"/>
      <c r="EO55" s="23"/>
      <c r="EP55" s="23"/>
      <c r="EQ55" s="23"/>
      <c r="ER55" s="23"/>
      <c r="ES55" s="23"/>
      <c r="ET55" s="23"/>
      <c r="EU55" s="23"/>
      <c r="EV55" s="23"/>
      <c r="EW55" s="23"/>
      <c r="EX55" s="23"/>
      <c r="EY55" s="46"/>
      <c r="EZ55" s="49"/>
      <c r="FA55" s="50"/>
      <c r="FB55" s="50"/>
      <c r="FC55" s="23"/>
      <c r="FD55" s="23"/>
      <c r="FE55" s="23"/>
      <c r="FF55" s="23"/>
      <c r="FG55" s="23"/>
      <c r="FH55" s="23"/>
      <c r="FI55" s="23"/>
      <c r="FJ55" s="23"/>
      <c r="FK55" s="23"/>
      <c r="FL55" s="23"/>
      <c r="FM55" s="23"/>
      <c r="FN55" s="23"/>
      <c r="FO55" s="23"/>
      <c r="FP55" s="23"/>
      <c r="FQ55" s="23"/>
      <c r="FR55" s="23"/>
      <c r="FS55" s="23"/>
    </row>
    <row r="56" spans="1:189" ht="14.5" customHeight="1" x14ac:dyDescent="0.35">
      <c r="A56" s="23"/>
      <c r="B56" s="23"/>
      <c r="C56" s="23"/>
      <c r="D56" s="23"/>
      <c r="E56" s="94" t="s">
        <v>70</v>
      </c>
      <c r="F56" s="107">
        <f>D39+AC39+BB39+CA39+CZ39+DY39+EX39</f>
        <v>62972.06259740259</v>
      </c>
      <c r="G56" s="120"/>
      <c r="H56" s="120"/>
      <c r="I56" s="23"/>
      <c r="J56" s="23"/>
      <c r="K56" s="23"/>
      <c r="L56" s="23"/>
      <c r="M56" s="23"/>
      <c r="N56" s="23"/>
      <c r="O56" s="23"/>
      <c r="P56" s="23"/>
      <c r="Q56" s="23"/>
      <c r="R56" s="23"/>
      <c r="S56" s="23"/>
      <c r="T56" s="23"/>
      <c r="U56" s="23"/>
      <c r="V56" s="23"/>
      <c r="W56" s="23"/>
      <c r="X56" s="23"/>
      <c r="Y56" s="23"/>
      <c r="Z56" s="23"/>
      <c r="AA56" s="23"/>
      <c r="AB56" s="23"/>
      <c r="AC56" s="23"/>
      <c r="AD56" s="39"/>
      <c r="AE56" s="39"/>
      <c r="AF56" s="39"/>
      <c r="AG56" s="39"/>
      <c r="AH56" s="23"/>
      <c r="AI56" s="23"/>
      <c r="AJ56" s="23"/>
      <c r="AK56" s="23"/>
      <c r="AL56" s="23"/>
      <c r="AM56" s="23"/>
      <c r="AN56" s="23"/>
      <c r="AO56" s="23"/>
      <c r="AP56" s="23"/>
      <c r="AQ56" s="23"/>
      <c r="AR56" s="23"/>
      <c r="AS56" s="23"/>
      <c r="AT56" s="23"/>
      <c r="AU56" s="23"/>
      <c r="AV56" s="23"/>
      <c r="AW56" s="23"/>
      <c r="AX56" s="23"/>
      <c r="AY56" s="23"/>
      <c r="AZ56" s="23"/>
      <c r="BA56" s="23"/>
      <c r="BB56" s="23"/>
      <c r="BC56" s="79"/>
      <c r="BD56" s="79"/>
      <c r="BE56" s="79"/>
      <c r="BF56" s="79"/>
      <c r="BG56" s="23"/>
      <c r="BH56" s="23"/>
      <c r="BI56" s="23"/>
      <c r="BJ56" s="23"/>
      <c r="BK56" s="23"/>
      <c r="BL56" s="23"/>
      <c r="BM56" s="23"/>
      <c r="BN56" s="23"/>
      <c r="BO56" s="23"/>
      <c r="BP56" s="23"/>
      <c r="BQ56" s="23"/>
      <c r="BR56" s="23"/>
      <c r="BS56" s="23"/>
      <c r="BT56" s="23"/>
      <c r="BU56" s="23"/>
      <c r="BV56" s="23"/>
      <c r="BW56" s="23"/>
      <c r="BX56" s="23"/>
      <c r="BY56" s="23"/>
      <c r="BZ56" s="23"/>
      <c r="CA56" s="23"/>
      <c r="CB56" s="80" t="s">
        <v>70</v>
      </c>
      <c r="CC56" s="76"/>
      <c r="CD56" s="77"/>
      <c r="CE56" s="77"/>
      <c r="CF56" s="23"/>
      <c r="CG56" s="23"/>
      <c r="CH56" s="23"/>
      <c r="CI56" s="23"/>
      <c r="CJ56" s="23"/>
      <c r="CK56" s="23"/>
      <c r="CL56" s="23"/>
      <c r="CM56" s="23"/>
      <c r="CN56" s="23"/>
      <c r="CO56" s="23"/>
      <c r="CP56" s="23"/>
      <c r="CQ56" s="23"/>
      <c r="CR56" s="23"/>
      <c r="CS56" s="23"/>
      <c r="CT56" s="23"/>
      <c r="CU56" s="23"/>
      <c r="CV56" s="23"/>
      <c r="CW56" s="23"/>
      <c r="CX56" s="23"/>
      <c r="CY56" s="23"/>
      <c r="CZ56" s="23"/>
      <c r="DA56" s="80" t="s">
        <v>70</v>
      </c>
      <c r="DB56" s="76"/>
      <c r="DC56" s="77"/>
      <c r="DD56" s="77"/>
      <c r="DE56" s="23"/>
      <c r="DF56" s="23"/>
      <c r="DG56" s="23"/>
      <c r="DH56" s="23"/>
      <c r="DI56" s="23"/>
      <c r="DJ56" s="23"/>
      <c r="DK56" s="23"/>
      <c r="DL56" s="23"/>
      <c r="DM56" s="23"/>
      <c r="DN56" s="23"/>
      <c r="DO56" s="23"/>
      <c r="DP56" s="23"/>
      <c r="DQ56" s="23"/>
      <c r="DR56" s="23"/>
      <c r="DS56" s="23"/>
      <c r="DT56" s="23"/>
      <c r="DU56" s="23"/>
      <c r="DV56" s="23"/>
      <c r="DW56" s="23"/>
      <c r="DX56" s="23"/>
      <c r="DY56" s="23"/>
      <c r="DZ56" s="80" t="s">
        <v>70</v>
      </c>
      <c r="EA56" s="76"/>
      <c r="EB56" s="77"/>
      <c r="EC56" s="77"/>
      <c r="ED56" s="23"/>
      <c r="EE56" s="23"/>
      <c r="EF56" s="23"/>
      <c r="EG56" s="23"/>
      <c r="EH56" s="23"/>
      <c r="EI56" s="23"/>
      <c r="EJ56" s="23"/>
      <c r="EK56" s="23"/>
      <c r="EL56" s="23"/>
      <c r="EM56" s="23"/>
      <c r="EN56" s="23"/>
      <c r="EO56" s="23"/>
      <c r="EP56" s="23"/>
      <c r="EQ56" s="23"/>
      <c r="ER56" s="23"/>
      <c r="ES56" s="23"/>
      <c r="ET56" s="23"/>
      <c r="EU56" s="23"/>
      <c r="EV56" s="23"/>
      <c r="EW56" s="23"/>
      <c r="EX56" s="23"/>
      <c r="EY56" s="45" t="s">
        <v>70</v>
      </c>
      <c r="EZ56" s="47"/>
      <c r="FA56" s="48"/>
      <c r="FB56" s="48"/>
      <c r="FC56" s="23"/>
      <c r="FD56" s="23"/>
      <c r="FE56" s="23"/>
      <c r="FF56" s="23"/>
      <c r="FG56" s="23"/>
      <c r="FH56" s="23"/>
      <c r="FI56" s="23"/>
      <c r="FJ56" s="23"/>
      <c r="FK56" s="23"/>
      <c r="FL56" s="23"/>
      <c r="FM56" s="23"/>
      <c r="FN56" s="23"/>
      <c r="FO56" s="23"/>
      <c r="FP56" s="23"/>
      <c r="FQ56" s="23"/>
      <c r="FR56" s="23"/>
      <c r="FS56" s="23"/>
    </row>
    <row r="57" spans="1:189" ht="14.5" customHeight="1" x14ac:dyDescent="0.35">
      <c r="A57" s="23"/>
      <c r="B57" s="23"/>
      <c r="C57" s="23"/>
      <c r="D57" s="23"/>
      <c r="E57" s="94"/>
      <c r="F57" s="109"/>
      <c r="G57" s="121"/>
      <c r="H57" s="121"/>
      <c r="I57" s="23"/>
      <c r="J57" s="23"/>
      <c r="K57" s="23"/>
      <c r="L57" s="23"/>
      <c r="M57" s="23"/>
      <c r="N57" s="23"/>
      <c r="O57" s="23"/>
      <c r="P57" s="23"/>
      <c r="Q57" s="23"/>
      <c r="R57" s="23"/>
      <c r="S57" s="23"/>
      <c r="T57" s="23"/>
      <c r="U57" s="23"/>
      <c r="V57" s="23"/>
      <c r="W57" s="23"/>
      <c r="X57" s="23"/>
      <c r="Y57" s="23"/>
      <c r="Z57" s="23"/>
      <c r="AA57" s="23"/>
      <c r="AB57" s="23"/>
      <c r="AC57" s="23"/>
      <c r="AD57" s="39"/>
      <c r="AE57" s="39"/>
      <c r="AF57" s="39"/>
      <c r="AG57" s="39"/>
      <c r="AH57" s="23"/>
      <c r="AI57" s="23"/>
      <c r="AJ57" s="23"/>
      <c r="AK57" s="23"/>
      <c r="AL57" s="23"/>
      <c r="AM57" s="23"/>
      <c r="AN57" s="23"/>
      <c r="AO57" s="23"/>
      <c r="AP57" s="23"/>
      <c r="AQ57" s="23"/>
      <c r="AR57" s="23"/>
      <c r="AS57" s="23"/>
      <c r="AT57" s="23"/>
      <c r="AU57" s="23"/>
      <c r="AV57" s="23"/>
      <c r="AW57" s="23"/>
      <c r="AX57" s="23"/>
      <c r="AY57" s="23"/>
      <c r="AZ57" s="23"/>
      <c r="BA57" s="23"/>
      <c r="BB57" s="23"/>
      <c r="BC57" s="79"/>
      <c r="BD57" s="79"/>
      <c r="BE57" s="79"/>
      <c r="BF57" s="79"/>
      <c r="BG57" s="23"/>
      <c r="BH57" s="23"/>
      <c r="BI57" s="23"/>
      <c r="BJ57" s="23"/>
      <c r="BK57" s="23"/>
      <c r="BL57" s="23"/>
      <c r="BM57" s="23"/>
      <c r="BN57" s="23"/>
      <c r="BO57" s="23"/>
      <c r="BP57" s="23"/>
      <c r="BQ57" s="23"/>
      <c r="BR57" s="23"/>
      <c r="BS57" s="23"/>
      <c r="BT57" s="23"/>
      <c r="BU57" s="23"/>
      <c r="BV57" s="23"/>
      <c r="BW57" s="23"/>
      <c r="BX57" s="23"/>
      <c r="BY57" s="23"/>
      <c r="BZ57" s="23"/>
      <c r="CA57" s="23"/>
      <c r="CB57" s="80"/>
      <c r="CC57" s="78"/>
      <c r="CD57" s="79"/>
      <c r="CE57" s="79"/>
      <c r="CF57" s="23"/>
      <c r="CG57" s="23"/>
      <c r="CH57" s="23"/>
      <c r="CI57" s="23"/>
      <c r="CJ57" s="23"/>
      <c r="CK57" s="23"/>
      <c r="CL57" s="23"/>
      <c r="CM57" s="23"/>
      <c r="CN57" s="23"/>
      <c r="CO57" s="23"/>
      <c r="CP57" s="23"/>
      <c r="CQ57" s="23"/>
      <c r="CR57" s="23"/>
      <c r="CS57" s="23"/>
      <c r="CT57" s="23"/>
      <c r="CU57" s="23"/>
      <c r="CV57" s="23"/>
      <c r="CW57" s="23"/>
      <c r="CX57" s="23"/>
      <c r="CY57" s="23"/>
      <c r="CZ57" s="23"/>
      <c r="DA57" s="80"/>
      <c r="DB57" s="78"/>
      <c r="DC57" s="79"/>
      <c r="DD57" s="79"/>
      <c r="DE57" s="23"/>
      <c r="DF57" s="23"/>
      <c r="DG57" s="23"/>
      <c r="DH57" s="23"/>
      <c r="DI57" s="23"/>
      <c r="DJ57" s="23"/>
      <c r="DK57" s="23"/>
      <c r="DL57" s="23"/>
      <c r="DM57" s="23"/>
      <c r="DN57" s="23"/>
      <c r="DO57" s="23"/>
      <c r="DP57" s="23"/>
      <c r="DQ57" s="23"/>
      <c r="DR57" s="23"/>
      <c r="DS57" s="23"/>
      <c r="DT57" s="23"/>
      <c r="DU57" s="23"/>
      <c r="DV57" s="23"/>
      <c r="DW57" s="23"/>
      <c r="DX57" s="23"/>
      <c r="DY57" s="23"/>
      <c r="DZ57" s="80"/>
      <c r="EA57" s="78"/>
      <c r="EB57" s="79"/>
      <c r="EC57" s="79"/>
      <c r="ED57" s="23"/>
      <c r="EE57" s="23"/>
      <c r="EF57" s="23"/>
      <c r="EG57" s="23"/>
      <c r="EH57" s="23"/>
      <c r="EI57" s="23"/>
      <c r="EJ57" s="23"/>
      <c r="EK57" s="23"/>
      <c r="EL57" s="23"/>
      <c r="EM57" s="23"/>
      <c r="EN57" s="23"/>
      <c r="EO57" s="23"/>
      <c r="EP57" s="23"/>
      <c r="EQ57" s="23"/>
      <c r="ER57" s="23"/>
      <c r="ES57" s="23"/>
      <c r="ET57" s="23"/>
      <c r="EU57" s="23"/>
      <c r="EV57" s="23"/>
      <c r="EW57" s="23"/>
      <c r="EX57" s="23"/>
      <c r="EY57" s="45"/>
      <c r="EZ57" s="49"/>
      <c r="FA57" s="50"/>
      <c r="FB57" s="50"/>
      <c r="FC57" s="23"/>
      <c r="FD57" s="23"/>
      <c r="FE57" s="23"/>
      <c r="FF57" s="23"/>
      <c r="FG57" s="23"/>
      <c r="FH57" s="23"/>
      <c r="FI57" s="23"/>
      <c r="FJ57" s="23"/>
      <c r="FK57" s="23"/>
      <c r="FL57" s="23"/>
      <c r="FM57" s="23"/>
      <c r="FN57" s="23"/>
      <c r="FO57" s="23"/>
      <c r="FP57" s="23"/>
      <c r="FQ57" s="23"/>
      <c r="FR57" s="23"/>
      <c r="FS57" s="23"/>
    </row>
    <row r="58" spans="1:189" ht="14.5" customHeight="1" x14ac:dyDescent="0.35">
      <c r="A58" s="23"/>
      <c r="B58" s="23"/>
      <c r="C58" s="23"/>
      <c r="D58" s="23"/>
      <c r="E58" s="94"/>
      <c r="F58" s="109"/>
      <c r="G58" s="121"/>
      <c r="H58" s="121"/>
      <c r="I58" s="23"/>
      <c r="J58" s="23"/>
      <c r="K58" s="23"/>
      <c r="L58" s="23"/>
      <c r="M58" s="23"/>
      <c r="N58" s="23"/>
      <c r="O58" s="23"/>
      <c r="P58" s="23"/>
      <c r="Q58" s="23"/>
      <c r="R58" s="23"/>
      <c r="S58" s="23"/>
      <c r="T58" s="23"/>
      <c r="U58" s="23"/>
      <c r="V58" s="23"/>
      <c r="W58" s="23"/>
      <c r="X58" s="23"/>
      <c r="Y58" s="23"/>
      <c r="Z58" s="23"/>
      <c r="AA58" s="23"/>
      <c r="AB58" s="23"/>
      <c r="AC58" s="23"/>
      <c r="AD58" s="39"/>
      <c r="AE58" s="39"/>
      <c r="AF58" s="39"/>
      <c r="AG58" s="39"/>
      <c r="AH58" s="23"/>
      <c r="AI58" s="23"/>
      <c r="AJ58" s="23"/>
      <c r="AK58" s="23"/>
      <c r="AL58" s="23"/>
      <c r="AM58" s="23"/>
      <c r="AN58" s="23"/>
      <c r="AO58" s="23"/>
      <c r="AP58" s="23"/>
      <c r="AQ58" s="23"/>
      <c r="AR58" s="23"/>
      <c r="AS58" s="23"/>
      <c r="AT58" s="23"/>
      <c r="AU58" s="23"/>
      <c r="AV58" s="23"/>
      <c r="AW58" s="23"/>
      <c r="AX58" s="23"/>
      <c r="AY58" s="23"/>
      <c r="AZ58" s="23"/>
      <c r="BA58" s="23"/>
      <c r="BB58" s="23"/>
      <c r="BC58" s="79"/>
      <c r="BD58" s="79"/>
      <c r="BE58" s="79"/>
      <c r="BF58" s="79"/>
      <c r="BG58" s="23"/>
      <c r="BH58" s="23"/>
      <c r="BI58" s="23"/>
      <c r="BJ58" s="23"/>
      <c r="BK58" s="23"/>
      <c r="BL58" s="23"/>
      <c r="BM58" s="23"/>
      <c r="BN58" s="23"/>
      <c r="BO58" s="23"/>
      <c r="BP58" s="23"/>
      <c r="BQ58" s="23"/>
      <c r="BR58" s="23"/>
      <c r="BS58" s="23"/>
      <c r="BT58" s="23"/>
      <c r="BU58" s="23"/>
      <c r="BV58" s="23"/>
      <c r="BW58" s="23"/>
      <c r="BX58" s="23"/>
      <c r="BY58" s="23"/>
      <c r="BZ58" s="23"/>
      <c r="CA58" s="23"/>
      <c r="CB58" s="80"/>
      <c r="CC58" s="78"/>
      <c r="CD58" s="79"/>
      <c r="CE58" s="79"/>
      <c r="CF58" s="23"/>
      <c r="CG58" s="23"/>
      <c r="CH58" s="23"/>
      <c r="CI58" s="23"/>
      <c r="CJ58" s="23"/>
      <c r="CK58" s="23"/>
      <c r="CL58" s="23"/>
      <c r="CM58" s="23"/>
      <c r="CN58" s="23"/>
      <c r="CO58" s="23"/>
      <c r="CP58" s="23"/>
      <c r="CQ58" s="23"/>
      <c r="CR58" s="23"/>
      <c r="CS58" s="23"/>
      <c r="CT58" s="23"/>
      <c r="CU58" s="23"/>
      <c r="CV58" s="23"/>
      <c r="CW58" s="23"/>
      <c r="CX58" s="23"/>
      <c r="CY58" s="23"/>
      <c r="CZ58" s="23"/>
      <c r="DA58" s="80"/>
      <c r="DB58" s="78"/>
      <c r="DC58" s="79"/>
      <c r="DD58" s="79"/>
      <c r="DE58" s="23"/>
      <c r="DF58" s="23"/>
      <c r="DG58" s="23"/>
      <c r="DH58" s="23"/>
      <c r="DI58" s="23"/>
      <c r="DJ58" s="23"/>
      <c r="DK58" s="23"/>
      <c r="DL58" s="23"/>
      <c r="DM58" s="23"/>
      <c r="DN58" s="23"/>
      <c r="DO58" s="23"/>
      <c r="DP58" s="23"/>
      <c r="DQ58" s="23"/>
      <c r="DR58" s="23"/>
      <c r="DS58" s="23"/>
      <c r="DT58" s="23"/>
      <c r="DU58" s="23"/>
      <c r="DV58" s="23"/>
      <c r="DW58" s="23"/>
      <c r="DX58" s="23"/>
      <c r="DY58" s="23"/>
      <c r="DZ58" s="80"/>
      <c r="EA58" s="78"/>
      <c r="EB58" s="79"/>
      <c r="EC58" s="79"/>
      <c r="ED58" s="23"/>
      <c r="EE58" s="23"/>
      <c r="EF58" s="23"/>
      <c r="EG58" s="23"/>
      <c r="EH58" s="23"/>
      <c r="EI58" s="23"/>
      <c r="EJ58" s="23"/>
      <c r="EK58" s="23"/>
      <c r="EL58" s="23"/>
      <c r="EM58" s="23"/>
      <c r="EN58" s="23"/>
      <c r="EO58" s="23"/>
      <c r="EP58" s="23"/>
      <c r="EQ58" s="23"/>
      <c r="ER58" s="23"/>
      <c r="ES58" s="23"/>
      <c r="ET58" s="23"/>
      <c r="EU58" s="23"/>
      <c r="EV58" s="23"/>
      <c r="EW58" s="23"/>
      <c r="EX58" s="23"/>
      <c r="EY58" s="45"/>
      <c r="EZ58" s="49"/>
      <c r="FA58" s="50"/>
      <c r="FB58" s="50"/>
      <c r="FC58" s="23"/>
      <c r="FD58" s="23"/>
      <c r="FE58" s="23"/>
      <c r="FF58" s="23"/>
      <c r="FG58" s="23"/>
      <c r="FH58" s="23"/>
      <c r="FI58" s="23"/>
      <c r="FJ58" s="23"/>
      <c r="FK58" s="23"/>
      <c r="FL58" s="23"/>
      <c r="FM58" s="23"/>
      <c r="FN58" s="23"/>
      <c r="FO58" s="23"/>
      <c r="FP58" s="23"/>
      <c r="FQ58" s="23"/>
      <c r="FR58" s="23"/>
      <c r="FS58" s="23"/>
    </row>
    <row r="59" spans="1:189" ht="15" customHeight="1" thickBot="1" x14ac:dyDescent="0.4">
      <c r="A59" s="23"/>
      <c r="B59" s="23"/>
      <c r="C59" s="23"/>
      <c r="D59" s="23"/>
      <c r="E59" s="95"/>
      <c r="F59" s="109"/>
      <c r="G59" s="121"/>
      <c r="H59" s="121"/>
      <c r="I59" s="23"/>
      <c r="J59" s="23"/>
      <c r="K59" s="23"/>
      <c r="L59" s="23"/>
      <c r="M59" s="23"/>
      <c r="N59" s="23"/>
      <c r="O59" s="23"/>
      <c r="P59" s="23"/>
      <c r="Q59" s="23"/>
      <c r="R59" s="23"/>
      <c r="S59" s="23"/>
      <c r="T59" s="23"/>
      <c r="U59" s="23"/>
      <c r="V59" s="23"/>
      <c r="W59" s="23"/>
      <c r="X59" s="23"/>
      <c r="Y59" s="23"/>
      <c r="Z59" s="23"/>
      <c r="AA59" s="23"/>
      <c r="AB59" s="23"/>
      <c r="AC59" s="23"/>
      <c r="AD59" s="39"/>
      <c r="AE59" s="39"/>
      <c r="AF59" s="39"/>
      <c r="AG59" s="39"/>
      <c r="AH59" s="23"/>
      <c r="AI59" s="23"/>
      <c r="AJ59" s="23"/>
      <c r="AK59" s="23"/>
      <c r="AL59" s="23"/>
      <c r="AM59" s="23"/>
      <c r="AN59" s="23"/>
      <c r="AO59" s="23"/>
      <c r="AP59" s="23"/>
      <c r="AQ59" s="23"/>
      <c r="AR59" s="23"/>
      <c r="AS59" s="23"/>
      <c r="AT59" s="23"/>
      <c r="AU59" s="23"/>
      <c r="AV59" s="23"/>
      <c r="AW59" s="23"/>
      <c r="AX59" s="23"/>
      <c r="AY59" s="23"/>
      <c r="AZ59" s="23"/>
      <c r="BA59" s="23"/>
      <c r="BB59" s="23"/>
      <c r="BC59" s="79"/>
      <c r="BD59" s="79"/>
      <c r="BE59" s="79"/>
      <c r="BF59" s="79"/>
      <c r="BG59" s="23"/>
      <c r="BH59" s="23"/>
      <c r="BI59" s="23"/>
      <c r="BJ59" s="23"/>
      <c r="BK59" s="23"/>
      <c r="BL59" s="23"/>
      <c r="BM59" s="23"/>
      <c r="BN59" s="23"/>
      <c r="BO59" s="23"/>
      <c r="BP59" s="23"/>
      <c r="BQ59" s="23"/>
      <c r="BR59" s="23"/>
      <c r="BS59" s="23"/>
      <c r="BT59" s="23"/>
      <c r="BU59" s="23"/>
      <c r="BV59" s="23"/>
      <c r="BW59" s="23"/>
      <c r="BX59" s="23"/>
      <c r="BY59" s="23"/>
      <c r="BZ59" s="23"/>
      <c r="CA59" s="23"/>
      <c r="CB59" s="81"/>
      <c r="CC59" s="78"/>
      <c r="CD59" s="79"/>
      <c r="CE59" s="79"/>
      <c r="CF59" s="23"/>
      <c r="CG59" s="23"/>
      <c r="CH59" s="23"/>
      <c r="CI59" s="23"/>
      <c r="CJ59" s="23"/>
      <c r="CK59" s="23"/>
      <c r="CL59" s="23"/>
      <c r="CM59" s="23"/>
      <c r="CN59" s="23"/>
      <c r="CO59" s="23"/>
      <c r="CP59" s="23"/>
      <c r="CQ59" s="23"/>
      <c r="CR59" s="23"/>
      <c r="CS59" s="23"/>
      <c r="CT59" s="23"/>
      <c r="CU59" s="23"/>
      <c r="CV59" s="23"/>
      <c r="CW59" s="23"/>
      <c r="CX59" s="23"/>
      <c r="CY59" s="23"/>
      <c r="CZ59" s="23"/>
      <c r="DA59" s="81"/>
      <c r="DB59" s="78"/>
      <c r="DC59" s="79"/>
      <c r="DD59" s="79"/>
      <c r="DE59" s="23"/>
      <c r="DF59" s="23"/>
      <c r="DG59" s="23"/>
      <c r="DH59" s="23"/>
      <c r="DI59" s="23"/>
      <c r="DJ59" s="23"/>
      <c r="DK59" s="23"/>
      <c r="DL59" s="23"/>
      <c r="DM59" s="23"/>
      <c r="DN59" s="23"/>
      <c r="DO59" s="23"/>
      <c r="DP59" s="23"/>
      <c r="DQ59" s="23"/>
      <c r="DR59" s="23"/>
      <c r="DS59" s="23"/>
      <c r="DT59" s="23"/>
      <c r="DU59" s="23"/>
      <c r="DV59" s="23"/>
      <c r="DW59" s="23"/>
      <c r="DX59" s="23"/>
      <c r="DY59" s="23"/>
      <c r="DZ59" s="81"/>
      <c r="EA59" s="78"/>
      <c r="EB59" s="79"/>
      <c r="EC59" s="79"/>
      <c r="ED59" s="23"/>
      <c r="EE59" s="23"/>
      <c r="EF59" s="23"/>
      <c r="EG59" s="23"/>
      <c r="EH59" s="23"/>
      <c r="EI59" s="23"/>
      <c r="EJ59" s="23"/>
      <c r="EK59" s="23"/>
      <c r="EL59" s="23"/>
      <c r="EM59" s="23"/>
      <c r="EN59" s="23"/>
      <c r="EO59" s="23"/>
      <c r="EP59" s="23"/>
      <c r="EQ59" s="23"/>
      <c r="ER59" s="23"/>
      <c r="ES59" s="23"/>
      <c r="ET59" s="23"/>
      <c r="EU59" s="23"/>
      <c r="EV59" s="23"/>
      <c r="EW59" s="23"/>
      <c r="EX59" s="23"/>
      <c r="EY59" s="46"/>
      <c r="EZ59" s="49"/>
      <c r="FA59" s="50"/>
      <c r="FB59" s="50"/>
      <c r="FC59" s="23"/>
      <c r="FD59" s="23"/>
      <c r="FE59" s="23"/>
      <c r="FF59" s="23"/>
      <c r="FG59" s="23"/>
      <c r="FH59" s="23"/>
      <c r="FI59" s="23"/>
      <c r="FJ59" s="23"/>
      <c r="FK59" s="23"/>
      <c r="FL59" s="23"/>
      <c r="FM59" s="23"/>
      <c r="FN59" s="23"/>
      <c r="FO59" s="23"/>
      <c r="FP59" s="23"/>
      <c r="FQ59" s="23"/>
      <c r="FR59" s="23"/>
      <c r="FS59" s="23"/>
    </row>
    <row r="60" spans="1:189" ht="14.5" customHeight="1" x14ac:dyDescent="0.35">
      <c r="A60" s="23"/>
      <c r="B60" s="23"/>
      <c r="C60" s="23"/>
      <c r="D60" s="23"/>
      <c r="E60" s="94" t="s">
        <v>73</v>
      </c>
      <c r="F60" s="107">
        <f>F56-F52</f>
        <v>54917.06259740259</v>
      </c>
      <c r="G60" s="120"/>
      <c r="H60" s="120"/>
      <c r="I60" s="23"/>
      <c r="J60" s="23"/>
      <c r="K60" s="23"/>
      <c r="L60" s="23"/>
      <c r="M60" s="23"/>
      <c r="N60" s="23"/>
      <c r="O60" s="23"/>
      <c r="P60" s="23"/>
      <c r="Q60" s="23"/>
      <c r="R60" s="23"/>
      <c r="S60" s="23"/>
      <c r="T60" s="23"/>
      <c r="U60" s="23"/>
      <c r="V60" s="23"/>
      <c r="W60" s="23"/>
      <c r="X60" s="23"/>
      <c r="Y60" s="23"/>
      <c r="Z60" s="23"/>
      <c r="AA60" s="23"/>
      <c r="AB60" s="23"/>
      <c r="AC60" s="23"/>
      <c r="AD60" s="39"/>
      <c r="AE60" s="39"/>
      <c r="AF60" s="39"/>
      <c r="AG60" s="39"/>
      <c r="AH60" s="23"/>
      <c r="AI60" s="23"/>
      <c r="AJ60" s="23"/>
      <c r="AK60" s="23"/>
      <c r="AL60" s="23"/>
      <c r="AM60" s="23"/>
      <c r="AN60" s="23"/>
      <c r="AO60" s="23"/>
      <c r="AP60" s="23"/>
      <c r="AQ60" s="23"/>
      <c r="AR60" s="23"/>
      <c r="AS60" s="23"/>
      <c r="AT60" s="23"/>
      <c r="AU60" s="23"/>
      <c r="AV60" s="23"/>
      <c r="AW60" s="23"/>
      <c r="AX60" s="23"/>
      <c r="AY60" s="23"/>
      <c r="AZ60" s="23"/>
      <c r="BA60" s="23"/>
      <c r="BB60" s="23"/>
      <c r="BC60" s="79"/>
      <c r="BD60" s="79"/>
      <c r="BE60" s="79"/>
      <c r="BF60" s="79"/>
      <c r="BG60" s="23"/>
      <c r="BH60" s="23"/>
      <c r="BI60" s="23"/>
      <c r="BJ60" s="23"/>
      <c r="BK60" s="23"/>
      <c r="BL60" s="23"/>
      <c r="BM60" s="23"/>
      <c r="BN60" s="23"/>
      <c r="BO60" s="23"/>
      <c r="BP60" s="23"/>
      <c r="BQ60" s="23"/>
      <c r="BR60" s="23"/>
      <c r="BS60" s="23"/>
      <c r="BT60" s="23"/>
      <c r="BU60" s="23"/>
      <c r="BV60" s="23"/>
      <c r="BW60" s="23"/>
      <c r="BX60" s="23"/>
      <c r="BY60" s="23"/>
      <c r="BZ60" s="23"/>
      <c r="CA60" s="23"/>
      <c r="CB60" s="80" t="s">
        <v>73</v>
      </c>
      <c r="CC60" s="76"/>
      <c r="CD60" s="77"/>
      <c r="CE60" s="77"/>
      <c r="CF60" s="23"/>
      <c r="CG60" s="23"/>
      <c r="CH60" s="23"/>
      <c r="CI60" s="23"/>
      <c r="CJ60" s="23"/>
      <c r="CK60" s="23"/>
      <c r="CL60" s="23"/>
      <c r="CM60" s="23"/>
      <c r="CN60" s="23"/>
      <c r="CO60" s="23"/>
      <c r="CP60" s="23"/>
      <c r="CQ60" s="23"/>
      <c r="CR60" s="23"/>
      <c r="CS60" s="23"/>
      <c r="CT60" s="23"/>
      <c r="CU60" s="23"/>
      <c r="CV60" s="23"/>
      <c r="CW60" s="23"/>
      <c r="CX60" s="23"/>
      <c r="CY60" s="23"/>
      <c r="CZ60" s="23"/>
      <c r="DA60" s="80" t="s">
        <v>73</v>
      </c>
      <c r="DB60" s="76"/>
      <c r="DC60" s="77"/>
      <c r="DD60" s="77"/>
      <c r="DE60" s="23"/>
      <c r="DF60" s="23"/>
      <c r="DG60" s="23"/>
      <c r="DH60" s="23"/>
      <c r="DI60" s="23"/>
      <c r="DJ60" s="23"/>
      <c r="DK60" s="23"/>
      <c r="DL60" s="23"/>
      <c r="DM60" s="23"/>
      <c r="DN60" s="23"/>
      <c r="DO60" s="23"/>
      <c r="DP60" s="23"/>
      <c r="DQ60" s="23"/>
      <c r="DR60" s="23"/>
      <c r="DS60" s="23"/>
      <c r="DT60" s="23"/>
      <c r="DU60" s="23"/>
      <c r="DV60" s="23"/>
      <c r="DW60" s="23"/>
      <c r="DX60" s="23"/>
      <c r="DY60" s="23"/>
      <c r="DZ60" s="80" t="s">
        <v>73</v>
      </c>
      <c r="EA60" s="76"/>
      <c r="EB60" s="77"/>
      <c r="EC60" s="77"/>
      <c r="ED60" s="23"/>
      <c r="EE60" s="23"/>
      <c r="EF60" s="23"/>
      <c r="EG60" s="23"/>
      <c r="EH60" s="23"/>
      <c r="EI60" s="23"/>
      <c r="EJ60" s="23"/>
      <c r="EK60" s="23"/>
      <c r="EL60" s="23"/>
      <c r="EM60" s="23"/>
      <c r="EN60" s="23"/>
      <c r="EO60" s="23"/>
      <c r="EP60" s="23"/>
      <c r="EQ60" s="23"/>
      <c r="ER60" s="23"/>
      <c r="ES60" s="23"/>
      <c r="ET60" s="23"/>
      <c r="EU60" s="23"/>
      <c r="EV60" s="23"/>
      <c r="EW60" s="23"/>
      <c r="EX60" s="23"/>
      <c r="EY60" s="45" t="s">
        <v>73</v>
      </c>
      <c r="EZ60" s="47"/>
      <c r="FA60" s="48"/>
      <c r="FB60" s="48"/>
      <c r="FC60" s="23"/>
      <c r="FD60" s="23"/>
      <c r="FE60" s="23"/>
      <c r="FF60" s="23"/>
      <c r="FG60" s="23"/>
      <c r="FH60" s="23"/>
      <c r="FI60" s="23"/>
      <c r="FJ60" s="23"/>
      <c r="FK60" s="23"/>
      <c r="FL60" s="23"/>
      <c r="FM60" s="23"/>
      <c r="FN60" s="23"/>
      <c r="FO60" s="23"/>
      <c r="FP60" s="23"/>
      <c r="FQ60" s="23"/>
      <c r="FR60" s="23"/>
      <c r="FS60" s="23"/>
    </row>
    <row r="61" spans="1:189" ht="14.5" customHeight="1" x14ac:dyDescent="0.35">
      <c r="A61" s="23"/>
      <c r="B61" s="23"/>
      <c r="C61" s="23"/>
      <c r="D61" s="23"/>
      <c r="E61" s="94"/>
      <c r="F61" s="109"/>
      <c r="G61" s="121"/>
      <c r="H61" s="121"/>
      <c r="I61" s="23"/>
      <c r="J61" s="23"/>
      <c r="K61" s="23"/>
      <c r="L61" s="23"/>
      <c r="M61" s="23"/>
      <c r="N61" s="23"/>
      <c r="O61" s="23"/>
      <c r="P61" s="23"/>
      <c r="Q61" s="23"/>
      <c r="R61" s="23"/>
      <c r="S61" s="23"/>
      <c r="T61" s="23"/>
      <c r="U61" s="23"/>
      <c r="V61" s="23"/>
      <c r="W61" s="23"/>
      <c r="X61" s="23"/>
      <c r="Y61" s="23"/>
      <c r="Z61" s="23"/>
      <c r="AA61" s="23"/>
      <c r="AB61" s="23"/>
      <c r="AC61" s="23"/>
      <c r="AD61" s="39"/>
      <c r="AE61" s="39"/>
      <c r="AF61" s="39"/>
      <c r="AG61" s="39"/>
      <c r="AH61" s="23"/>
      <c r="AI61" s="23"/>
      <c r="AJ61" s="23"/>
      <c r="AK61" s="23"/>
      <c r="AL61" s="23"/>
      <c r="AM61" s="23"/>
      <c r="AN61" s="23"/>
      <c r="AO61" s="23"/>
      <c r="AP61" s="23"/>
      <c r="AQ61" s="23"/>
      <c r="AR61" s="23"/>
      <c r="AS61" s="23"/>
      <c r="AT61" s="23"/>
      <c r="AU61" s="23"/>
      <c r="AV61" s="23"/>
      <c r="AW61" s="23"/>
      <c r="AX61" s="23"/>
      <c r="AY61" s="23"/>
      <c r="AZ61" s="23"/>
      <c r="BA61" s="23"/>
      <c r="BB61" s="23"/>
      <c r="BC61" s="79"/>
      <c r="BD61" s="79"/>
      <c r="BE61" s="79"/>
      <c r="BF61" s="79"/>
      <c r="BG61" s="23"/>
      <c r="BH61" s="23"/>
      <c r="BI61" s="23"/>
      <c r="BJ61" s="23"/>
      <c r="BK61" s="23"/>
      <c r="BL61" s="23"/>
      <c r="BM61" s="23"/>
      <c r="BN61" s="23"/>
      <c r="BO61" s="23"/>
      <c r="BP61" s="23"/>
      <c r="BQ61" s="23"/>
      <c r="BR61" s="23"/>
      <c r="BS61" s="23"/>
      <c r="BT61" s="23"/>
      <c r="BU61" s="23"/>
      <c r="BV61" s="23"/>
      <c r="BW61" s="23"/>
      <c r="BX61" s="23"/>
      <c r="BY61" s="23"/>
      <c r="BZ61" s="23"/>
      <c r="CA61" s="23"/>
      <c r="CB61" s="80"/>
      <c r="CC61" s="78"/>
      <c r="CD61" s="79"/>
      <c r="CE61" s="79"/>
      <c r="CF61" s="23"/>
      <c r="CG61" s="23"/>
      <c r="CH61" s="23"/>
      <c r="CI61" s="23"/>
      <c r="CJ61" s="23"/>
      <c r="CK61" s="23"/>
      <c r="CL61" s="23"/>
      <c r="CM61" s="23"/>
      <c r="CN61" s="23"/>
      <c r="CO61" s="23"/>
      <c r="CP61" s="23"/>
      <c r="CQ61" s="23"/>
      <c r="CR61" s="23"/>
      <c r="CS61" s="23"/>
      <c r="CT61" s="23"/>
      <c r="CU61" s="23"/>
      <c r="CV61" s="23"/>
      <c r="CW61" s="23"/>
      <c r="CX61" s="23"/>
      <c r="CY61" s="23"/>
      <c r="CZ61" s="23"/>
      <c r="DA61" s="80"/>
      <c r="DB61" s="78"/>
      <c r="DC61" s="79"/>
      <c r="DD61" s="79"/>
      <c r="DE61" s="23"/>
      <c r="DF61" s="23"/>
      <c r="DG61" s="23"/>
      <c r="DH61" s="23"/>
      <c r="DI61" s="23"/>
      <c r="DJ61" s="23"/>
      <c r="DK61" s="23"/>
      <c r="DL61" s="23"/>
      <c r="DM61" s="23"/>
      <c r="DN61" s="23"/>
      <c r="DO61" s="23"/>
      <c r="DP61" s="23"/>
      <c r="DQ61" s="23"/>
      <c r="DR61" s="23"/>
      <c r="DS61" s="23"/>
      <c r="DT61" s="23"/>
      <c r="DU61" s="23"/>
      <c r="DV61" s="23"/>
      <c r="DW61" s="23"/>
      <c r="DX61" s="23"/>
      <c r="DY61" s="23"/>
      <c r="DZ61" s="80"/>
      <c r="EA61" s="78"/>
      <c r="EB61" s="79"/>
      <c r="EC61" s="79"/>
      <c r="ED61" s="23"/>
      <c r="EE61" s="23"/>
      <c r="EF61" s="23"/>
      <c r="EG61" s="23"/>
      <c r="EH61" s="23"/>
      <c r="EI61" s="23"/>
      <c r="EJ61" s="23"/>
      <c r="EK61" s="23"/>
      <c r="EL61" s="23"/>
      <c r="EM61" s="23"/>
      <c r="EN61" s="23"/>
      <c r="EO61" s="23"/>
      <c r="EP61" s="23"/>
      <c r="EQ61" s="23"/>
      <c r="ER61" s="23"/>
      <c r="ES61" s="23"/>
      <c r="ET61" s="23"/>
      <c r="EU61" s="23"/>
      <c r="EV61" s="23"/>
      <c r="EW61" s="23"/>
      <c r="EX61" s="23"/>
      <c r="EY61" s="45"/>
      <c r="EZ61" s="49"/>
      <c r="FA61" s="50"/>
      <c r="FB61" s="50"/>
      <c r="FC61" s="23"/>
      <c r="FD61" s="23"/>
      <c r="FE61" s="23"/>
      <c r="FF61" s="23"/>
      <c r="FG61" s="23"/>
      <c r="FH61" s="23"/>
      <c r="FI61" s="23"/>
      <c r="FJ61" s="23"/>
      <c r="FK61" s="23"/>
      <c r="FL61" s="23"/>
      <c r="FM61" s="23"/>
      <c r="FN61" s="23"/>
      <c r="FO61" s="23"/>
      <c r="FP61" s="23"/>
      <c r="FQ61" s="23"/>
      <c r="FR61" s="23"/>
      <c r="FS61" s="23"/>
    </row>
    <row r="62" spans="1:189" ht="14.5" customHeight="1" x14ac:dyDescent="0.35">
      <c r="A62" s="23"/>
      <c r="B62" s="23"/>
      <c r="C62" s="23"/>
      <c r="D62" s="23"/>
      <c r="E62" s="94"/>
      <c r="F62" s="109"/>
      <c r="G62" s="121"/>
      <c r="H62" s="121"/>
      <c r="I62" s="23"/>
      <c r="J62" s="23"/>
      <c r="K62" s="23"/>
      <c r="L62" s="23"/>
      <c r="M62" s="23"/>
      <c r="N62" s="23"/>
      <c r="O62" s="23"/>
      <c r="P62" s="23"/>
      <c r="Q62" s="23"/>
      <c r="R62" s="23"/>
      <c r="S62" s="23"/>
      <c r="T62" s="23"/>
      <c r="U62" s="23"/>
      <c r="V62" s="23"/>
      <c r="W62" s="23"/>
      <c r="X62" s="23"/>
      <c r="Y62" s="23"/>
      <c r="Z62" s="23"/>
      <c r="AA62" s="23"/>
      <c r="AB62" s="23"/>
      <c r="AC62" s="23"/>
      <c r="AD62" s="39"/>
      <c r="AE62" s="39"/>
      <c r="AF62" s="39"/>
      <c r="AG62" s="39"/>
      <c r="AH62" s="23"/>
      <c r="AI62" s="23"/>
      <c r="AJ62" s="23"/>
      <c r="AK62" s="23"/>
      <c r="AL62" s="23"/>
      <c r="AM62" s="23"/>
      <c r="AN62" s="23"/>
      <c r="AO62" s="23"/>
      <c r="AP62" s="23"/>
      <c r="AQ62" s="23"/>
      <c r="AR62" s="23"/>
      <c r="AS62" s="23"/>
      <c r="AT62" s="23"/>
      <c r="AU62" s="23"/>
      <c r="AV62" s="23"/>
      <c r="AW62" s="23"/>
      <c r="AX62" s="23"/>
      <c r="AY62" s="23"/>
      <c r="AZ62" s="23"/>
      <c r="BA62" s="23"/>
      <c r="BB62" s="23"/>
      <c r="BC62" s="79"/>
      <c r="BD62" s="79"/>
      <c r="BE62" s="79"/>
      <c r="BF62" s="79"/>
      <c r="BG62" s="23"/>
      <c r="BH62" s="23"/>
      <c r="BI62" s="23"/>
      <c r="BJ62" s="23"/>
      <c r="BK62" s="23"/>
      <c r="BL62" s="23"/>
      <c r="BM62" s="23"/>
      <c r="BN62" s="23"/>
      <c r="BO62" s="23"/>
      <c r="BP62" s="23"/>
      <c r="BQ62" s="23"/>
      <c r="BR62" s="23"/>
      <c r="BS62" s="23"/>
      <c r="BT62" s="23"/>
      <c r="BU62" s="23"/>
      <c r="BV62" s="23"/>
      <c r="BW62" s="23"/>
      <c r="BX62" s="23"/>
      <c r="BY62" s="23"/>
      <c r="BZ62" s="23"/>
      <c r="CA62" s="23"/>
      <c r="CB62" s="80"/>
      <c r="CC62" s="78"/>
      <c r="CD62" s="79"/>
      <c r="CE62" s="79"/>
      <c r="CF62" s="23"/>
      <c r="CG62" s="23"/>
      <c r="CH62" s="23"/>
      <c r="CI62" s="23"/>
      <c r="CJ62" s="23"/>
      <c r="CK62" s="23"/>
      <c r="CL62" s="23"/>
      <c r="CM62" s="23"/>
      <c r="CN62" s="23"/>
      <c r="CO62" s="23"/>
      <c r="CP62" s="23"/>
      <c r="CQ62" s="23"/>
      <c r="CR62" s="23"/>
      <c r="CS62" s="23"/>
      <c r="CT62" s="23"/>
      <c r="CU62" s="23"/>
      <c r="CV62" s="23"/>
      <c r="CW62" s="23"/>
      <c r="CX62" s="23"/>
      <c r="CY62" s="23"/>
      <c r="CZ62" s="23"/>
      <c r="DA62" s="80"/>
      <c r="DB62" s="78"/>
      <c r="DC62" s="79"/>
      <c r="DD62" s="79"/>
      <c r="DE62" s="23"/>
      <c r="DF62" s="23"/>
      <c r="DG62" s="23"/>
      <c r="DH62" s="23"/>
      <c r="DI62" s="23"/>
      <c r="DJ62" s="23"/>
      <c r="DK62" s="23"/>
      <c r="DL62" s="23"/>
      <c r="DM62" s="23"/>
      <c r="DN62" s="23"/>
      <c r="DO62" s="23"/>
      <c r="DP62" s="23"/>
      <c r="DQ62" s="23"/>
      <c r="DR62" s="23"/>
      <c r="DS62" s="23"/>
      <c r="DT62" s="23"/>
      <c r="DU62" s="23"/>
      <c r="DV62" s="23"/>
      <c r="DW62" s="23"/>
      <c r="DX62" s="23"/>
      <c r="DY62" s="23"/>
      <c r="DZ62" s="80"/>
      <c r="EA62" s="78"/>
      <c r="EB62" s="79"/>
      <c r="EC62" s="79"/>
      <c r="ED62" s="23"/>
      <c r="EE62" s="23"/>
      <c r="EF62" s="23"/>
      <c r="EG62" s="23"/>
      <c r="EH62" s="23"/>
      <c r="EI62" s="23"/>
      <c r="EJ62" s="23"/>
      <c r="EK62" s="23"/>
      <c r="EL62" s="23"/>
      <c r="EM62" s="23"/>
      <c r="EN62" s="23"/>
      <c r="EO62" s="23"/>
      <c r="EP62" s="23"/>
      <c r="EQ62" s="23"/>
      <c r="ER62" s="23"/>
      <c r="ES62" s="23"/>
      <c r="ET62" s="23"/>
      <c r="EU62" s="23"/>
      <c r="EV62" s="23"/>
      <c r="EW62" s="23"/>
      <c r="EX62" s="23"/>
      <c r="EY62" s="45"/>
      <c r="EZ62" s="49"/>
      <c r="FA62" s="50"/>
      <c r="FB62" s="50"/>
      <c r="FC62" s="23"/>
      <c r="FD62" s="23"/>
      <c r="FE62" s="23"/>
      <c r="FF62" s="23"/>
      <c r="FG62" s="23"/>
      <c r="FH62" s="23"/>
      <c r="FI62" s="23"/>
      <c r="FJ62" s="23"/>
      <c r="FK62" s="23"/>
      <c r="FL62" s="23"/>
      <c r="FM62" s="23"/>
      <c r="FN62" s="23"/>
      <c r="FO62" s="23"/>
      <c r="FP62" s="23"/>
      <c r="FQ62" s="23"/>
      <c r="FR62" s="23"/>
      <c r="FS62" s="23"/>
    </row>
    <row r="63" spans="1:189" ht="15" customHeight="1" thickBot="1" x14ac:dyDescent="0.4">
      <c r="A63" s="23"/>
      <c r="B63" s="23"/>
      <c r="C63" s="23"/>
      <c r="D63" s="23"/>
      <c r="E63" s="95"/>
      <c r="F63" s="109"/>
      <c r="G63" s="121"/>
      <c r="H63" s="121"/>
      <c r="I63" s="23"/>
      <c r="J63" s="23"/>
      <c r="K63" s="23"/>
      <c r="L63" s="23"/>
      <c r="M63" s="23"/>
      <c r="N63" s="23"/>
      <c r="O63" s="23"/>
      <c r="P63" s="23"/>
      <c r="Q63" s="23"/>
      <c r="R63" s="23"/>
      <c r="S63" s="23"/>
      <c r="T63" s="23"/>
      <c r="U63" s="23"/>
      <c r="V63" s="23"/>
      <c r="W63" s="23"/>
      <c r="X63" s="23"/>
      <c r="Y63" s="23"/>
      <c r="Z63" s="23"/>
      <c r="AA63" s="23"/>
      <c r="AB63" s="23"/>
      <c r="AC63" s="23"/>
      <c r="AD63" s="39"/>
      <c r="AE63" s="39"/>
      <c r="AF63" s="39"/>
      <c r="AG63" s="39"/>
      <c r="AH63" s="23"/>
      <c r="AI63" s="23"/>
      <c r="AJ63" s="23"/>
      <c r="AK63" s="23"/>
      <c r="AL63" s="23"/>
      <c r="AM63" s="23"/>
      <c r="AN63" s="23"/>
      <c r="AO63" s="23"/>
      <c r="AP63" s="23"/>
      <c r="AQ63" s="23"/>
      <c r="AR63" s="23"/>
      <c r="AS63" s="23"/>
      <c r="AT63" s="23"/>
      <c r="AU63" s="23"/>
      <c r="AV63" s="23"/>
      <c r="AW63" s="23"/>
      <c r="AX63" s="23"/>
      <c r="AY63" s="23"/>
      <c r="AZ63" s="23"/>
      <c r="BA63" s="23"/>
      <c r="BB63" s="23"/>
      <c r="BC63" s="79"/>
      <c r="BD63" s="79"/>
      <c r="BE63" s="79"/>
      <c r="BF63" s="79"/>
      <c r="BG63" s="23"/>
      <c r="BH63" s="23"/>
      <c r="BI63" s="23"/>
      <c r="BJ63" s="23"/>
      <c r="BK63" s="23"/>
      <c r="BL63" s="23"/>
      <c r="BM63" s="23"/>
      <c r="BN63" s="23"/>
      <c r="BO63" s="23"/>
      <c r="BP63" s="23"/>
      <c r="BQ63" s="23"/>
      <c r="BR63" s="23"/>
      <c r="BS63" s="23"/>
      <c r="BT63" s="23"/>
      <c r="BU63" s="23"/>
      <c r="BV63" s="23"/>
      <c r="BW63" s="23"/>
      <c r="BX63" s="23"/>
      <c r="BY63" s="23"/>
      <c r="BZ63" s="23"/>
      <c r="CA63" s="23"/>
      <c r="CB63" s="81"/>
      <c r="CC63" s="78"/>
      <c r="CD63" s="79"/>
      <c r="CE63" s="79"/>
      <c r="CF63" s="23"/>
      <c r="CG63" s="23"/>
      <c r="CH63" s="23"/>
      <c r="CI63" s="23"/>
      <c r="CJ63" s="23"/>
      <c r="CK63" s="23"/>
      <c r="CL63" s="23"/>
      <c r="CM63" s="23"/>
      <c r="CN63" s="23"/>
      <c r="CO63" s="23"/>
      <c r="CP63" s="23"/>
      <c r="CQ63" s="23"/>
      <c r="CR63" s="23"/>
      <c r="CS63" s="23"/>
      <c r="CT63" s="23"/>
      <c r="CU63" s="23"/>
      <c r="CV63" s="23"/>
      <c r="CW63" s="23"/>
      <c r="CX63" s="23"/>
      <c r="CY63" s="23"/>
      <c r="CZ63" s="23"/>
      <c r="DA63" s="81"/>
      <c r="DB63" s="78"/>
      <c r="DC63" s="79"/>
      <c r="DD63" s="79"/>
      <c r="DE63" s="23"/>
      <c r="DF63" s="23"/>
      <c r="DG63" s="23"/>
      <c r="DH63" s="23"/>
      <c r="DI63" s="23"/>
      <c r="DJ63" s="23"/>
      <c r="DK63" s="23"/>
      <c r="DL63" s="23"/>
      <c r="DM63" s="23"/>
      <c r="DN63" s="23"/>
      <c r="DO63" s="23"/>
      <c r="DP63" s="23"/>
      <c r="DQ63" s="23"/>
      <c r="DR63" s="23"/>
      <c r="DS63" s="23"/>
      <c r="DT63" s="23"/>
      <c r="DU63" s="23"/>
      <c r="DV63" s="23"/>
      <c r="DW63" s="23"/>
      <c r="DX63" s="23"/>
      <c r="DY63" s="23"/>
      <c r="DZ63" s="81"/>
      <c r="EA63" s="78"/>
      <c r="EB63" s="79"/>
      <c r="EC63" s="79"/>
      <c r="ED63" s="23"/>
      <c r="EE63" s="23"/>
      <c r="EF63" s="23"/>
      <c r="EG63" s="23"/>
      <c r="EH63" s="23"/>
      <c r="EI63" s="23"/>
      <c r="EJ63" s="23"/>
      <c r="EK63" s="23"/>
      <c r="EL63" s="23"/>
      <c r="EM63" s="23"/>
      <c r="EN63" s="23"/>
      <c r="EO63" s="23"/>
      <c r="EP63" s="23"/>
      <c r="EQ63" s="23"/>
      <c r="ER63" s="23"/>
      <c r="ES63" s="23"/>
      <c r="ET63" s="23"/>
      <c r="EU63" s="23"/>
      <c r="EV63" s="23"/>
      <c r="EW63" s="23"/>
      <c r="EX63" s="23"/>
      <c r="EY63" s="46"/>
      <c r="EZ63" s="49"/>
      <c r="FA63" s="50"/>
      <c r="FB63" s="50"/>
      <c r="FC63" s="23"/>
      <c r="FD63" s="23"/>
      <c r="FE63" s="23"/>
      <c r="FF63" s="23"/>
      <c r="FG63" s="23"/>
      <c r="FH63" s="23"/>
      <c r="FI63" s="23"/>
      <c r="FJ63" s="23"/>
      <c r="FK63" s="23"/>
      <c r="FL63" s="23"/>
      <c r="FM63" s="23"/>
      <c r="FN63" s="23"/>
      <c r="FO63" s="23"/>
      <c r="FP63" s="23"/>
      <c r="FQ63" s="23"/>
      <c r="FR63" s="23"/>
      <c r="FS63" s="23"/>
    </row>
    <row r="64" spans="1:189" ht="14.5" customHeight="1" x14ac:dyDescent="0.35">
      <c r="A64" s="23"/>
      <c r="B64" s="23"/>
      <c r="C64" s="23"/>
      <c r="D64" s="23"/>
      <c r="E64" s="94" t="s">
        <v>74</v>
      </c>
      <c r="F64" s="107">
        <f>(F60)/7700</f>
        <v>7.1320860516107256</v>
      </c>
      <c r="G64" s="120"/>
      <c r="H64" s="120"/>
      <c r="I64" s="23"/>
      <c r="J64" s="23"/>
      <c r="K64" s="23"/>
      <c r="L64" s="23"/>
      <c r="M64" s="23"/>
      <c r="N64" s="23"/>
      <c r="O64" s="23"/>
      <c r="P64" s="23"/>
      <c r="Q64" s="23"/>
      <c r="R64" s="23"/>
      <c r="S64" s="23"/>
      <c r="T64" s="23"/>
      <c r="U64" s="23"/>
      <c r="V64" s="23"/>
      <c r="W64" s="23"/>
      <c r="X64" s="23"/>
      <c r="Y64" s="23"/>
      <c r="Z64" s="23"/>
      <c r="AA64" s="23"/>
      <c r="AB64" s="23"/>
      <c r="AC64" s="23"/>
      <c r="AD64" s="23"/>
      <c r="AE64" s="39"/>
      <c r="AF64" s="39"/>
      <c r="AG64" s="39"/>
      <c r="AH64" s="23"/>
      <c r="AI64" s="23"/>
      <c r="AJ64" s="23"/>
      <c r="AK64" s="23"/>
      <c r="AL64" s="23"/>
      <c r="AM64" s="23"/>
      <c r="AN64" s="23"/>
      <c r="AO64" s="23"/>
      <c r="AP64" s="23"/>
      <c r="AQ64" s="23"/>
      <c r="AR64" s="23"/>
      <c r="AS64" s="23"/>
      <c r="AT64" s="23"/>
      <c r="AU64" s="23"/>
      <c r="AV64" s="23"/>
      <c r="AW64" s="23"/>
      <c r="AX64" s="23"/>
      <c r="AY64" s="23"/>
      <c r="AZ64" s="23"/>
      <c r="BA64" s="23"/>
      <c r="BB64" s="23"/>
      <c r="BC64" s="79"/>
      <c r="BD64" s="79"/>
      <c r="BE64" s="79"/>
      <c r="BF64" s="79"/>
      <c r="BG64" s="23"/>
      <c r="BH64" s="23"/>
      <c r="BI64" s="23"/>
      <c r="BJ64" s="23"/>
      <c r="BK64" s="23"/>
      <c r="BL64" s="23"/>
      <c r="BM64" s="23"/>
      <c r="BN64" s="23"/>
      <c r="BO64" s="23"/>
      <c r="BP64" s="23"/>
      <c r="BQ64" s="23"/>
      <c r="BR64" s="23"/>
      <c r="BS64" s="23"/>
      <c r="BT64" s="23"/>
      <c r="BU64" s="23"/>
      <c r="BV64" s="23"/>
      <c r="BW64" s="23"/>
      <c r="BX64" s="23"/>
      <c r="BY64" s="23"/>
      <c r="BZ64" s="23"/>
      <c r="CA64" s="23"/>
      <c r="CB64" s="80" t="s">
        <v>74</v>
      </c>
      <c r="CC64" s="76"/>
      <c r="CD64" s="77"/>
      <c r="CE64" s="77"/>
      <c r="CF64" s="23"/>
      <c r="CG64" s="23"/>
      <c r="CH64" s="23"/>
      <c r="CI64" s="23"/>
      <c r="CJ64" s="23"/>
      <c r="CK64" s="23"/>
      <c r="CL64" s="23"/>
      <c r="CM64" s="23"/>
      <c r="CN64" s="23"/>
      <c r="CO64" s="23"/>
      <c r="CP64" s="23"/>
      <c r="CQ64" s="23"/>
      <c r="CR64" s="23"/>
      <c r="CS64" s="23"/>
      <c r="CT64" s="23"/>
      <c r="CU64" s="23"/>
      <c r="CV64" s="23"/>
      <c r="CW64" s="23"/>
      <c r="CX64" s="23"/>
      <c r="CY64" s="23"/>
      <c r="CZ64" s="23"/>
      <c r="DA64" s="80" t="s">
        <v>74</v>
      </c>
      <c r="DB64" s="76"/>
      <c r="DC64" s="77"/>
      <c r="DD64" s="77"/>
      <c r="DE64" s="23"/>
      <c r="DF64" s="23"/>
      <c r="DG64" s="23"/>
      <c r="DH64" s="23"/>
      <c r="DI64" s="23"/>
      <c r="DJ64" s="23"/>
      <c r="DK64" s="23"/>
      <c r="DL64" s="23"/>
      <c r="DM64" s="23"/>
      <c r="DN64" s="23"/>
      <c r="DO64" s="23"/>
      <c r="DP64" s="23"/>
      <c r="DQ64" s="23"/>
      <c r="DR64" s="23"/>
      <c r="DS64" s="23"/>
      <c r="DT64" s="23"/>
      <c r="DU64" s="23"/>
      <c r="DV64" s="23"/>
      <c r="DW64" s="23"/>
      <c r="DX64" s="23"/>
      <c r="DY64" s="23"/>
      <c r="DZ64" s="80" t="s">
        <v>74</v>
      </c>
      <c r="EA64" s="76"/>
      <c r="EB64" s="77"/>
      <c r="EC64" s="77"/>
      <c r="ED64" s="23"/>
      <c r="EE64" s="23"/>
      <c r="EF64" s="23"/>
      <c r="EG64" s="23"/>
      <c r="EH64" s="23"/>
      <c r="EI64" s="23"/>
      <c r="EJ64" s="23"/>
      <c r="EK64" s="23"/>
      <c r="EL64" s="23"/>
      <c r="EM64" s="23"/>
      <c r="EN64" s="23"/>
      <c r="EO64" s="23"/>
      <c r="EP64" s="23"/>
      <c r="EQ64" s="23"/>
      <c r="ER64" s="23"/>
      <c r="ES64" s="23"/>
      <c r="ET64" s="23"/>
      <c r="EU64" s="23"/>
      <c r="EV64" s="23"/>
      <c r="EW64" s="23"/>
      <c r="EX64" s="23"/>
      <c r="EY64" s="45" t="s">
        <v>74</v>
      </c>
      <c r="EZ64" s="47"/>
      <c r="FA64" s="48"/>
      <c r="FB64" s="48"/>
      <c r="FC64" s="23"/>
      <c r="FD64" s="23"/>
      <c r="FE64" s="23"/>
      <c r="FF64" s="23"/>
      <c r="FG64" s="23"/>
      <c r="FH64" s="23"/>
      <c r="FI64" s="23"/>
      <c r="FJ64" s="23"/>
      <c r="FK64" s="23"/>
      <c r="FL64" s="23"/>
      <c r="FM64" s="23"/>
      <c r="FN64" s="23"/>
      <c r="FO64" s="23"/>
      <c r="FP64" s="23"/>
      <c r="FQ64" s="23"/>
      <c r="FR64" s="23"/>
      <c r="FS64" s="23"/>
    </row>
    <row r="65" spans="1:175" ht="14.5" customHeight="1" x14ac:dyDescent="0.35">
      <c r="A65" s="23"/>
      <c r="B65" s="23"/>
      <c r="C65" s="23"/>
      <c r="D65" s="23"/>
      <c r="E65" s="94"/>
      <c r="F65" s="109"/>
      <c r="G65" s="121"/>
      <c r="H65" s="121"/>
      <c r="I65" s="23"/>
      <c r="J65" s="23"/>
      <c r="K65" s="23"/>
      <c r="L65" s="23"/>
      <c r="M65" s="23"/>
      <c r="N65" s="23"/>
      <c r="O65" s="23"/>
      <c r="P65" s="23"/>
      <c r="Q65" s="23"/>
      <c r="R65" s="23"/>
      <c r="S65" s="23"/>
      <c r="T65" s="23"/>
      <c r="U65" s="23"/>
      <c r="V65" s="23"/>
      <c r="W65" s="23"/>
      <c r="X65" s="23"/>
      <c r="Y65" s="23"/>
      <c r="Z65" s="23"/>
      <c r="AA65" s="23"/>
      <c r="AB65" s="23"/>
      <c r="AC65" s="23"/>
      <c r="AD65" s="39"/>
      <c r="AE65" s="39"/>
      <c r="AF65" s="39"/>
      <c r="AG65" s="39"/>
      <c r="AH65" s="23"/>
      <c r="AI65" s="23"/>
      <c r="AJ65" s="23"/>
      <c r="AK65" s="23"/>
      <c r="AL65" s="23"/>
      <c r="AM65" s="23"/>
      <c r="AN65" s="23"/>
      <c r="AO65" s="23"/>
      <c r="AP65" s="23"/>
      <c r="AQ65" s="23"/>
      <c r="AR65" s="23"/>
      <c r="AS65" s="23"/>
      <c r="AT65" s="23"/>
      <c r="AU65" s="23"/>
      <c r="AV65" s="23"/>
      <c r="AW65" s="23"/>
      <c r="AX65" s="23"/>
      <c r="AY65" s="23"/>
      <c r="AZ65" s="23"/>
      <c r="BA65" s="23"/>
      <c r="BB65" s="23"/>
      <c r="BC65" s="79"/>
      <c r="BD65" s="79"/>
      <c r="BE65" s="79"/>
      <c r="BF65" s="79"/>
      <c r="BG65" s="23"/>
      <c r="BH65" s="23"/>
      <c r="BI65" s="23"/>
      <c r="BJ65" s="23"/>
      <c r="BK65" s="23"/>
      <c r="BL65" s="23"/>
      <c r="BM65" s="23"/>
      <c r="BN65" s="23"/>
      <c r="BO65" s="23"/>
      <c r="BP65" s="23"/>
      <c r="BQ65" s="23"/>
      <c r="BR65" s="23"/>
      <c r="BS65" s="23"/>
      <c r="BT65" s="23"/>
      <c r="BU65" s="23"/>
      <c r="BV65" s="23"/>
      <c r="BW65" s="23"/>
      <c r="BX65" s="23"/>
      <c r="BY65" s="23"/>
      <c r="BZ65" s="23"/>
      <c r="CA65" s="23"/>
      <c r="CB65" s="80"/>
      <c r="CC65" s="78"/>
      <c r="CD65" s="79"/>
      <c r="CE65" s="79"/>
      <c r="CF65" s="23"/>
      <c r="CG65" s="23"/>
      <c r="CH65" s="23"/>
      <c r="CI65" s="23"/>
      <c r="CJ65" s="23"/>
      <c r="CK65" s="23"/>
      <c r="CL65" s="23"/>
      <c r="CM65" s="23"/>
      <c r="CN65" s="23"/>
      <c r="CO65" s="23"/>
      <c r="CP65" s="23"/>
      <c r="CQ65" s="23"/>
      <c r="CR65" s="23"/>
      <c r="CS65" s="23"/>
      <c r="CT65" s="23"/>
      <c r="CU65" s="23"/>
      <c r="CV65" s="23"/>
      <c r="CW65" s="23"/>
      <c r="CX65" s="23"/>
      <c r="CY65" s="23"/>
      <c r="CZ65" s="23"/>
      <c r="DA65" s="80"/>
      <c r="DB65" s="78"/>
      <c r="DC65" s="79"/>
      <c r="DD65" s="79"/>
      <c r="DE65" s="23"/>
      <c r="DF65" s="23"/>
      <c r="DG65" s="23"/>
      <c r="DH65" s="23"/>
      <c r="DI65" s="23"/>
      <c r="DJ65" s="23"/>
      <c r="DK65" s="23"/>
      <c r="DL65" s="23"/>
      <c r="DM65" s="23"/>
      <c r="DN65" s="23"/>
      <c r="DO65" s="23"/>
      <c r="DP65" s="23"/>
      <c r="DQ65" s="23"/>
      <c r="DR65" s="23"/>
      <c r="DS65" s="23"/>
      <c r="DT65" s="23"/>
      <c r="DU65" s="23"/>
      <c r="DV65" s="23"/>
      <c r="DW65" s="23"/>
      <c r="DX65" s="23"/>
      <c r="DY65" s="23"/>
      <c r="DZ65" s="80"/>
      <c r="EA65" s="78"/>
      <c r="EB65" s="79"/>
      <c r="EC65" s="79"/>
      <c r="ED65" s="23"/>
      <c r="EE65" s="23"/>
      <c r="EF65" s="23"/>
      <c r="EG65" s="23"/>
      <c r="EH65" s="23"/>
      <c r="EI65" s="23"/>
      <c r="EJ65" s="23"/>
      <c r="EK65" s="23"/>
      <c r="EL65" s="23"/>
      <c r="EM65" s="23"/>
      <c r="EN65" s="23"/>
      <c r="EO65" s="23"/>
      <c r="EP65" s="23"/>
      <c r="EQ65" s="23"/>
      <c r="ER65" s="23"/>
      <c r="ES65" s="23"/>
      <c r="ET65" s="23"/>
      <c r="EU65" s="23"/>
      <c r="EV65" s="23"/>
      <c r="EW65" s="23"/>
      <c r="EX65" s="23"/>
      <c r="EY65" s="45"/>
      <c r="EZ65" s="49"/>
      <c r="FA65" s="50"/>
      <c r="FB65" s="50"/>
      <c r="FC65" s="23"/>
      <c r="FD65" s="23"/>
      <c r="FE65" s="23"/>
      <c r="FF65" s="23"/>
      <c r="FG65" s="23"/>
      <c r="FH65" s="23"/>
      <c r="FI65" s="23"/>
      <c r="FJ65" s="23"/>
      <c r="FK65" s="23"/>
      <c r="FL65" s="23"/>
      <c r="FM65" s="23"/>
      <c r="FN65" s="23"/>
      <c r="FO65" s="23"/>
      <c r="FP65" s="23"/>
      <c r="FQ65" s="23"/>
      <c r="FR65" s="23"/>
      <c r="FS65" s="23"/>
    </row>
    <row r="66" spans="1:175" ht="14.5" customHeight="1" x14ac:dyDescent="0.35">
      <c r="A66" s="23"/>
      <c r="B66" s="23"/>
      <c r="C66" s="23"/>
      <c r="D66" s="23"/>
      <c r="E66" s="94"/>
      <c r="F66" s="109"/>
      <c r="G66" s="121"/>
      <c r="H66" s="121"/>
      <c r="I66" s="23"/>
      <c r="J66" s="23"/>
      <c r="K66" s="23"/>
      <c r="L66" s="23"/>
      <c r="M66" s="23"/>
      <c r="N66" s="23"/>
      <c r="O66" s="23"/>
      <c r="P66" s="23"/>
      <c r="Q66" s="23"/>
      <c r="R66" s="23"/>
      <c r="S66" s="23"/>
      <c r="T66" s="23"/>
      <c r="U66" s="23"/>
      <c r="V66" s="23"/>
      <c r="W66" s="23"/>
      <c r="X66" s="23"/>
      <c r="Y66" s="23"/>
      <c r="Z66" s="23"/>
      <c r="AA66" s="23"/>
      <c r="AB66" s="23"/>
      <c r="AC66" s="23"/>
      <c r="AD66" s="39"/>
      <c r="AE66" s="39"/>
      <c r="AF66" s="39"/>
      <c r="AG66" s="39"/>
      <c r="AH66" s="23"/>
      <c r="AI66" s="23"/>
      <c r="AJ66" s="23"/>
      <c r="AK66" s="23"/>
      <c r="AL66" s="23"/>
      <c r="AM66" s="23"/>
      <c r="AN66" s="23"/>
      <c r="AO66" s="23"/>
      <c r="AP66" s="23"/>
      <c r="AQ66" s="23"/>
      <c r="AR66" s="23"/>
      <c r="AS66" s="23"/>
      <c r="AT66" s="23"/>
      <c r="AU66" s="23"/>
      <c r="AV66" s="23"/>
      <c r="AW66" s="23"/>
      <c r="AX66" s="23"/>
      <c r="AY66" s="23"/>
      <c r="AZ66" s="23"/>
      <c r="BA66" s="23"/>
      <c r="BB66" s="23"/>
      <c r="BC66" s="79"/>
      <c r="BD66" s="79"/>
      <c r="BE66" s="79"/>
      <c r="BF66" s="79"/>
      <c r="BG66" s="23"/>
      <c r="BH66" s="23"/>
      <c r="BI66" s="23"/>
      <c r="BJ66" s="23"/>
      <c r="BK66" s="23"/>
      <c r="BL66" s="23"/>
      <c r="BM66" s="23"/>
      <c r="BN66" s="23"/>
      <c r="BO66" s="23"/>
      <c r="BP66" s="23"/>
      <c r="BQ66" s="23"/>
      <c r="BR66" s="23"/>
      <c r="BS66" s="23"/>
      <c r="BT66" s="23"/>
      <c r="BU66" s="23"/>
      <c r="BV66" s="23"/>
      <c r="BW66" s="23"/>
      <c r="BX66" s="23"/>
      <c r="BY66" s="23"/>
      <c r="BZ66" s="23"/>
      <c r="CA66" s="23"/>
      <c r="CB66" s="80"/>
      <c r="CC66" s="78"/>
      <c r="CD66" s="79"/>
      <c r="CE66" s="79"/>
      <c r="CF66" s="23"/>
      <c r="CG66" s="23"/>
      <c r="CH66" s="23"/>
      <c r="CI66" s="23"/>
      <c r="CJ66" s="23"/>
      <c r="CK66" s="23"/>
      <c r="CL66" s="23"/>
      <c r="CM66" s="23"/>
      <c r="CN66" s="23"/>
      <c r="CO66" s="23"/>
      <c r="CP66" s="23"/>
      <c r="CQ66" s="23"/>
      <c r="CR66" s="23"/>
      <c r="CS66" s="23"/>
      <c r="CT66" s="23"/>
      <c r="CU66" s="23"/>
      <c r="CV66" s="23"/>
      <c r="CW66" s="23"/>
      <c r="CX66" s="23"/>
      <c r="CY66" s="23"/>
      <c r="CZ66" s="23"/>
      <c r="DA66" s="80"/>
      <c r="DB66" s="78"/>
      <c r="DC66" s="79"/>
      <c r="DD66" s="79"/>
      <c r="DE66" s="23"/>
      <c r="DF66" s="23"/>
      <c r="DG66" s="23"/>
      <c r="DH66" s="23"/>
      <c r="DI66" s="23"/>
      <c r="DJ66" s="23"/>
      <c r="DK66" s="23"/>
      <c r="DL66" s="23"/>
      <c r="DM66" s="23"/>
      <c r="DN66" s="23"/>
      <c r="DO66" s="23"/>
      <c r="DP66" s="23"/>
      <c r="DQ66" s="23"/>
      <c r="DR66" s="23"/>
      <c r="DS66" s="23"/>
      <c r="DT66" s="23"/>
      <c r="DU66" s="23"/>
      <c r="DV66" s="23"/>
      <c r="DW66" s="23"/>
      <c r="DX66" s="23"/>
      <c r="DY66" s="23"/>
      <c r="DZ66" s="80"/>
      <c r="EA66" s="78"/>
      <c r="EB66" s="79"/>
      <c r="EC66" s="79"/>
      <c r="ED66" s="23"/>
      <c r="EE66" s="23"/>
      <c r="EF66" s="23"/>
      <c r="EG66" s="23"/>
      <c r="EH66" s="23"/>
      <c r="EI66" s="23"/>
      <c r="EJ66" s="23"/>
      <c r="EK66" s="23"/>
      <c r="EL66" s="23"/>
      <c r="EM66" s="23"/>
      <c r="EN66" s="23"/>
      <c r="EO66" s="23"/>
      <c r="EP66" s="23"/>
      <c r="EQ66" s="23"/>
      <c r="ER66" s="23"/>
      <c r="ES66" s="23"/>
      <c r="ET66" s="23"/>
      <c r="EU66" s="23"/>
      <c r="EV66" s="23"/>
      <c r="EW66" s="23"/>
      <c r="EX66" s="23"/>
      <c r="EY66" s="45"/>
      <c r="EZ66" s="49"/>
      <c r="FA66" s="50"/>
      <c r="FB66" s="50"/>
      <c r="FC66" s="23"/>
      <c r="FD66" s="23"/>
      <c r="FE66" s="23"/>
      <c r="FF66" s="23"/>
      <c r="FG66" s="23"/>
      <c r="FH66" s="23"/>
      <c r="FI66" s="23"/>
      <c r="FJ66" s="23"/>
      <c r="FK66" s="23"/>
      <c r="FL66" s="23"/>
      <c r="FM66" s="23"/>
      <c r="FN66" s="23"/>
      <c r="FO66" s="23"/>
      <c r="FP66" s="23"/>
      <c r="FQ66" s="23"/>
      <c r="FR66" s="23"/>
      <c r="FS66" s="23"/>
    </row>
    <row r="67" spans="1:175" ht="15" customHeight="1" thickBot="1" x14ac:dyDescent="0.4">
      <c r="A67" s="23"/>
      <c r="B67" s="23"/>
      <c r="C67" s="23"/>
      <c r="D67" s="23"/>
      <c r="E67" s="95"/>
      <c r="F67" s="109"/>
      <c r="G67" s="121"/>
      <c r="H67" s="121"/>
      <c r="I67" s="23"/>
      <c r="J67" s="23"/>
      <c r="K67" s="23"/>
      <c r="L67" s="23"/>
      <c r="M67" s="23"/>
      <c r="N67" s="23"/>
      <c r="O67" s="23"/>
      <c r="P67" s="23"/>
      <c r="Q67" s="23"/>
      <c r="R67" s="23"/>
      <c r="S67" s="23"/>
      <c r="T67" s="23"/>
      <c r="U67" s="23"/>
      <c r="V67" s="23"/>
      <c r="W67" s="23"/>
      <c r="X67" s="23"/>
      <c r="Y67" s="23"/>
      <c r="Z67" s="23"/>
      <c r="AA67" s="23"/>
      <c r="AB67" s="23"/>
      <c r="AC67" s="23"/>
      <c r="AD67" s="39"/>
      <c r="AE67" s="39"/>
      <c r="AF67" s="39"/>
      <c r="AG67" s="39"/>
      <c r="AH67" s="23"/>
      <c r="AI67" s="23"/>
      <c r="AJ67" s="23"/>
      <c r="AK67" s="23"/>
      <c r="AL67" s="23"/>
      <c r="AM67" s="23"/>
      <c r="AN67" s="23"/>
      <c r="AO67" s="23"/>
      <c r="AP67" s="23"/>
      <c r="AQ67" s="23"/>
      <c r="AR67" s="23"/>
      <c r="AS67" s="23"/>
      <c r="AT67" s="23"/>
      <c r="AU67" s="23"/>
      <c r="AV67" s="23"/>
      <c r="AW67" s="23"/>
      <c r="AX67" s="23"/>
      <c r="AY67" s="23"/>
      <c r="AZ67" s="23"/>
      <c r="BA67" s="23"/>
      <c r="BB67" s="23"/>
      <c r="BC67" s="79"/>
      <c r="BD67" s="79"/>
      <c r="BE67" s="79"/>
      <c r="BF67" s="79"/>
      <c r="BG67" s="23"/>
      <c r="BH67" s="23"/>
      <c r="BI67" s="23"/>
      <c r="BJ67" s="23"/>
      <c r="BK67" s="23"/>
      <c r="BL67" s="23"/>
      <c r="BM67" s="23"/>
      <c r="BN67" s="23"/>
      <c r="BO67" s="23"/>
      <c r="BP67" s="23"/>
      <c r="BQ67" s="23"/>
      <c r="BR67" s="23"/>
      <c r="BS67" s="23"/>
      <c r="BT67" s="23"/>
      <c r="BU67" s="23"/>
      <c r="BV67" s="23"/>
      <c r="BW67" s="23"/>
      <c r="BX67" s="23"/>
      <c r="BY67" s="23"/>
      <c r="BZ67" s="23"/>
      <c r="CA67" s="23"/>
      <c r="CB67" s="81"/>
      <c r="CC67" s="78"/>
      <c r="CD67" s="79"/>
      <c r="CE67" s="79"/>
      <c r="CF67" s="23"/>
      <c r="CG67" s="23"/>
      <c r="CH67" s="23"/>
      <c r="CI67" s="23"/>
      <c r="CJ67" s="23"/>
      <c r="CK67" s="23"/>
      <c r="CL67" s="23"/>
      <c r="CM67" s="23"/>
      <c r="CN67" s="23"/>
      <c r="CO67" s="23"/>
      <c r="CP67" s="23"/>
      <c r="CQ67" s="23"/>
      <c r="CR67" s="23"/>
      <c r="CS67" s="23"/>
      <c r="CT67" s="23"/>
      <c r="CU67" s="23"/>
      <c r="CV67" s="23"/>
      <c r="CW67" s="23"/>
      <c r="CX67" s="23"/>
      <c r="CY67" s="23"/>
      <c r="CZ67" s="23"/>
      <c r="DA67" s="81"/>
      <c r="DB67" s="78"/>
      <c r="DC67" s="79"/>
      <c r="DD67" s="79"/>
      <c r="DE67" s="23"/>
      <c r="DF67" s="23"/>
      <c r="DG67" s="23"/>
      <c r="DH67" s="23"/>
      <c r="DI67" s="23"/>
      <c r="DJ67" s="23"/>
      <c r="DK67" s="23"/>
      <c r="DL67" s="23"/>
      <c r="DM67" s="23"/>
      <c r="DN67" s="23"/>
      <c r="DO67" s="23"/>
      <c r="DP67" s="23"/>
      <c r="DQ67" s="23"/>
      <c r="DR67" s="23"/>
      <c r="DS67" s="23"/>
      <c r="DT67" s="23"/>
      <c r="DU67" s="23"/>
      <c r="DV67" s="23"/>
      <c r="DW67" s="23"/>
      <c r="DX67" s="23"/>
      <c r="DY67" s="23"/>
      <c r="DZ67" s="81"/>
      <c r="EA67" s="78"/>
      <c r="EB67" s="79"/>
      <c r="EC67" s="79"/>
      <c r="ED67" s="23"/>
      <c r="EE67" s="23"/>
      <c r="EF67" s="23"/>
      <c r="EG67" s="23"/>
      <c r="EH67" s="23"/>
      <c r="EI67" s="23"/>
      <c r="EJ67" s="23"/>
      <c r="EK67" s="23"/>
      <c r="EL67" s="23"/>
      <c r="EM67" s="23"/>
      <c r="EN67" s="23"/>
      <c r="EO67" s="23"/>
      <c r="EP67" s="23"/>
      <c r="EQ67" s="23"/>
      <c r="ER67" s="23"/>
      <c r="ES67" s="23"/>
      <c r="ET67" s="23"/>
      <c r="EU67" s="23"/>
      <c r="EV67" s="23"/>
      <c r="EW67" s="23"/>
      <c r="EX67" s="23"/>
      <c r="EY67" s="46"/>
      <c r="EZ67" s="49"/>
      <c r="FA67" s="50"/>
      <c r="FB67" s="50"/>
      <c r="FC67" s="23"/>
      <c r="FD67" s="23"/>
      <c r="FE67" s="23"/>
      <c r="FF67" s="23"/>
      <c r="FG67" s="23"/>
      <c r="FH67" s="23"/>
      <c r="FI67" s="23"/>
      <c r="FJ67" s="23"/>
      <c r="FK67" s="23"/>
      <c r="FL67" s="23"/>
      <c r="FM67" s="23"/>
      <c r="FN67" s="23"/>
      <c r="FO67" s="23"/>
      <c r="FP67" s="23"/>
      <c r="FQ67" s="23"/>
      <c r="FR67" s="23"/>
      <c r="FS67" s="23"/>
    </row>
    <row r="68" spans="1:175" ht="14.5" customHeight="1" x14ac:dyDescent="0.35">
      <c r="A68" s="23"/>
      <c r="B68" s="23"/>
      <c r="C68" s="23"/>
      <c r="D68" s="23"/>
      <c r="E68" s="94" t="s">
        <v>78</v>
      </c>
      <c r="F68" s="107">
        <f>D3-F64</f>
        <v>186.15232953280488</v>
      </c>
      <c r="G68" s="120"/>
      <c r="H68" s="120"/>
      <c r="I68" s="23"/>
      <c r="J68" s="23"/>
      <c r="K68" s="23"/>
      <c r="L68" s="23"/>
      <c r="M68" s="23"/>
      <c r="N68" s="23"/>
      <c r="O68" s="23"/>
      <c r="P68" s="23"/>
      <c r="Q68" s="23"/>
      <c r="R68" s="23"/>
      <c r="S68" s="23"/>
      <c r="T68" s="23"/>
      <c r="U68" s="23"/>
      <c r="V68" s="23"/>
      <c r="W68" s="23"/>
      <c r="X68" s="23"/>
      <c r="Y68" s="23"/>
      <c r="Z68" s="23"/>
      <c r="AA68" s="23"/>
      <c r="AB68" s="23"/>
      <c r="AC68" s="23"/>
      <c r="AD68" s="39"/>
      <c r="AE68" s="39"/>
      <c r="AF68" s="39"/>
      <c r="AG68" s="39"/>
      <c r="AH68" s="23"/>
      <c r="AI68" s="23"/>
      <c r="AJ68" s="23"/>
      <c r="AK68" s="23"/>
      <c r="AL68" s="23"/>
      <c r="AM68" s="23"/>
      <c r="AN68" s="23"/>
      <c r="AO68" s="23"/>
      <c r="AP68" s="23"/>
      <c r="AQ68" s="23"/>
      <c r="AR68" s="23"/>
      <c r="AS68" s="23"/>
      <c r="AT68" s="23"/>
      <c r="AU68" s="23"/>
      <c r="AV68" s="23"/>
      <c r="AW68" s="23"/>
      <c r="AX68" s="23"/>
      <c r="AY68" s="23"/>
      <c r="AZ68" s="23"/>
      <c r="BA68" s="23"/>
      <c r="BB68" s="23"/>
      <c r="BC68" s="79"/>
      <c r="BD68" s="79"/>
      <c r="BE68" s="79"/>
      <c r="BF68" s="79"/>
      <c r="BG68" s="23"/>
      <c r="BH68" s="23"/>
      <c r="BI68" s="23"/>
      <c r="BJ68" s="23"/>
      <c r="BK68" s="23"/>
      <c r="BL68" s="23"/>
      <c r="BM68" s="23"/>
      <c r="BN68" s="23"/>
      <c r="BO68" s="23"/>
      <c r="BP68" s="23"/>
      <c r="BQ68" s="23"/>
      <c r="BR68" s="23"/>
      <c r="BS68" s="23"/>
      <c r="BT68" s="23"/>
      <c r="BU68" s="23"/>
      <c r="BV68" s="23"/>
      <c r="BW68" s="23"/>
      <c r="BX68" s="23"/>
      <c r="BY68" s="23"/>
      <c r="BZ68" s="23"/>
      <c r="CA68" s="23"/>
      <c r="CB68" s="80" t="s">
        <v>75</v>
      </c>
      <c r="CC68" s="76"/>
      <c r="CD68" s="77"/>
      <c r="CE68" s="77"/>
      <c r="CF68" s="23"/>
      <c r="CG68" s="23"/>
      <c r="CH68" s="23"/>
      <c r="CI68" s="23"/>
      <c r="CJ68" s="23"/>
      <c r="CK68" s="23"/>
      <c r="CL68" s="23"/>
      <c r="CM68" s="23"/>
      <c r="CN68" s="23"/>
      <c r="CO68" s="23"/>
      <c r="CP68" s="23"/>
      <c r="CQ68" s="23"/>
      <c r="CR68" s="23"/>
      <c r="CS68" s="23"/>
      <c r="CT68" s="23"/>
      <c r="CU68" s="23"/>
      <c r="CV68" s="23"/>
      <c r="CW68" s="23"/>
      <c r="CX68" s="23"/>
      <c r="CY68" s="23"/>
      <c r="CZ68" s="23"/>
      <c r="DA68" s="80" t="s">
        <v>75</v>
      </c>
      <c r="DB68" s="76"/>
      <c r="DC68" s="77"/>
      <c r="DD68" s="77"/>
      <c r="DE68" s="23"/>
      <c r="DF68" s="23"/>
      <c r="DG68" s="23"/>
      <c r="DH68" s="23"/>
      <c r="DI68" s="23"/>
      <c r="DJ68" s="23"/>
      <c r="DK68" s="23"/>
      <c r="DL68" s="23"/>
      <c r="DM68" s="23"/>
      <c r="DN68" s="23"/>
      <c r="DO68" s="23"/>
      <c r="DP68" s="23"/>
      <c r="DQ68" s="23"/>
      <c r="DR68" s="23"/>
      <c r="DS68" s="23"/>
      <c r="DT68" s="23"/>
      <c r="DU68" s="23"/>
      <c r="DV68" s="23"/>
      <c r="DW68" s="23"/>
      <c r="DX68" s="23"/>
      <c r="DY68" s="23"/>
      <c r="DZ68" s="80" t="s">
        <v>75</v>
      </c>
      <c r="EA68" s="76"/>
      <c r="EB68" s="77"/>
      <c r="EC68" s="77"/>
      <c r="ED68" s="23"/>
      <c r="EE68" s="23"/>
      <c r="EF68" s="23"/>
      <c r="EG68" s="23"/>
      <c r="EH68" s="23"/>
      <c r="EI68" s="23"/>
      <c r="EJ68" s="23"/>
      <c r="EK68" s="23"/>
      <c r="EL68" s="23"/>
      <c r="EM68" s="23"/>
      <c r="EN68" s="23"/>
      <c r="EO68" s="23"/>
      <c r="EP68" s="23"/>
      <c r="EQ68" s="23"/>
      <c r="ER68" s="23"/>
      <c r="ES68" s="23"/>
      <c r="ET68" s="23"/>
      <c r="EU68" s="23"/>
      <c r="EV68" s="23"/>
      <c r="EW68" s="23"/>
      <c r="EX68" s="23"/>
      <c r="EY68" s="45" t="s">
        <v>75</v>
      </c>
      <c r="EZ68" s="47"/>
      <c r="FA68" s="48"/>
      <c r="FB68" s="48"/>
      <c r="FC68" s="23"/>
      <c r="FD68" s="23"/>
      <c r="FE68" s="23"/>
      <c r="FF68" s="23"/>
      <c r="FG68" s="23"/>
      <c r="FH68" s="23"/>
      <c r="FI68" s="23"/>
      <c r="FJ68" s="23"/>
      <c r="FK68" s="23"/>
      <c r="FL68" s="23"/>
      <c r="FM68" s="23"/>
      <c r="FN68" s="23"/>
      <c r="FO68" s="23"/>
      <c r="FP68" s="23"/>
      <c r="FQ68" s="23"/>
      <c r="FR68" s="23"/>
      <c r="FS68" s="23"/>
    </row>
    <row r="69" spans="1:175" ht="14.5" customHeight="1" x14ac:dyDescent="0.35">
      <c r="A69" s="23"/>
      <c r="B69" s="23"/>
      <c r="C69" s="23"/>
      <c r="D69" s="23"/>
      <c r="E69" s="94"/>
      <c r="F69" s="109"/>
      <c r="G69" s="121"/>
      <c r="H69" s="121"/>
      <c r="I69" s="23"/>
      <c r="J69" s="23"/>
      <c r="K69" s="23"/>
      <c r="L69" s="23"/>
      <c r="M69" s="23"/>
      <c r="N69" s="23"/>
      <c r="O69" s="23"/>
      <c r="P69" s="23"/>
      <c r="Q69" s="23"/>
      <c r="R69" s="23"/>
      <c r="S69" s="23"/>
      <c r="T69" s="23"/>
      <c r="U69" s="23"/>
      <c r="V69" s="23"/>
      <c r="W69" s="23"/>
      <c r="X69" s="23"/>
      <c r="Y69" s="23"/>
      <c r="Z69" s="23"/>
      <c r="AA69" s="23"/>
      <c r="AB69" s="23"/>
      <c r="AC69" s="23"/>
      <c r="AD69" s="39"/>
      <c r="AE69" s="39"/>
      <c r="AF69" s="39"/>
      <c r="AG69" s="39"/>
      <c r="AH69" s="23"/>
      <c r="AI69" s="23"/>
      <c r="AJ69" s="23"/>
      <c r="AK69" s="23"/>
      <c r="AL69" s="23"/>
      <c r="AM69" s="23"/>
      <c r="AN69" s="23"/>
      <c r="AO69" s="23"/>
      <c r="AP69" s="23"/>
      <c r="AQ69" s="23"/>
      <c r="AR69" s="23"/>
      <c r="AS69" s="23"/>
      <c r="AT69" s="23"/>
      <c r="AU69" s="23"/>
      <c r="AV69" s="23"/>
      <c r="AW69" s="23"/>
      <c r="AX69" s="23"/>
      <c r="AY69" s="23"/>
      <c r="AZ69" s="23"/>
      <c r="BA69" s="23"/>
      <c r="BB69" s="23"/>
      <c r="BC69" s="79"/>
      <c r="BD69" s="79"/>
      <c r="BE69" s="79"/>
      <c r="BF69" s="79"/>
      <c r="BG69" s="23"/>
      <c r="BH69" s="23"/>
      <c r="BI69" s="23"/>
      <c r="BJ69" s="23"/>
      <c r="BK69" s="23"/>
      <c r="BL69" s="23"/>
      <c r="BM69" s="23"/>
      <c r="BN69" s="23"/>
      <c r="BO69" s="23"/>
      <c r="BP69" s="23"/>
      <c r="BQ69" s="23"/>
      <c r="BR69" s="23"/>
      <c r="BS69" s="23"/>
      <c r="BT69" s="23"/>
      <c r="BU69" s="23"/>
      <c r="BV69" s="23"/>
      <c r="BW69" s="23"/>
      <c r="BX69" s="23"/>
      <c r="BY69" s="23"/>
      <c r="BZ69" s="23"/>
      <c r="CA69" s="23"/>
      <c r="CB69" s="80"/>
      <c r="CC69" s="78"/>
      <c r="CD69" s="79"/>
      <c r="CE69" s="79"/>
      <c r="CF69" s="23"/>
      <c r="CG69" s="23"/>
      <c r="CH69" s="23"/>
      <c r="CI69" s="23"/>
      <c r="CJ69" s="23"/>
      <c r="CK69" s="23"/>
      <c r="CL69" s="23"/>
      <c r="CM69" s="23"/>
      <c r="CN69" s="23"/>
      <c r="CO69" s="23"/>
      <c r="CP69" s="23"/>
      <c r="CQ69" s="23"/>
      <c r="CR69" s="23"/>
      <c r="CS69" s="23"/>
      <c r="CT69" s="23"/>
      <c r="CU69" s="23"/>
      <c r="CV69" s="23"/>
      <c r="CW69" s="23"/>
      <c r="CX69" s="23"/>
      <c r="CY69" s="23"/>
      <c r="CZ69" s="23"/>
      <c r="DA69" s="80"/>
      <c r="DB69" s="78"/>
      <c r="DC69" s="79"/>
      <c r="DD69" s="79"/>
      <c r="DE69" s="23"/>
      <c r="DF69" s="23"/>
      <c r="DG69" s="23"/>
      <c r="DH69" s="23"/>
      <c r="DI69" s="23"/>
      <c r="DJ69" s="23"/>
      <c r="DK69" s="23"/>
      <c r="DL69" s="23"/>
      <c r="DM69" s="23"/>
      <c r="DN69" s="23"/>
      <c r="DO69" s="23"/>
      <c r="DP69" s="23"/>
      <c r="DQ69" s="23"/>
      <c r="DR69" s="23"/>
      <c r="DS69" s="23"/>
      <c r="DT69" s="23"/>
      <c r="DU69" s="23"/>
      <c r="DV69" s="23"/>
      <c r="DW69" s="23"/>
      <c r="DX69" s="23"/>
      <c r="DY69" s="23"/>
      <c r="DZ69" s="80"/>
      <c r="EA69" s="78"/>
      <c r="EB69" s="79"/>
      <c r="EC69" s="79"/>
      <c r="ED69" s="23"/>
      <c r="EE69" s="23"/>
      <c r="EF69" s="23"/>
      <c r="EG69" s="23"/>
      <c r="EH69" s="23"/>
      <c r="EI69" s="23"/>
      <c r="EJ69" s="23"/>
      <c r="EK69" s="23"/>
      <c r="EL69" s="23"/>
      <c r="EM69" s="23"/>
      <c r="EN69" s="23"/>
      <c r="EO69" s="23"/>
      <c r="EP69" s="23"/>
      <c r="EQ69" s="23"/>
      <c r="ER69" s="23"/>
      <c r="ES69" s="23"/>
      <c r="ET69" s="23"/>
      <c r="EU69" s="23"/>
      <c r="EV69" s="23"/>
      <c r="EW69" s="23"/>
      <c r="EX69" s="23"/>
      <c r="EY69" s="45"/>
      <c r="EZ69" s="49"/>
      <c r="FA69" s="50"/>
      <c r="FB69" s="50"/>
      <c r="FC69" s="23"/>
      <c r="FD69" s="23"/>
      <c r="FE69" s="23"/>
      <c r="FF69" s="23"/>
      <c r="FG69" s="23"/>
      <c r="FH69" s="23"/>
      <c r="FI69" s="23"/>
      <c r="FJ69" s="23"/>
      <c r="FK69" s="23"/>
      <c r="FL69" s="23"/>
      <c r="FM69" s="23"/>
      <c r="FN69" s="23"/>
      <c r="FO69" s="23"/>
      <c r="FP69" s="23"/>
      <c r="FQ69" s="23"/>
      <c r="FR69" s="23"/>
      <c r="FS69" s="23"/>
    </row>
    <row r="70" spans="1:175" ht="14.5" customHeight="1" x14ac:dyDescent="0.35">
      <c r="A70" s="23"/>
      <c r="B70" s="23"/>
      <c r="C70" s="23"/>
      <c r="D70" s="23"/>
      <c r="E70" s="94"/>
      <c r="F70" s="109"/>
      <c r="G70" s="121"/>
      <c r="H70" s="121"/>
      <c r="I70" s="23"/>
      <c r="J70" s="23"/>
      <c r="K70" s="23"/>
      <c r="L70" s="23"/>
      <c r="M70" s="23"/>
      <c r="N70" s="23"/>
      <c r="O70" s="23"/>
      <c r="P70" s="23"/>
      <c r="Q70" s="23"/>
      <c r="R70" s="23"/>
      <c r="S70" s="23"/>
      <c r="T70" s="23"/>
      <c r="U70" s="23"/>
      <c r="V70" s="23"/>
      <c r="W70" s="23"/>
      <c r="X70" s="23"/>
      <c r="Y70" s="23"/>
      <c r="Z70" s="23"/>
      <c r="AA70" s="23"/>
      <c r="AB70" s="23"/>
      <c r="AC70" s="23"/>
      <c r="AD70" s="39"/>
      <c r="AE70" s="39"/>
      <c r="AF70" s="39"/>
      <c r="AG70" s="39"/>
      <c r="AH70" s="23"/>
      <c r="AI70" s="23"/>
      <c r="AJ70" s="23"/>
      <c r="AK70" s="23"/>
      <c r="AL70" s="23"/>
      <c r="AM70" s="23"/>
      <c r="AN70" s="23"/>
      <c r="AO70" s="23"/>
      <c r="AP70" s="23"/>
      <c r="AQ70" s="23"/>
      <c r="AR70" s="23"/>
      <c r="AS70" s="23"/>
      <c r="AT70" s="23"/>
      <c r="AU70" s="23"/>
      <c r="AV70" s="23"/>
      <c r="AW70" s="23"/>
      <c r="AX70" s="23"/>
      <c r="AY70" s="23"/>
      <c r="AZ70" s="23"/>
      <c r="BA70" s="23"/>
      <c r="BB70" s="23"/>
      <c r="BC70" s="79"/>
      <c r="BD70" s="79"/>
      <c r="BE70" s="79"/>
      <c r="BF70" s="79"/>
      <c r="BG70" s="23"/>
      <c r="BH70" s="23"/>
      <c r="BI70" s="23"/>
      <c r="BJ70" s="23"/>
      <c r="BK70" s="23"/>
      <c r="BL70" s="23"/>
      <c r="BM70" s="23"/>
      <c r="BN70" s="23"/>
      <c r="BO70" s="23"/>
      <c r="BP70" s="23"/>
      <c r="BQ70" s="23"/>
      <c r="BR70" s="23"/>
      <c r="BS70" s="23"/>
      <c r="BT70" s="23"/>
      <c r="BU70" s="23"/>
      <c r="BV70" s="23"/>
      <c r="BW70" s="23"/>
      <c r="BX70" s="23"/>
      <c r="BY70" s="23"/>
      <c r="BZ70" s="23"/>
      <c r="CA70" s="23"/>
      <c r="CB70" s="80"/>
      <c r="CC70" s="78"/>
      <c r="CD70" s="79"/>
      <c r="CE70" s="79"/>
      <c r="CF70" s="23"/>
      <c r="CG70" s="23"/>
      <c r="CH70" s="23"/>
      <c r="CI70" s="23"/>
      <c r="CJ70" s="23"/>
      <c r="CK70" s="23"/>
      <c r="CL70" s="23"/>
      <c r="CM70" s="23"/>
      <c r="CN70" s="23"/>
      <c r="CO70" s="23"/>
      <c r="CP70" s="23"/>
      <c r="CQ70" s="23"/>
      <c r="CR70" s="23"/>
      <c r="CS70" s="23"/>
      <c r="CT70" s="23"/>
      <c r="CU70" s="23"/>
      <c r="CV70" s="23"/>
      <c r="CW70" s="23"/>
      <c r="CX70" s="23"/>
      <c r="CY70" s="23"/>
      <c r="CZ70" s="23"/>
      <c r="DA70" s="80"/>
      <c r="DB70" s="78"/>
      <c r="DC70" s="79"/>
      <c r="DD70" s="79"/>
      <c r="DE70" s="23"/>
      <c r="DF70" s="23"/>
      <c r="DG70" s="23"/>
      <c r="DH70" s="23"/>
      <c r="DI70" s="23"/>
      <c r="DJ70" s="23"/>
      <c r="DK70" s="23"/>
      <c r="DL70" s="23"/>
      <c r="DM70" s="23"/>
      <c r="DN70" s="23"/>
      <c r="DO70" s="23"/>
      <c r="DP70" s="23"/>
      <c r="DQ70" s="23"/>
      <c r="DR70" s="23"/>
      <c r="DS70" s="23"/>
      <c r="DT70" s="23"/>
      <c r="DU70" s="23"/>
      <c r="DV70" s="23"/>
      <c r="DW70" s="23"/>
      <c r="DX70" s="23"/>
      <c r="DY70" s="23"/>
      <c r="DZ70" s="80"/>
      <c r="EA70" s="78"/>
      <c r="EB70" s="79"/>
      <c r="EC70" s="79"/>
      <c r="ED70" s="23"/>
      <c r="EE70" s="23"/>
      <c r="EF70" s="23"/>
      <c r="EG70" s="23"/>
      <c r="EH70" s="23"/>
      <c r="EI70" s="23"/>
      <c r="EJ70" s="23"/>
      <c r="EK70" s="23"/>
      <c r="EL70" s="23"/>
      <c r="EM70" s="23"/>
      <c r="EN70" s="23"/>
      <c r="EO70" s="23"/>
      <c r="EP70" s="23"/>
      <c r="EQ70" s="23"/>
      <c r="ER70" s="23"/>
      <c r="ES70" s="23"/>
      <c r="ET70" s="23"/>
      <c r="EU70" s="23"/>
      <c r="EV70" s="23"/>
      <c r="EW70" s="23"/>
      <c r="EX70" s="23"/>
      <c r="EY70" s="45"/>
      <c r="EZ70" s="49"/>
      <c r="FA70" s="50"/>
      <c r="FB70" s="50"/>
      <c r="FC70" s="23"/>
      <c r="FD70" s="23"/>
      <c r="FE70" s="23"/>
      <c r="FF70" s="23"/>
      <c r="FG70" s="23"/>
      <c r="FH70" s="23"/>
      <c r="FI70" s="23"/>
      <c r="FJ70" s="23"/>
      <c r="FK70" s="23"/>
      <c r="FL70" s="23"/>
      <c r="FM70" s="23"/>
      <c r="FN70" s="23"/>
      <c r="FO70" s="23"/>
      <c r="FP70" s="23"/>
      <c r="FQ70" s="23"/>
      <c r="FR70" s="23"/>
      <c r="FS70" s="23"/>
    </row>
    <row r="71" spans="1:175" ht="15" customHeight="1" thickBot="1" x14ac:dyDescent="0.4">
      <c r="A71" s="23"/>
      <c r="B71" s="23"/>
      <c r="C71" s="23"/>
      <c r="D71" s="23"/>
      <c r="E71" s="95"/>
      <c r="F71" s="109"/>
      <c r="G71" s="121"/>
      <c r="H71" s="121"/>
      <c r="I71" s="23"/>
      <c r="J71" s="23"/>
      <c r="K71" s="23"/>
      <c r="L71" s="23"/>
      <c r="M71" s="23"/>
      <c r="N71" s="23"/>
      <c r="O71" s="23"/>
      <c r="P71" s="23"/>
      <c r="Q71" s="23"/>
      <c r="R71" s="23"/>
      <c r="S71" s="23"/>
      <c r="T71" s="23"/>
      <c r="U71" s="23"/>
      <c r="V71" s="23"/>
      <c r="W71" s="23"/>
      <c r="X71" s="23"/>
      <c r="Y71" s="23"/>
      <c r="Z71" s="23"/>
      <c r="AA71" s="23"/>
      <c r="AB71" s="23"/>
      <c r="AC71" s="23"/>
      <c r="AD71" s="39"/>
      <c r="AE71" s="39"/>
      <c r="AF71" s="39"/>
      <c r="AG71" s="39"/>
      <c r="AH71" s="23"/>
      <c r="AI71" s="23"/>
      <c r="AJ71" s="23"/>
      <c r="AK71" s="23"/>
      <c r="AL71" s="23"/>
      <c r="AM71" s="23"/>
      <c r="AN71" s="23"/>
      <c r="AO71" s="23"/>
      <c r="AP71" s="23"/>
      <c r="AQ71" s="23"/>
      <c r="AR71" s="23"/>
      <c r="AS71" s="23"/>
      <c r="AT71" s="23"/>
      <c r="AU71" s="23"/>
      <c r="AV71" s="23"/>
      <c r="AW71" s="23"/>
      <c r="AX71" s="23"/>
      <c r="AY71" s="23"/>
      <c r="AZ71" s="23"/>
      <c r="BA71" s="23"/>
      <c r="BB71" s="23"/>
      <c r="BC71" s="79"/>
      <c r="BD71" s="79"/>
      <c r="BE71" s="79"/>
      <c r="BF71" s="79"/>
      <c r="BG71" s="23"/>
      <c r="BH71" s="23"/>
      <c r="BI71" s="23"/>
      <c r="BJ71" s="23"/>
      <c r="BK71" s="23"/>
      <c r="BL71" s="23"/>
      <c r="BM71" s="23"/>
      <c r="BN71" s="23"/>
      <c r="BO71" s="23"/>
      <c r="BP71" s="23"/>
      <c r="BQ71" s="23"/>
      <c r="BR71" s="23"/>
      <c r="BS71" s="23"/>
      <c r="BT71" s="23"/>
      <c r="BU71" s="23"/>
      <c r="BV71" s="23"/>
      <c r="BW71" s="23"/>
      <c r="BX71" s="23"/>
      <c r="BY71" s="23"/>
      <c r="BZ71" s="23"/>
      <c r="CA71" s="23"/>
      <c r="CB71" s="81"/>
      <c r="CC71" s="78"/>
      <c r="CD71" s="79"/>
      <c r="CE71" s="79"/>
      <c r="CF71" s="23"/>
      <c r="CG71" s="23"/>
      <c r="CH71" s="23"/>
      <c r="CI71" s="23"/>
      <c r="CJ71" s="23"/>
      <c r="CK71" s="23"/>
      <c r="CL71" s="23"/>
      <c r="CM71" s="23"/>
      <c r="CN71" s="23"/>
      <c r="CO71" s="23"/>
      <c r="CP71" s="23"/>
      <c r="CQ71" s="23"/>
      <c r="CR71" s="23"/>
      <c r="CS71" s="23"/>
      <c r="CT71" s="23"/>
      <c r="CU71" s="23"/>
      <c r="CV71" s="23"/>
      <c r="CW71" s="23"/>
      <c r="CX71" s="23"/>
      <c r="CY71" s="23"/>
      <c r="CZ71" s="23"/>
      <c r="DA71" s="81"/>
      <c r="DB71" s="78"/>
      <c r="DC71" s="79"/>
      <c r="DD71" s="79"/>
      <c r="DE71" s="23"/>
      <c r="DF71" s="23"/>
      <c r="DG71" s="23"/>
      <c r="DH71" s="23"/>
      <c r="DI71" s="23"/>
      <c r="DJ71" s="23"/>
      <c r="DK71" s="23"/>
      <c r="DL71" s="23"/>
      <c r="DM71" s="23"/>
      <c r="DN71" s="23"/>
      <c r="DO71" s="23"/>
      <c r="DP71" s="23"/>
      <c r="DQ71" s="23"/>
      <c r="DR71" s="23"/>
      <c r="DS71" s="23"/>
      <c r="DT71" s="23"/>
      <c r="DU71" s="23"/>
      <c r="DV71" s="23"/>
      <c r="DW71" s="23"/>
      <c r="DX71" s="23"/>
      <c r="DY71" s="23"/>
      <c r="DZ71" s="81"/>
      <c r="EA71" s="78"/>
      <c r="EB71" s="79"/>
      <c r="EC71" s="79"/>
      <c r="ED71" s="23"/>
      <c r="EE71" s="23"/>
      <c r="EF71" s="23"/>
      <c r="EG71" s="23"/>
      <c r="EH71" s="23"/>
      <c r="EI71" s="23"/>
      <c r="EJ71" s="23"/>
      <c r="EK71" s="23"/>
      <c r="EL71" s="23"/>
      <c r="EM71" s="23"/>
      <c r="EN71" s="23"/>
      <c r="EO71" s="23"/>
      <c r="EP71" s="23"/>
      <c r="EQ71" s="23"/>
      <c r="ER71" s="23"/>
      <c r="ES71" s="23"/>
      <c r="ET71" s="23"/>
      <c r="EU71" s="23"/>
      <c r="EV71" s="23"/>
      <c r="EW71" s="23"/>
      <c r="EX71" s="23"/>
      <c r="EY71" s="46"/>
      <c r="EZ71" s="49"/>
      <c r="FA71" s="50"/>
      <c r="FB71" s="50"/>
      <c r="FC71" s="23"/>
      <c r="FD71" s="23"/>
      <c r="FE71" s="23"/>
      <c r="FF71" s="23"/>
      <c r="FG71" s="23"/>
      <c r="FH71" s="23"/>
      <c r="FI71" s="23"/>
      <c r="FJ71" s="23"/>
      <c r="FK71" s="23"/>
      <c r="FL71" s="23"/>
      <c r="FM71" s="23"/>
      <c r="FN71" s="23"/>
      <c r="FO71" s="23"/>
      <c r="FP71" s="23"/>
      <c r="FQ71" s="23"/>
      <c r="FR71" s="23"/>
      <c r="FS71" s="23"/>
    </row>
    <row r="72" spans="1:175" ht="14.5" customHeight="1" x14ac:dyDescent="0.35">
      <c r="A72" s="23"/>
      <c r="B72" s="23"/>
      <c r="C72" s="23"/>
      <c r="D72" s="23"/>
      <c r="E72" s="94" t="s">
        <v>79</v>
      </c>
      <c r="F72" s="107">
        <f>Week2endweight/(HeightMeters*HeightMeters)</f>
        <v>46.538082383201221</v>
      </c>
      <c r="G72" s="120"/>
      <c r="H72" s="120"/>
      <c r="I72" s="23"/>
      <c r="J72" s="23"/>
      <c r="K72" s="23"/>
      <c r="L72" s="23"/>
      <c r="M72" s="23"/>
      <c r="N72" s="23"/>
      <c r="O72" s="23"/>
      <c r="P72" s="23"/>
      <c r="Q72" s="23"/>
      <c r="R72" s="23"/>
      <c r="S72" s="23"/>
      <c r="T72" s="23"/>
      <c r="U72" s="23"/>
      <c r="V72" s="23"/>
      <c r="W72" s="23"/>
      <c r="X72" s="23"/>
      <c r="Y72" s="23"/>
      <c r="Z72" s="23"/>
      <c r="AA72" s="23"/>
      <c r="AB72" s="23"/>
      <c r="AC72" s="23"/>
      <c r="AD72" s="39"/>
      <c r="AE72" s="39"/>
      <c r="AF72" s="39"/>
      <c r="AG72" s="39"/>
      <c r="AH72" s="23"/>
      <c r="AI72" s="23"/>
      <c r="AJ72" s="23"/>
      <c r="AK72" s="23"/>
      <c r="AL72" s="23"/>
      <c r="AM72" s="23"/>
      <c r="AN72" s="23"/>
      <c r="AO72" s="23"/>
      <c r="AP72" s="23"/>
      <c r="AQ72" s="23"/>
      <c r="AR72" s="23"/>
      <c r="AS72" s="23"/>
      <c r="AT72" s="23"/>
      <c r="AU72" s="23"/>
      <c r="AV72" s="23"/>
      <c r="AW72" s="23"/>
      <c r="AX72" s="23"/>
      <c r="AY72" s="23"/>
      <c r="AZ72" s="23"/>
      <c r="BA72" s="23"/>
      <c r="BB72" s="23"/>
      <c r="BC72" s="79"/>
      <c r="BD72" s="79"/>
      <c r="BE72" s="79"/>
      <c r="BF72" s="79"/>
      <c r="BG72" s="23"/>
      <c r="BH72" s="23"/>
      <c r="BI72" s="23"/>
      <c r="BJ72" s="23"/>
      <c r="BK72" s="23"/>
      <c r="BL72" s="23"/>
      <c r="BM72" s="23"/>
      <c r="BN72" s="23"/>
      <c r="BO72" s="23"/>
      <c r="BP72" s="23"/>
      <c r="BQ72" s="23"/>
      <c r="BR72" s="23"/>
      <c r="BS72" s="23"/>
      <c r="BT72" s="23"/>
      <c r="BU72" s="23"/>
      <c r="BV72" s="23"/>
      <c r="BW72" s="23"/>
      <c r="BX72" s="23"/>
      <c r="BY72" s="23"/>
      <c r="BZ72" s="23"/>
      <c r="CA72" s="23"/>
      <c r="CB72" s="80" t="s">
        <v>76</v>
      </c>
      <c r="CC72" s="76"/>
      <c r="CD72" s="77"/>
      <c r="CE72" s="77"/>
      <c r="CF72" s="23"/>
      <c r="CG72" s="23"/>
      <c r="CH72" s="23"/>
      <c r="CI72" s="23"/>
      <c r="CJ72" s="23"/>
      <c r="CK72" s="23"/>
      <c r="CL72" s="23"/>
      <c r="CM72" s="23"/>
      <c r="CN72" s="23"/>
      <c r="CO72" s="23"/>
      <c r="CP72" s="23"/>
      <c r="CQ72" s="23"/>
      <c r="CR72" s="23"/>
      <c r="CS72" s="23"/>
      <c r="CT72" s="23"/>
      <c r="CU72" s="23"/>
      <c r="CV72" s="23"/>
      <c r="CW72" s="23"/>
      <c r="CX72" s="23"/>
      <c r="CY72" s="23"/>
      <c r="CZ72" s="23"/>
      <c r="DA72" s="80" t="s">
        <v>76</v>
      </c>
      <c r="DB72" s="76"/>
      <c r="DC72" s="77"/>
      <c r="DD72" s="77"/>
      <c r="DE72" s="23"/>
      <c r="DF72" s="23"/>
      <c r="DG72" s="23"/>
      <c r="DH72" s="23"/>
      <c r="DI72" s="23"/>
      <c r="DJ72" s="23"/>
      <c r="DK72" s="23"/>
      <c r="DL72" s="23"/>
      <c r="DM72" s="23"/>
      <c r="DN72" s="23"/>
      <c r="DO72" s="23"/>
      <c r="DP72" s="23"/>
      <c r="DQ72" s="23"/>
      <c r="DR72" s="23"/>
      <c r="DS72" s="23"/>
      <c r="DT72" s="23"/>
      <c r="DU72" s="23"/>
      <c r="DV72" s="23"/>
      <c r="DW72" s="23"/>
      <c r="DX72" s="23"/>
      <c r="DY72" s="23"/>
      <c r="DZ72" s="80" t="s">
        <v>76</v>
      </c>
      <c r="EA72" s="76"/>
      <c r="EB72" s="77"/>
      <c r="EC72" s="77"/>
      <c r="ED72" s="23"/>
      <c r="EE72" s="23"/>
      <c r="EF72" s="23"/>
      <c r="EG72" s="23"/>
      <c r="EH72" s="23"/>
      <c r="EI72" s="23"/>
      <c r="EJ72" s="23"/>
      <c r="EK72" s="23"/>
      <c r="EL72" s="23"/>
      <c r="EM72" s="23"/>
      <c r="EN72" s="23"/>
      <c r="EO72" s="23"/>
      <c r="EP72" s="23"/>
      <c r="EQ72" s="23"/>
      <c r="ER72" s="23"/>
      <c r="ES72" s="23"/>
      <c r="ET72" s="23"/>
      <c r="EU72" s="23"/>
      <c r="EV72" s="23"/>
      <c r="EW72" s="23"/>
      <c r="EX72" s="23"/>
      <c r="EY72" s="80" t="s">
        <v>76</v>
      </c>
      <c r="EZ72" s="76"/>
      <c r="FA72" s="77"/>
      <c r="FB72" s="77"/>
      <c r="FC72" s="23"/>
      <c r="FD72" s="23"/>
      <c r="FE72" s="23"/>
      <c r="FF72" s="23"/>
      <c r="FG72" s="23"/>
      <c r="FH72" s="23"/>
      <c r="FI72" s="23"/>
      <c r="FJ72" s="23"/>
      <c r="FK72" s="23"/>
      <c r="FL72" s="23"/>
      <c r="FM72" s="23"/>
      <c r="FN72" s="23"/>
      <c r="FO72" s="23"/>
      <c r="FP72" s="23"/>
      <c r="FQ72" s="23"/>
      <c r="FR72" s="23"/>
      <c r="FS72" s="23"/>
    </row>
    <row r="73" spans="1:175" ht="14.5" customHeight="1" x14ac:dyDescent="0.35">
      <c r="A73" s="23"/>
      <c r="B73" s="23"/>
      <c r="C73" s="23"/>
      <c r="D73" s="23"/>
      <c r="E73" s="94"/>
      <c r="F73" s="109"/>
      <c r="G73" s="121"/>
      <c r="H73" s="121"/>
      <c r="I73" s="23"/>
      <c r="J73" s="23"/>
      <c r="K73" s="23"/>
      <c r="L73" s="23"/>
      <c r="M73" s="23"/>
      <c r="N73" s="23"/>
      <c r="O73" s="23"/>
      <c r="P73" s="23"/>
      <c r="Q73" s="23"/>
      <c r="R73" s="23"/>
      <c r="S73" s="23"/>
      <c r="T73" s="23"/>
      <c r="U73" s="23"/>
      <c r="V73" s="23"/>
      <c r="W73" s="23"/>
      <c r="X73" s="23"/>
      <c r="Y73" s="23"/>
      <c r="Z73" s="23"/>
      <c r="AA73" s="23"/>
      <c r="AB73" s="23"/>
      <c r="AC73" s="23"/>
      <c r="AD73" s="39"/>
      <c r="AE73" s="39"/>
      <c r="AF73" s="39"/>
      <c r="AG73" s="39"/>
      <c r="AH73" s="23"/>
      <c r="AI73" s="23"/>
      <c r="AJ73" s="23"/>
      <c r="AK73" s="23"/>
      <c r="AL73" s="23"/>
      <c r="AM73" s="23"/>
      <c r="AN73" s="23"/>
      <c r="AO73" s="23"/>
      <c r="AP73" s="23"/>
      <c r="AQ73" s="23"/>
      <c r="AR73" s="23"/>
      <c r="AS73" s="23"/>
      <c r="AT73" s="23"/>
      <c r="AU73" s="23"/>
      <c r="AV73" s="23"/>
      <c r="AW73" s="23"/>
      <c r="AX73" s="23"/>
      <c r="AY73" s="23"/>
      <c r="AZ73" s="23"/>
      <c r="BA73" s="23"/>
      <c r="BB73" s="23"/>
      <c r="BC73" s="79"/>
      <c r="BD73" s="79"/>
      <c r="BE73" s="79"/>
      <c r="BF73" s="79"/>
      <c r="BG73" s="23"/>
      <c r="BH73" s="23"/>
      <c r="BI73" s="23"/>
      <c r="BJ73" s="23"/>
      <c r="BK73" s="23"/>
      <c r="BL73" s="23"/>
      <c r="BM73" s="23"/>
      <c r="BN73" s="23"/>
      <c r="BO73" s="23"/>
      <c r="BP73" s="23"/>
      <c r="BQ73" s="23"/>
      <c r="BR73" s="23"/>
      <c r="BS73" s="23"/>
      <c r="BT73" s="23"/>
      <c r="BU73" s="23"/>
      <c r="BV73" s="23"/>
      <c r="BW73" s="23"/>
      <c r="BX73" s="23"/>
      <c r="BY73" s="23"/>
      <c r="BZ73" s="23"/>
      <c r="CA73" s="23"/>
      <c r="CB73" s="80"/>
      <c r="CC73" s="78"/>
      <c r="CD73" s="79"/>
      <c r="CE73" s="79"/>
      <c r="CF73" s="23"/>
      <c r="CG73" s="23"/>
      <c r="CH73" s="23"/>
      <c r="CI73" s="23"/>
      <c r="CJ73" s="23"/>
      <c r="CK73" s="23"/>
      <c r="CL73" s="23"/>
      <c r="CM73" s="23"/>
      <c r="CN73" s="23"/>
      <c r="CO73" s="23"/>
      <c r="CP73" s="23"/>
      <c r="CQ73" s="23"/>
      <c r="CR73" s="23"/>
      <c r="CS73" s="23"/>
      <c r="CT73" s="23"/>
      <c r="CU73" s="23"/>
      <c r="CV73" s="23"/>
      <c r="CW73" s="23"/>
      <c r="CX73" s="23"/>
      <c r="CY73" s="23"/>
      <c r="CZ73" s="23"/>
      <c r="DA73" s="80"/>
      <c r="DB73" s="78"/>
      <c r="DC73" s="79"/>
      <c r="DD73" s="79"/>
      <c r="DE73" s="23"/>
      <c r="DF73" s="23"/>
      <c r="DG73" s="23"/>
      <c r="DH73" s="23"/>
      <c r="DI73" s="23"/>
      <c r="DJ73" s="23"/>
      <c r="DK73" s="23"/>
      <c r="DL73" s="23"/>
      <c r="DM73" s="23"/>
      <c r="DN73" s="23"/>
      <c r="DO73" s="23"/>
      <c r="DP73" s="23"/>
      <c r="DQ73" s="23"/>
      <c r="DR73" s="23"/>
      <c r="DS73" s="23"/>
      <c r="DT73" s="23"/>
      <c r="DU73" s="23"/>
      <c r="DV73" s="23"/>
      <c r="DW73" s="23"/>
      <c r="DX73" s="23"/>
      <c r="DY73" s="23"/>
      <c r="DZ73" s="80"/>
      <c r="EA73" s="78"/>
      <c r="EB73" s="79"/>
      <c r="EC73" s="79"/>
      <c r="ED73" s="23"/>
      <c r="EE73" s="23"/>
      <c r="EF73" s="23"/>
      <c r="EG73" s="23"/>
      <c r="EH73" s="23"/>
      <c r="EI73" s="23"/>
      <c r="EJ73" s="23"/>
      <c r="EK73" s="23"/>
      <c r="EL73" s="23"/>
      <c r="EM73" s="23"/>
      <c r="EN73" s="23"/>
      <c r="EO73" s="23"/>
      <c r="EP73" s="23"/>
      <c r="EQ73" s="23"/>
      <c r="ER73" s="23"/>
      <c r="ES73" s="23"/>
      <c r="ET73" s="23"/>
      <c r="EU73" s="23"/>
      <c r="EV73" s="23"/>
      <c r="EW73" s="23"/>
      <c r="EX73" s="23"/>
      <c r="EY73" s="80"/>
      <c r="EZ73" s="78"/>
      <c r="FA73" s="79"/>
      <c r="FB73" s="79"/>
      <c r="FC73" s="23"/>
      <c r="FD73" s="23"/>
      <c r="FE73" s="23"/>
      <c r="FF73" s="23"/>
      <c r="FG73" s="23"/>
      <c r="FH73" s="23"/>
      <c r="FI73" s="23"/>
      <c r="FJ73" s="23"/>
      <c r="FK73" s="23"/>
      <c r="FL73" s="23"/>
      <c r="FM73" s="23"/>
      <c r="FN73" s="23"/>
      <c r="FO73" s="23"/>
      <c r="FP73" s="23"/>
      <c r="FQ73" s="23"/>
      <c r="FR73" s="23"/>
      <c r="FS73" s="23"/>
    </row>
    <row r="74" spans="1:175" ht="14.5" customHeight="1" x14ac:dyDescent="0.35">
      <c r="A74" s="23"/>
      <c r="B74" s="23"/>
      <c r="C74" s="23"/>
      <c r="D74" s="23"/>
      <c r="E74" s="94"/>
      <c r="F74" s="109"/>
      <c r="G74" s="121"/>
      <c r="H74" s="121"/>
      <c r="I74" s="23"/>
      <c r="J74" s="23"/>
      <c r="K74" s="23"/>
      <c r="L74" s="23"/>
      <c r="M74" s="23"/>
      <c r="N74" s="23"/>
      <c r="O74" s="23"/>
      <c r="P74" s="23"/>
      <c r="Q74" s="23"/>
      <c r="R74" s="23"/>
      <c r="S74" s="23"/>
      <c r="T74" s="23"/>
      <c r="U74" s="23"/>
      <c r="V74" s="23"/>
      <c r="W74" s="23"/>
      <c r="X74" s="23"/>
      <c r="Y74" s="23"/>
      <c r="Z74" s="23"/>
      <c r="AA74" s="23"/>
      <c r="AB74" s="23"/>
      <c r="AC74" s="23"/>
      <c r="AD74" s="39"/>
      <c r="AE74" s="39"/>
      <c r="AF74" s="39"/>
      <c r="AG74" s="39"/>
      <c r="AH74" s="23"/>
      <c r="AI74" s="23"/>
      <c r="AJ74" s="23"/>
      <c r="AK74" s="23"/>
      <c r="AL74" s="23"/>
      <c r="AM74" s="23"/>
      <c r="AN74" s="23"/>
      <c r="AO74" s="23"/>
      <c r="AP74" s="23"/>
      <c r="AQ74" s="23"/>
      <c r="AR74" s="23"/>
      <c r="AS74" s="23"/>
      <c r="AT74" s="23"/>
      <c r="AU74" s="23"/>
      <c r="AV74" s="23"/>
      <c r="AW74" s="23"/>
      <c r="AX74" s="23"/>
      <c r="AY74" s="23"/>
      <c r="AZ74" s="23"/>
      <c r="BA74" s="23"/>
      <c r="BB74" s="23"/>
      <c r="BC74" s="79"/>
      <c r="BD74" s="79"/>
      <c r="BE74" s="79"/>
      <c r="BF74" s="79"/>
      <c r="BG74" s="23"/>
      <c r="BH74" s="23"/>
      <c r="BI74" s="23"/>
      <c r="BJ74" s="23"/>
      <c r="BK74" s="23"/>
      <c r="BL74" s="23"/>
      <c r="BM74" s="23"/>
      <c r="BN74" s="23"/>
      <c r="BO74" s="23"/>
      <c r="BP74" s="23"/>
      <c r="BQ74" s="23"/>
      <c r="BR74" s="23"/>
      <c r="BS74" s="23"/>
      <c r="BT74" s="23"/>
      <c r="BU74" s="23"/>
      <c r="BV74" s="23"/>
      <c r="BW74" s="23"/>
      <c r="BX74" s="23"/>
      <c r="BY74" s="23"/>
      <c r="BZ74" s="23"/>
      <c r="CA74" s="23"/>
      <c r="CB74" s="80"/>
      <c r="CC74" s="78"/>
      <c r="CD74" s="79"/>
      <c r="CE74" s="79"/>
      <c r="CF74" s="23"/>
      <c r="CG74" s="23"/>
      <c r="CH74" s="23"/>
      <c r="CI74" s="23"/>
      <c r="CJ74" s="23"/>
      <c r="CK74" s="23"/>
      <c r="CL74" s="23"/>
      <c r="CM74" s="23"/>
      <c r="CN74" s="23"/>
      <c r="CO74" s="23"/>
      <c r="CP74" s="23"/>
      <c r="CQ74" s="23"/>
      <c r="CR74" s="23"/>
      <c r="CS74" s="23"/>
      <c r="CT74" s="23"/>
      <c r="CU74" s="23"/>
      <c r="CV74" s="23"/>
      <c r="CW74" s="23"/>
      <c r="CX74" s="23"/>
      <c r="CY74" s="23"/>
      <c r="CZ74" s="23"/>
      <c r="DA74" s="80"/>
      <c r="DB74" s="78"/>
      <c r="DC74" s="79"/>
      <c r="DD74" s="79"/>
      <c r="DE74" s="23"/>
      <c r="DF74" s="23"/>
      <c r="DG74" s="23"/>
      <c r="DH74" s="23"/>
      <c r="DI74" s="23"/>
      <c r="DJ74" s="23"/>
      <c r="DK74" s="23"/>
      <c r="DL74" s="23"/>
      <c r="DM74" s="23"/>
      <c r="DN74" s="23"/>
      <c r="DO74" s="23"/>
      <c r="DP74" s="23"/>
      <c r="DQ74" s="23"/>
      <c r="DR74" s="23"/>
      <c r="DS74" s="23"/>
      <c r="DT74" s="23"/>
      <c r="DU74" s="23"/>
      <c r="DV74" s="23"/>
      <c r="DW74" s="23"/>
      <c r="DX74" s="23"/>
      <c r="DY74" s="23"/>
      <c r="DZ74" s="80"/>
      <c r="EA74" s="78"/>
      <c r="EB74" s="79"/>
      <c r="EC74" s="79"/>
      <c r="ED74" s="23"/>
      <c r="EE74" s="23"/>
      <c r="EF74" s="23"/>
      <c r="EG74" s="23"/>
      <c r="EH74" s="23"/>
      <c r="EI74" s="23"/>
      <c r="EJ74" s="23"/>
      <c r="EK74" s="23"/>
      <c r="EL74" s="23"/>
      <c r="EM74" s="23"/>
      <c r="EN74" s="23"/>
      <c r="EO74" s="23"/>
      <c r="EP74" s="23"/>
      <c r="EQ74" s="23"/>
      <c r="ER74" s="23"/>
      <c r="ES74" s="23"/>
      <c r="ET74" s="23"/>
      <c r="EU74" s="23"/>
      <c r="EV74" s="23"/>
      <c r="EW74" s="23"/>
      <c r="EX74" s="23"/>
      <c r="EY74" s="80"/>
      <c r="EZ74" s="78"/>
      <c r="FA74" s="79"/>
      <c r="FB74" s="79"/>
      <c r="FC74" s="23"/>
      <c r="FD74" s="23"/>
      <c r="FE74" s="23"/>
      <c r="FF74" s="23"/>
      <c r="FG74" s="23"/>
      <c r="FH74" s="23"/>
      <c r="FI74" s="23"/>
      <c r="FJ74" s="23"/>
      <c r="FK74" s="23"/>
      <c r="FL74" s="23"/>
      <c r="FM74" s="23"/>
      <c r="FN74" s="23"/>
      <c r="FO74" s="23"/>
      <c r="FP74" s="23"/>
      <c r="FQ74" s="23"/>
      <c r="FR74" s="23"/>
      <c r="FS74" s="23"/>
    </row>
    <row r="75" spans="1:175" ht="15" customHeight="1" thickBot="1" x14ac:dyDescent="0.4">
      <c r="A75" s="23"/>
      <c r="B75" s="23"/>
      <c r="C75" s="23"/>
      <c r="D75" s="23"/>
      <c r="E75" s="95"/>
      <c r="F75" s="109"/>
      <c r="G75" s="121"/>
      <c r="H75" s="121"/>
      <c r="I75" s="23"/>
      <c r="J75" s="23"/>
      <c r="K75" s="23"/>
      <c r="L75" s="23"/>
      <c r="M75" s="23"/>
      <c r="N75" s="23"/>
      <c r="O75" s="23"/>
      <c r="P75" s="23"/>
      <c r="Q75" s="23"/>
      <c r="R75" s="23"/>
      <c r="S75" s="23"/>
      <c r="T75" s="23"/>
      <c r="U75" s="23"/>
      <c r="V75" s="23"/>
      <c r="W75" s="23"/>
      <c r="X75" s="23"/>
      <c r="Y75" s="23"/>
      <c r="Z75" s="23"/>
      <c r="AA75" s="23"/>
      <c r="AB75" s="23"/>
      <c r="AC75" s="23"/>
      <c r="AD75" s="39"/>
      <c r="AE75" s="39"/>
      <c r="AF75" s="39"/>
      <c r="AG75" s="39" t="s">
        <v>77</v>
      </c>
      <c r="AH75" s="23"/>
      <c r="AI75" s="23"/>
      <c r="AJ75" s="23"/>
      <c r="AK75" s="23"/>
      <c r="AL75" s="23"/>
      <c r="AM75" s="23"/>
      <c r="AN75" s="23"/>
      <c r="AO75" s="23"/>
      <c r="AP75" s="23"/>
      <c r="AQ75" s="23"/>
      <c r="AR75" s="23"/>
      <c r="AS75" s="23"/>
      <c r="AT75" s="23"/>
      <c r="AU75" s="23"/>
      <c r="AV75" s="23"/>
      <c r="AW75" s="23"/>
      <c r="AX75" s="23"/>
      <c r="AY75" s="23"/>
      <c r="AZ75" s="23"/>
      <c r="BA75" s="23"/>
      <c r="BB75" s="23"/>
      <c r="BC75" s="79"/>
      <c r="BD75" s="79"/>
      <c r="BE75" s="79"/>
      <c r="BF75" s="79"/>
      <c r="BG75" s="23"/>
      <c r="BH75" s="23"/>
      <c r="BI75" s="23"/>
      <c r="BJ75" s="23"/>
      <c r="BK75" s="23"/>
      <c r="BL75" s="23"/>
      <c r="BM75" s="23"/>
      <c r="BN75" s="23"/>
      <c r="BO75" s="23"/>
      <c r="BP75" s="23"/>
      <c r="BQ75" s="23"/>
      <c r="BR75" s="23"/>
      <c r="BS75" s="23"/>
      <c r="BT75" s="23"/>
      <c r="BU75" s="23"/>
      <c r="BV75" s="23"/>
      <c r="BW75" s="23"/>
      <c r="BX75" s="23"/>
      <c r="BY75" s="23"/>
      <c r="BZ75" s="23"/>
      <c r="CA75" s="23"/>
      <c r="CB75" s="81"/>
      <c r="CC75" s="78"/>
      <c r="CD75" s="79"/>
      <c r="CE75" s="79"/>
      <c r="CF75" s="23"/>
      <c r="CG75" s="23"/>
      <c r="CH75" s="23"/>
      <c r="CI75" s="23"/>
      <c r="CJ75" s="23"/>
      <c r="CK75" s="23"/>
      <c r="CL75" s="23"/>
      <c r="CM75" s="23"/>
      <c r="CN75" s="23"/>
      <c r="CO75" s="23"/>
      <c r="CP75" s="23"/>
      <c r="CQ75" s="23"/>
      <c r="CR75" s="23"/>
      <c r="CS75" s="23"/>
      <c r="CT75" s="23"/>
      <c r="CU75" s="23"/>
      <c r="CV75" s="23"/>
      <c r="CW75" s="23"/>
      <c r="CX75" s="23"/>
      <c r="CY75" s="23"/>
      <c r="CZ75" s="23"/>
      <c r="DA75" s="81"/>
      <c r="DB75" s="78"/>
      <c r="DC75" s="79"/>
      <c r="DD75" s="79"/>
      <c r="DE75" s="23"/>
      <c r="DF75" s="23"/>
      <c r="DG75" s="23"/>
      <c r="DH75" s="23"/>
      <c r="DI75" s="23"/>
      <c r="DJ75" s="23"/>
      <c r="DK75" s="23"/>
      <c r="DL75" s="23"/>
      <c r="DM75" s="23"/>
      <c r="DN75" s="23"/>
      <c r="DO75" s="23"/>
      <c r="DP75" s="23"/>
      <c r="DQ75" s="23"/>
      <c r="DR75" s="23"/>
      <c r="DS75" s="23"/>
      <c r="DT75" s="23"/>
      <c r="DU75" s="23"/>
      <c r="DV75" s="23"/>
      <c r="DW75" s="23"/>
      <c r="DX75" s="23"/>
      <c r="DY75" s="23"/>
      <c r="DZ75" s="81"/>
      <c r="EA75" s="78"/>
      <c r="EB75" s="79"/>
      <c r="EC75" s="79"/>
      <c r="ED75" s="23"/>
      <c r="EE75" s="23"/>
      <c r="EF75" s="23"/>
      <c r="EG75" s="23"/>
      <c r="EH75" s="23"/>
      <c r="EI75" s="23"/>
      <c r="EJ75" s="23"/>
      <c r="EK75" s="23"/>
      <c r="EL75" s="23"/>
      <c r="EM75" s="23"/>
      <c r="EN75" s="23"/>
      <c r="EO75" s="23"/>
      <c r="EP75" s="23"/>
      <c r="EQ75" s="23"/>
      <c r="ER75" s="23"/>
      <c r="ES75" s="23"/>
      <c r="ET75" s="23"/>
      <c r="EU75" s="23"/>
      <c r="EV75" s="23"/>
      <c r="EW75" s="23"/>
      <c r="EX75" s="23"/>
      <c r="EY75" s="81"/>
      <c r="EZ75" s="78"/>
      <c r="FA75" s="79"/>
      <c r="FB75" s="79"/>
      <c r="FC75" s="23"/>
      <c r="FD75" s="23"/>
      <c r="FE75" s="23"/>
      <c r="FF75" s="23"/>
      <c r="FG75" s="23"/>
      <c r="FH75" s="23"/>
      <c r="FI75" s="23"/>
      <c r="FJ75" s="23"/>
      <c r="FK75" s="23"/>
      <c r="FL75" s="23"/>
      <c r="FM75" s="23"/>
      <c r="FN75" s="23"/>
      <c r="FO75" s="23"/>
      <c r="FP75" s="23"/>
      <c r="FQ75" s="23"/>
      <c r="FR75" s="23"/>
      <c r="FS75" s="23"/>
    </row>
    <row r="76" spans="1:175" x14ac:dyDescent="0.3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row>
    <row r="77" spans="1:175" x14ac:dyDescent="0.3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23"/>
      <c r="FG77" s="23"/>
      <c r="FH77" s="23"/>
      <c r="FI77" s="23"/>
      <c r="FJ77" s="23"/>
      <c r="FK77" s="23"/>
      <c r="FL77" s="23"/>
      <c r="FM77" s="23"/>
      <c r="FN77" s="23"/>
      <c r="FO77" s="23"/>
      <c r="FP77" s="23"/>
      <c r="FQ77" s="23"/>
      <c r="FR77" s="23"/>
      <c r="FS77" s="23"/>
    </row>
    <row r="78" spans="1:175" x14ac:dyDescent="0.3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row>
  </sheetData>
  <mergeCells count="243">
    <mergeCell ref="EY72:EY75"/>
    <mergeCell ref="EZ72:FB75"/>
    <mergeCell ref="BC72:BC75"/>
    <mergeCell ref="BD72:BF75"/>
    <mergeCell ref="CB72:CB75"/>
    <mergeCell ref="CC72:CE75"/>
    <mergeCell ref="DA72:DA75"/>
    <mergeCell ref="DB68:DD71"/>
    <mergeCell ref="DZ68:DZ71"/>
    <mergeCell ref="EA68:EC71"/>
    <mergeCell ref="BC68:BC71"/>
    <mergeCell ref="BD68:BF71"/>
    <mergeCell ref="CB68:CB71"/>
    <mergeCell ref="CC68:CE71"/>
    <mergeCell ref="DA68:DA71"/>
    <mergeCell ref="DB72:DD75"/>
    <mergeCell ref="DZ72:DZ75"/>
    <mergeCell ref="EA72:EC75"/>
    <mergeCell ref="DB60:DD63"/>
    <mergeCell ref="DZ60:DZ63"/>
    <mergeCell ref="EA60:EC63"/>
    <mergeCell ref="BC60:BC63"/>
    <mergeCell ref="BD60:BF63"/>
    <mergeCell ref="CB60:CB63"/>
    <mergeCell ref="CC60:CE63"/>
    <mergeCell ref="DA60:DA63"/>
    <mergeCell ref="DB64:DD67"/>
    <mergeCell ref="DZ64:DZ67"/>
    <mergeCell ref="EA64:EC67"/>
    <mergeCell ref="BC64:BC67"/>
    <mergeCell ref="BD64:BF67"/>
    <mergeCell ref="CB64:CB67"/>
    <mergeCell ref="CC64:CE67"/>
    <mergeCell ref="DA64:DA67"/>
    <mergeCell ref="DB52:DD55"/>
    <mergeCell ref="DZ52:DZ55"/>
    <mergeCell ref="EA52:EC55"/>
    <mergeCell ref="BC52:BC55"/>
    <mergeCell ref="BD52:BF55"/>
    <mergeCell ref="CB52:CB55"/>
    <mergeCell ref="CC52:CE55"/>
    <mergeCell ref="DA52:DA55"/>
    <mergeCell ref="DB56:DD59"/>
    <mergeCell ref="DZ56:DZ59"/>
    <mergeCell ref="EA56:EC59"/>
    <mergeCell ref="BC56:BC59"/>
    <mergeCell ref="BD56:BF59"/>
    <mergeCell ref="CB56:CB59"/>
    <mergeCell ref="CC56:CE59"/>
    <mergeCell ref="DA56:DA59"/>
    <mergeCell ref="BC50:BF51"/>
    <mergeCell ref="CB50:CE51"/>
    <mergeCell ref="DA50:DD51"/>
    <mergeCell ref="DZ50:EC51"/>
    <mergeCell ref="EY50:FB51"/>
    <mergeCell ref="DY39:DY42"/>
    <mergeCell ref="DZ39:DZ42"/>
    <mergeCell ref="EA39:EA42"/>
    <mergeCell ref="EW39:EW42"/>
    <mergeCell ref="EX39:EX42"/>
    <mergeCell ref="CY39:CY42"/>
    <mergeCell ref="CZ39:CZ42"/>
    <mergeCell ref="DA39:DA42"/>
    <mergeCell ref="DB39:DB42"/>
    <mergeCell ref="DX39:DX42"/>
    <mergeCell ref="EZ35:EZ38"/>
    <mergeCell ref="AB39:AB42"/>
    <mergeCell ref="AC39:AC42"/>
    <mergeCell ref="AD39:AD42"/>
    <mergeCell ref="AE39:AE42"/>
    <mergeCell ref="BA39:BA42"/>
    <mergeCell ref="BB39:BB42"/>
    <mergeCell ref="BC39:BC42"/>
    <mergeCell ref="BD39:BD42"/>
    <mergeCell ref="BZ39:BZ42"/>
    <mergeCell ref="CA39:CA42"/>
    <mergeCell ref="CB39:CB42"/>
    <mergeCell ref="CC39:CC42"/>
    <mergeCell ref="DB35:DB38"/>
    <mergeCell ref="DX35:DX38"/>
    <mergeCell ref="DY35:DY38"/>
    <mergeCell ref="DZ35:DZ38"/>
    <mergeCell ref="EA35:EA38"/>
    <mergeCell ref="EY39:EY42"/>
    <mergeCell ref="EZ39:EZ42"/>
    <mergeCell ref="EW33:EZ34"/>
    <mergeCell ref="AB35:AB38"/>
    <mergeCell ref="AC35:AC38"/>
    <mergeCell ref="AD35:AD38"/>
    <mergeCell ref="AE35:AE38"/>
    <mergeCell ref="BA35:BA38"/>
    <mergeCell ref="BB35:BB38"/>
    <mergeCell ref="BC35:BC38"/>
    <mergeCell ref="BD35:BD38"/>
    <mergeCell ref="BZ35:BZ38"/>
    <mergeCell ref="CA35:CA38"/>
    <mergeCell ref="CB35:CB38"/>
    <mergeCell ref="CC35:CC38"/>
    <mergeCell ref="CY35:CY38"/>
    <mergeCell ref="CZ35:CZ38"/>
    <mergeCell ref="DA35:DA38"/>
    <mergeCell ref="AB33:AE34"/>
    <mergeCell ref="BA33:BD34"/>
    <mergeCell ref="BZ33:CC34"/>
    <mergeCell ref="CY33:DB34"/>
    <mergeCell ref="DX33:EA34"/>
    <mergeCell ref="EW35:EW38"/>
    <mergeCell ref="EX35:EX38"/>
    <mergeCell ref="EY35:EY38"/>
    <mergeCell ref="EU19:EV22"/>
    <mergeCell ref="EW19:EW22"/>
    <mergeCell ref="EX19:EY22"/>
    <mergeCell ref="EZ19:EZ22"/>
    <mergeCell ref="CZ19:DA22"/>
    <mergeCell ref="DB19:DB22"/>
    <mergeCell ref="DV19:DW22"/>
    <mergeCell ref="DX19:DX22"/>
    <mergeCell ref="DY19:DZ22"/>
    <mergeCell ref="EZ15:EZ18"/>
    <mergeCell ref="Z19:AA22"/>
    <mergeCell ref="AB19:AB22"/>
    <mergeCell ref="AC19:AD22"/>
    <mergeCell ref="AE19:AE22"/>
    <mergeCell ref="AY19:AZ22"/>
    <mergeCell ref="BA19:BA22"/>
    <mergeCell ref="BB19:BC22"/>
    <mergeCell ref="BD19:BD22"/>
    <mergeCell ref="BX19:BY22"/>
    <mergeCell ref="BZ19:BZ22"/>
    <mergeCell ref="CA19:CB22"/>
    <mergeCell ref="CC19:CC22"/>
    <mergeCell ref="CW19:CX22"/>
    <mergeCell ref="CY19:CY22"/>
    <mergeCell ref="DX15:DX18"/>
    <mergeCell ref="DY15:DZ18"/>
    <mergeCell ref="EA15:EA18"/>
    <mergeCell ref="EU15:EV18"/>
    <mergeCell ref="EW15:EW18"/>
    <mergeCell ref="CW15:CX18"/>
    <mergeCell ref="CY15:CY18"/>
    <mergeCell ref="CZ15:DA18"/>
    <mergeCell ref="EA19:EA22"/>
    <mergeCell ref="DB15:DB18"/>
    <mergeCell ref="DV15:DW18"/>
    <mergeCell ref="EU11:EV14"/>
    <mergeCell ref="EW11:EW14"/>
    <mergeCell ref="EX11:EY14"/>
    <mergeCell ref="EZ11:EZ14"/>
    <mergeCell ref="Z15:AA18"/>
    <mergeCell ref="AB15:AB18"/>
    <mergeCell ref="AC15:AD18"/>
    <mergeCell ref="AE15:AE18"/>
    <mergeCell ref="AY15:AZ18"/>
    <mergeCell ref="BA15:BA18"/>
    <mergeCell ref="BB15:BC18"/>
    <mergeCell ref="BD15:BD18"/>
    <mergeCell ref="BX15:BY18"/>
    <mergeCell ref="BZ15:BZ18"/>
    <mergeCell ref="CA15:CB18"/>
    <mergeCell ref="CC15:CC18"/>
    <mergeCell ref="DB11:DB14"/>
    <mergeCell ref="DV11:DW14"/>
    <mergeCell ref="DX11:DX14"/>
    <mergeCell ref="DY11:DZ14"/>
    <mergeCell ref="EA11:EA14"/>
    <mergeCell ref="EX15:EY18"/>
    <mergeCell ref="FC9:FL10"/>
    <mergeCell ref="Z11:AA14"/>
    <mergeCell ref="AB11:AB14"/>
    <mergeCell ref="AC11:AD14"/>
    <mergeCell ref="AE11:AE14"/>
    <mergeCell ref="AY11:AZ14"/>
    <mergeCell ref="BA11:BA14"/>
    <mergeCell ref="BB11:BC14"/>
    <mergeCell ref="BD11:BD14"/>
    <mergeCell ref="BX11:BY14"/>
    <mergeCell ref="BZ11:BZ14"/>
    <mergeCell ref="CA11:CB14"/>
    <mergeCell ref="CC11:CC14"/>
    <mergeCell ref="CW11:CX14"/>
    <mergeCell ref="CY11:CY14"/>
    <mergeCell ref="CZ11:DA14"/>
    <mergeCell ref="EV3:EW4"/>
    <mergeCell ref="EX3:EX4"/>
    <mergeCell ref="Z9:AE10"/>
    <mergeCell ref="AH9:AQ10"/>
    <mergeCell ref="AY9:BD10"/>
    <mergeCell ref="BG9:BP10"/>
    <mergeCell ref="BX9:CC10"/>
    <mergeCell ref="CF9:CO10"/>
    <mergeCell ref="CW9:DB10"/>
    <mergeCell ref="DE9:DN10"/>
    <mergeCell ref="DV9:EA10"/>
    <mergeCell ref="ED9:EM10"/>
    <mergeCell ref="EU9:EZ10"/>
    <mergeCell ref="CA3:CA4"/>
    <mergeCell ref="CX3:CY4"/>
    <mergeCell ref="CZ3:CZ4"/>
    <mergeCell ref="DW3:DX4"/>
    <mergeCell ref="DY3:DY4"/>
    <mergeCell ref="AA3:AB4"/>
    <mergeCell ref="AC3:AC4"/>
    <mergeCell ref="AZ3:BA4"/>
    <mergeCell ref="BB3:BB4"/>
    <mergeCell ref="BY3:BZ4"/>
    <mergeCell ref="I9:R10"/>
    <mergeCell ref="E64:E67"/>
    <mergeCell ref="F64:H67"/>
    <mergeCell ref="E68:E71"/>
    <mergeCell ref="F68:H71"/>
    <mergeCell ref="C33:F34"/>
    <mergeCell ref="C35:C38"/>
    <mergeCell ref="D35:D38"/>
    <mergeCell ref="E35:E38"/>
    <mergeCell ref="F35:F38"/>
    <mergeCell ref="C39:C42"/>
    <mergeCell ref="D39:D42"/>
    <mergeCell ref="E39:E42"/>
    <mergeCell ref="F39:F42"/>
    <mergeCell ref="E72:E75"/>
    <mergeCell ref="F72:H75"/>
    <mergeCell ref="E50:H51"/>
    <mergeCell ref="E52:E55"/>
    <mergeCell ref="F52:H55"/>
    <mergeCell ref="E56:E59"/>
    <mergeCell ref="F56:H59"/>
    <mergeCell ref="E60:E63"/>
    <mergeCell ref="F60:H63"/>
    <mergeCell ref="A15:B18"/>
    <mergeCell ref="C15:C18"/>
    <mergeCell ref="D15:E18"/>
    <mergeCell ref="F15:F18"/>
    <mergeCell ref="A19:B22"/>
    <mergeCell ref="C19:C22"/>
    <mergeCell ref="D19:E22"/>
    <mergeCell ref="F19:F22"/>
    <mergeCell ref="B3:C4"/>
    <mergeCell ref="D3:D4"/>
    <mergeCell ref="A9:F10"/>
    <mergeCell ref="A11:B14"/>
    <mergeCell ref="C11:C14"/>
    <mergeCell ref="D11:E14"/>
    <mergeCell ref="F11:F14"/>
  </mergeCells>
  <conditionalFormatting sqref="F39:F42">
    <cfRule type="containsText" dxfId="55" priority="13" operator="containsText" text="Bad shape">
      <formula>NOT(ISERROR(SEARCH("Bad shape",F39)))</formula>
    </cfRule>
    <cfRule type="containsText" dxfId="54" priority="14" operator="containsText" text="Fit shape">
      <formula>NOT(ISERROR(SEARCH("Fit shape",F39)))</formula>
    </cfRule>
  </conditionalFormatting>
  <conditionalFormatting sqref="AE39:AE42">
    <cfRule type="containsText" dxfId="53" priority="11" operator="containsText" text="Bad shape">
      <formula>NOT(ISERROR(SEARCH("Bad shape",AE39)))</formula>
    </cfRule>
    <cfRule type="containsText" dxfId="52" priority="12" operator="containsText" text="Fit shape">
      <formula>NOT(ISERROR(SEARCH("Fit shape",AE39)))</formula>
    </cfRule>
  </conditionalFormatting>
  <conditionalFormatting sqref="BD39:BD42">
    <cfRule type="containsText" dxfId="51" priority="9" operator="containsText" text="Bad shape">
      <formula>NOT(ISERROR(SEARCH("Bad shape",BD39)))</formula>
    </cfRule>
    <cfRule type="containsText" dxfId="50" priority="10" operator="containsText" text="Fit shape">
      <formula>NOT(ISERROR(SEARCH("Fit shape",BD39)))</formula>
    </cfRule>
  </conditionalFormatting>
  <conditionalFormatting sqref="CC39:CC42">
    <cfRule type="containsText" dxfId="49" priority="7" operator="containsText" text="Bad shape">
      <formula>NOT(ISERROR(SEARCH("Bad shape",CC39)))</formula>
    </cfRule>
    <cfRule type="containsText" dxfId="48" priority="8" operator="containsText" text="Fit shape">
      <formula>NOT(ISERROR(SEARCH("Fit shape",CC39)))</formula>
    </cfRule>
  </conditionalFormatting>
  <conditionalFormatting sqref="DB39:DB42">
    <cfRule type="containsText" dxfId="47" priority="5" operator="containsText" text="Bad shape">
      <formula>NOT(ISERROR(SEARCH("Bad shape",DB39)))</formula>
    </cfRule>
    <cfRule type="containsText" dxfId="46" priority="6" operator="containsText" text="Fit shape">
      <formula>NOT(ISERROR(SEARCH("Fit shape",DB39)))</formula>
    </cfRule>
  </conditionalFormatting>
  <conditionalFormatting sqref="EA39:EA42">
    <cfRule type="containsText" dxfId="45" priority="3" operator="containsText" text="Bad shape">
      <formula>NOT(ISERROR(SEARCH("Bad shape",EA39)))</formula>
    </cfRule>
    <cfRule type="containsText" dxfId="44" priority="4" operator="containsText" text="Fit shape">
      <formula>NOT(ISERROR(SEARCH("Fit shape",EA39)))</formula>
    </cfRule>
  </conditionalFormatting>
  <conditionalFormatting sqref="EZ39:EZ42">
    <cfRule type="containsText" dxfId="43" priority="1" operator="containsText" text="Bad shape">
      <formula>NOT(ISERROR(SEARCH("Bad shape",EZ39)))</formula>
    </cfRule>
    <cfRule type="containsText" dxfId="42" priority="2" operator="containsText" text="Fit shape">
      <formula>NOT(ISERROR(SEARCH("Fit shape",EZ39)))</formula>
    </cfRule>
  </conditionalFormatting>
  <dataValidations count="5">
    <dataValidation type="list" allowBlank="1" showInputMessage="1" showErrorMessage="1" sqref="I13:J30 AH13:AI30 BG13:BH30 CF13:CG30 DE13:DF30 ED13:EE30 FC13:FD30" xr:uid="{37DE12C8-4EC0-4CBE-A8D0-28D2904C4A4D}">
      <formula1>EXERCISES</formula1>
    </dataValidation>
    <dataValidation type="list" allowBlank="1" showInputMessage="1" showErrorMessage="1" errorTitle="Error" error="Please ensure the right dinner" promptTitle="Hint" prompt="Select your dinner" sqref="C19:C22 AB19:AB22 BA19:BA22 BZ19:BZ22 CY19:CY22 DX19:DX22 EW19:EW22" xr:uid="{7974E139-0179-4ACA-BFFB-F5A2F7C930BD}">
      <formula1>DINNER</formula1>
    </dataValidation>
    <dataValidation type="list" allowBlank="1" showInputMessage="1" showErrorMessage="1" errorTitle="error" error="Please ensure the right lunch" promptTitle="Hint" prompt="select your lunch" sqref="C15:C18 AB15:AB18 BA15:BA18 BZ15:BZ18 CY15:CY18 DX15:DX18 EW15:EW18" xr:uid="{28F63B31-C725-4400-BBB6-3ECFCD73E317}">
      <formula1>LUNCH</formula1>
    </dataValidation>
    <dataValidation type="list" allowBlank="1" showInputMessage="1" showErrorMessage="1" errorTitle="error" error="Please ensure the right breakfast" promptTitle="Hint" prompt="Select your breakfast" sqref="C11:C14 AB11:AB14 BA11:BA14 BZ11:BZ14 CY11:CY14 DX11:DX14 EW11:EW14" xr:uid="{1B473ECF-2203-46B6-B55F-C96F79F48B2A}">
      <formula1>BREAKFAST</formula1>
    </dataValidation>
    <dataValidation type="list" allowBlank="1" showInputMessage="1" showErrorMessage="1" errorTitle="Error" error="Please enter a number between 0 and 2" sqref="M13:N30 AL13:AM30 BK13:BL30 CJ13:CK30 DI13:DJ30 EH13:EI30 FG13:FH30" xr:uid="{ECB19F00-3142-4586-BDFD-B661CB0F6570}">
      <formula1>ExercisesTime</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B49E2-7284-46AA-BC9D-25695B1E5F31}">
  <dimension ref="A1:FS78"/>
  <sheetViews>
    <sheetView zoomScale="50" zoomScaleNormal="50" workbookViewId="0">
      <selection activeCell="EX5" sqref="EX5"/>
    </sheetView>
  </sheetViews>
  <sheetFormatPr defaultRowHeight="14.5" x14ac:dyDescent="0.35"/>
  <cols>
    <col min="3" max="3" width="35" customWidth="1"/>
    <col min="4" max="4" width="16.1796875" customWidth="1"/>
    <col min="5" max="5" width="27.26953125" customWidth="1"/>
    <col min="6" max="6" width="17.81640625" customWidth="1"/>
    <col min="10" max="10" width="18.54296875" customWidth="1"/>
    <col min="11" max="11" width="15.26953125" customWidth="1"/>
    <col min="12" max="12" width="10.7265625" customWidth="1"/>
    <col min="13" max="13" width="11.1796875" customWidth="1"/>
    <col min="15" max="15" width="15.453125" customWidth="1"/>
    <col min="16" max="16" width="6.453125" customWidth="1"/>
    <col min="17" max="17" width="15.26953125" customWidth="1"/>
    <col min="27" max="27" width="3.54296875" customWidth="1"/>
    <col min="28" max="28" width="23.26953125" customWidth="1"/>
  </cols>
  <sheetData>
    <row r="1" spans="1:175" x14ac:dyDescent="0.35">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c r="FJ1" s="23"/>
      <c r="FK1" s="23"/>
      <c r="FL1" s="23"/>
      <c r="FM1" s="23"/>
      <c r="FN1" s="23"/>
      <c r="FO1" s="23"/>
      <c r="FP1" s="23"/>
      <c r="FQ1" s="23"/>
      <c r="FR1" s="23"/>
      <c r="FS1" s="23"/>
    </row>
    <row r="2" spans="1:175" ht="15" thickBot="1" x14ac:dyDescent="0.4">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row>
    <row r="3" spans="1:175" ht="14.5" customHeight="1" x14ac:dyDescent="0.35">
      <c r="A3" s="23"/>
      <c r="B3" s="82" t="s">
        <v>40</v>
      </c>
      <c r="C3" s="83"/>
      <c r="D3" s="86">
        <f>Week2endweight</f>
        <v>186.15232953280488</v>
      </c>
      <c r="E3" s="23"/>
      <c r="F3" s="23"/>
      <c r="G3" s="23"/>
      <c r="H3" s="23"/>
      <c r="I3" s="23"/>
      <c r="J3" s="23"/>
      <c r="K3" s="23"/>
      <c r="L3" s="23"/>
      <c r="M3" s="23"/>
      <c r="N3" s="23"/>
      <c r="O3" s="23"/>
      <c r="P3" s="23"/>
      <c r="Q3" s="23"/>
      <c r="R3" s="23"/>
      <c r="S3" s="23"/>
      <c r="T3" s="23"/>
      <c r="U3" s="23"/>
      <c r="V3" s="23"/>
      <c r="W3" s="23"/>
      <c r="X3" s="23"/>
      <c r="Y3" s="23"/>
      <c r="Z3" s="23"/>
      <c r="AA3" s="82" t="s">
        <v>40</v>
      </c>
      <c r="AB3" s="83"/>
      <c r="AC3" s="86">
        <f>Week2endweight</f>
        <v>186.15232953280488</v>
      </c>
      <c r="AD3" s="23"/>
      <c r="AE3" s="23"/>
      <c r="AF3" s="23"/>
      <c r="AG3" s="23"/>
      <c r="AH3" s="23"/>
      <c r="AI3" s="23"/>
      <c r="AJ3" s="23"/>
      <c r="AK3" s="23"/>
      <c r="AL3" s="23"/>
      <c r="AM3" s="23"/>
      <c r="AN3" s="23"/>
      <c r="AO3" s="23"/>
      <c r="AP3" s="23"/>
      <c r="AQ3" s="23"/>
      <c r="AR3" s="23"/>
      <c r="AS3" s="23"/>
      <c r="AT3" s="23"/>
      <c r="AU3" s="23"/>
      <c r="AV3" s="23"/>
      <c r="AW3" s="23"/>
      <c r="AX3" s="23"/>
      <c r="AY3" s="23"/>
      <c r="AZ3" s="82" t="s">
        <v>40</v>
      </c>
      <c r="BA3" s="83"/>
      <c r="BB3" s="86">
        <f>Week2endweight</f>
        <v>186.15232953280488</v>
      </c>
      <c r="BC3" s="23"/>
      <c r="BD3" s="23"/>
      <c r="BE3" s="23"/>
      <c r="BF3" s="23"/>
      <c r="BG3" s="23"/>
      <c r="BH3" s="23"/>
      <c r="BI3" s="23"/>
      <c r="BJ3" s="23"/>
      <c r="BK3" s="23"/>
      <c r="BL3" s="23"/>
      <c r="BM3" s="23"/>
      <c r="BN3" s="23"/>
      <c r="BO3" s="23"/>
      <c r="BP3" s="23"/>
      <c r="BQ3" s="23"/>
      <c r="BR3" s="23"/>
      <c r="BS3" s="23"/>
      <c r="BT3" s="23"/>
      <c r="BU3" s="23"/>
      <c r="BV3" s="23"/>
      <c r="BW3" s="23"/>
      <c r="BX3" s="23"/>
      <c r="BY3" s="82" t="s">
        <v>40</v>
      </c>
      <c r="BZ3" s="83"/>
      <c r="CA3" s="86">
        <f>Week2endweight</f>
        <v>186.15232953280488</v>
      </c>
      <c r="CB3" s="23"/>
      <c r="CC3" s="23"/>
      <c r="CD3" s="23"/>
      <c r="CE3" s="23"/>
      <c r="CF3" s="23"/>
      <c r="CG3" s="23"/>
      <c r="CH3" s="23"/>
      <c r="CI3" s="23"/>
      <c r="CJ3" s="23"/>
      <c r="CK3" s="23"/>
      <c r="CL3" s="23"/>
      <c r="CM3" s="23"/>
      <c r="CN3" s="23"/>
      <c r="CO3" s="23"/>
      <c r="CP3" s="23"/>
      <c r="CQ3" s="23"/>
      <c r="CR3" s="23"/>
      <c r="CS3" s="23"/>
      <c r="CT3" s="23"/>
      <c r="CU3" s="23"/>
      <c r="CV3" s="23"/>
      <c r="CW3" s="23"/>
      <c r="CX3" s="82" t="s">
        <v>40</v>
      </c>
      <c r="CY3" s="83"/>
      <c r="CZ3" s="86">
        <f>Week2endweight</f>
        <v>186.15232953280488</v>
      </c>
      <c r="DA3" s="23"/>
      <c r="DB3" s="23"/>
      <c r="DC3" s="23"/>
      <c r="DD3" s="23"/>
      <c r="DE3" s="23"/>
      <c r="DF3" s="23"/>
      <c r="DG3" s="23"/>
      <c r="DH3" s="23"/>
      <c r="DI3" s="23"/>
      <c r="DJ3" s="23"/>
      <c r="DK3" s="23"/>
      <c r="DL3" s="23"/>
      <c r="DM3" s="23"/>
      <c r="DN3" s="23"/>
      <c r="DO3" s="23"/>
      <c r="DP3" s="23"/>
      <c r="DQ3" s="23"/>
      <c r="DR3" s="23"/>
      <c r="DS3" s="23"/>
      <c r="DT3" s="23"/>
      <c r="DU3" s="23"/>
      <c r="DV3" s="23"/>
      <c r="DW3" s="82" t="s">
        <v>40</v>
      </c>
      <c r="DX3" s="83"/>
      <c r="DY3" s="86">
        <f>Week2endweight</f>
        <v>186.15232953280488</v>
      </c>
      <c r="DZ3" s="23"/>
      <c r="EA3" s="23"/>
      <c r="EB3" s="23"/>
      <c r="EC3" s="23"/>
      <c r="ED3" s="23"/>
      <c r="EE3" s="23"/>
      <c r="EF3" s="23"/>
      <c r="EG3" s="23"/>
      <c r="EH3" s="23"/>
      <c r="EI3" s="23"/>
      <c r="EJ3" s="23"/>
      <c r="EK3" s="23"/>
      <c r="EL3" s="23"/>
      <c r="EM3" s="23"/>
      <c r="EN3" s="23"/>
      <c r="EO3" s="23"/>
      <c r="EP3" s="23"/>
      <c r="EQ3" s="23"/>
      <c r="ER3" s="23"/>
      <c r="ES3" s="23"/>
      <c r="ET3" s="23"/>
      <c r="EU3" s="23"/>
      <c r="EV3" s="82" t="s">
        <v>40</v>
      </c>
      <c r="EW3" s="83"/>
      <c r="EX3" s="86">
        <f>Week2endweight</f>
        <v>186.15232953280488</v>
      </c>
      <c r="EY3" s="23"/>
      <c r="EZ3" s="23"/>
      <c r="FA3" s="23"/>
      <c r="FB3" s="23"/>
      <c r="FC3" s="23"/>
      <c r="FD3" s="23"/>
      <c r="FE3" s="23"/>
      <c r="FF3" s="23"/>
      <c r="FG3" s="23"/>
      <c r="FH3" s="23"/>
      <c r="FI3" s="23"/>
      <c r="FJ3" s="23"/>
      <c r="FK3" s="23"/>
      <c r="FL3" s="23"/>
      <c r="FM3" s="23"/>
      <c r="FN3" s="23"/>
      <c r="FO3" s="23"/>
      <c r="FP3" s="23"/>
      <c r="FQ3" s="23"/>
      <c r="FR3" s="23"/>
      <c r="FS3" s="23"/>
    </row>
    <row r="4" spans="1:175" ht="15" thickBot="1" x14ac:dyDescent="0.4">
      <c r="A4" s="23"/>
      <c r="B4" s="84"/>
      <c r="C4" s="85"/>
      <c r="D4" s="87"/>
      <c r="E4" s="23"/>
      <c r="F4" s="23"/>
      <c r="G4" s="23"/>
      <c r="H4" s="23"/>
      <c r="I4" s="23"/>
      <c r="J4" s="23"/>
      <c r="K4" s="23"/>
      <c r="L4" s="23"/>
      <c r="M4" s="23"/>
      <c r="N4" s="23"/>
      <c r="O4" s="23"/>
      <c r="P4" s="23"/>
      <c r="Q4" s="23"/>
      <c r="R4" s="23"/>
      <c r="S4" s="23"/>
      <c r="T4" s="23"/>
      <c r="U4" s="23"/>
      <c r="V4" s="23"/>
      <c r="W4" s="23"/>
      <c r="X4" s="23"/>
      <c r="Y4" s="23"/>
      <c r="Z4" s="23"/>
      <c r="AA4" s="84"/>
      <c r="AB4" s="85"/>
      <c r="AC4" s="87"/>
      <c r="AD4" s="23"/>
      <c r="AE4" s="23"/>
      <c r="AF4" s="23"/>
      <c r="AG4" s="23"/>
      <c r="AH4" s="23"/>
      <c r="AI4" s="23"/>
      <c r="AJ4" s="23"/>
      <c r="AK4" s="23"/>
      <c r="AL4" s="23"/>
      <c r="AM4" s="23"/>
      <c r="AN4" s="23"/>
      <c r="AO4" s="23"/>
      <c r="AP4" s="23"/>
      <c r="AQ4" s="23"/>
      <c r="AR4" s="23"/>
      <c r="AS4" s="23"/>
      <c r="AT4" s="23"/>
      <c r="AU4" s="23"/>
      <c r="AV4" s="23"/>
      <c r="AW4" s="23"/>
      <c r="AX4" s="23"/>
      <c r="AY4" s="23"/>
      <c r="AZ4" s="84"/>
      <c r="BA4" s="85"/>
      <c r="BB4" s="87"/>
      <c r="BC4" s="23"/>
      <c r="BD4" s="23"/>
      <c r="BE4" s="23"/>
      <c r="BF4" s="23"/>
      <c r="BG4" s="23"/>
      <c r="BH4" s="23"/>
      <c r="BI4" s="23"/>
      <c r="BJ4" s="23"/>
      <c r="BK4" s="23"/>
      <c r="BL4" s="23"/>
      <c r="BM4" s="23"/>
      <c r="BN4" s="23"/>
      <c r="BO4" s="23"/>
      <c r="BP4" s="23"/>
      <c r="BQ4" s="23"/>
      <c r="BR4" s="23"/>
      <c r="BS4" s="23"/>
      <c r="BT4" s="23"/>
      <c r="BU4" s="23"/>
      <c r="BV4" s="23"/>
      <c r="BW4" s="23"/>
      <c r="BX4" s="23"/>
      <c r="BY4" s="84"/>
      <c r="BZ4" s="85"/>
      <c r="CA4" s="87"/>
      <c r="CB4" s="23"/>
      <c r="CC4" s="23"/>
      <c r="CD4" s="23"/>
      <c r="CE4" s="23"/>
      <c r="CF4" s="23"/>
      <c r="CG4" s="23"/>
      <c r="CH4" s="23"/>
      <c r="CI4" s="23"/>
      <c r="CJ4" s="23"/>
      <c r="CK4" s="23"/>
      <c r="CL4" s="23"/>
      <c r="CM4" s="23"/>
      <c r="CN4" s="23"/>
      <c r="CO4" s="23"/>
      <c r="CP4" s="23"/>
      <c r="CQ4" s="23"/>
      <c r="CR4" s="23"/>
      <c r="CS4" s="23"/>
      <c r="CT4" s="23"/>
      <c r="CU4" s="23"/>
      <c r="CV4" s="23"/>
      <c r="CW4" s="23"/>
      <c r="CX4" s="84"/>
      <c r="CY4" s="85"/>
      <c r="CZ4" s="87"/>
      <c r="DA4" s="23"/>
      <c r="DB4" s="23"/>
      <c r="DC4" s="23"/>
      <c r="DD4" s="23"/>
      <c r="DE4" s="23"/>
      <c r="DF4" s="23"/>
      <c r="DG4" s="23"/>
      <c r="DH4" s="23"/>
      <c r="DI4" s="23"/>
      <c r="DJ4" s="23"/>
      <c r="DK4" s="23"/>
      <c r="DL4" s="23"/>
      <c r="DM4" s="23"/>
      <c r="DN4" s="23"/>
      <c r="DO4" s="23"/>
      <c r="DP4" s="23"/>
      <c r="DQ4" s="23"/>
      <c r="DR4" s="23"/>
      <c r="DS4" s="23"/>
      <c r="DT4" s="23"/>
      <c r="DU4" s="23"/>
      <c r="DV4" s="23"/>
      <c r="DW4" s="84"/>
      <c r="DX4" s="85"/>
      <c r="DY4" s="87"/>
      <c r="DZ4" s="23"/>
      <c r="EA4" s="23"/>
      <c r="EB4" s="23"/>
      <c r="EC4" s="23"/>
      <c r="ED4" s="23"/>
      <c r="EE4" s="23"/>
      <c r="EF4" s="23"/>
      <c r="EG4" s="23"/>
      <c r="EH4" s="23"/>
      <c r="EI4" s="23"/>
      <c r="EJ4" s="23"/>
      <c r="EK4" s="23"/>
      <c r="EL4" s="23"/>
      <c r="EM4" s="23"/>
      <c r="EN4" s="23"/>
      <c r="EO4" s="23"/>
      <c r="EP4" s="23"/>
      <c r="EQ4" s="23"/>
      <c r="ER4" s="23"/>
      <c r="ES4" s="23"/>
      <c r="ET4" s="23"/>
      <c r="EU4" s="23"/>
      <c r="EV4" s="84"/>
      <c r="EW4" s="85"/>
      <c r="EX4" s="87"/>
      <c r="EY4" s="23"/>
      <c r="EZ4" s="23"/>
      <c r="FA4" s="23"/>
      <c r="FB4" s="23"/>
      <c r="FC4" s="23"/>
      <c r="FD4" s="23"/>
      <c r="FE4" s="23"/>
      <c r="FF4" s="23"/>
      <c r="FG4" s="23"/>
      <c r="FH4" s="23"/>
      <c r="FI4" s="23"/>
      <c r="FJ4" s="23"/>
      <c r="FK4" s="23"/>
      <c r="FL4" s="23"/>
      <c r="FM4" s="23"/>
      <c r="FN4" s="23"/>
      <c r="FO4" s="23"/>
      <c r="FP4" s="23"/>
      <c r="FQ4" s="23"/>
      <c r="FR4" s="23"/>
      <c r="FS4" s="23"/>
    </row>
    <row r="5" spans="1:175" x14ac:dyDescent="0.35">
      <c r="A5" s="23"/>
      <c r="B5" s="23"/>
      <c r="C5" s="23"/>
      <c r="D5" s="23"/>
      <c r="E5" s="23"/>
      <c r="F5" s="23"/>
      <c r="G5" s="25"/>
      <c r="H5" s="26"/>
      <c r="I5" s="26"/>
      <c r="J5" s="26"/>
      <c r="K5" s="23"/>
      <c r="L5" s="23"/>
      <c r="M5" s="23"/>
      <c r="N5" s="23"/>
      <c r="O5" s="23"/>
      <c r="P5" s="23"/>
      <c r="Q5" s="23"/>
      <c r="R5" s="23"/>
      <c r="S5" s="23"/>
      <c r="T5" s="23"/>
      <c r="U5" s="23"/>
      <c r="V5" s="23"/>
      <c r="W5" s="23"/>
      <c r="X5" s="23"/>
      <c r="Y5" s="23"/>
      <c r="Z5" s="23"/>
      <c r="AA5" s="23"/>
      <c r="AB5" s="23"/>
      <c r="AC5" s="23"/>
      <c r="AD5" s="23"/>
      <c r="AE5" s="23"/>
      <c r="AF5" s="25"/>
      <c r="AG5" s="26"/>
      <c r="AH5" s="26"/>
      <c r="AI5" s="26"/>
      <c r="AJ5" s="23"/>
      <c r="AK5" s="23"/>
      <c r="AL5" s="23"/>
      <c r="AM5" s="23"/>
      <c r="AN5" s="23"/>
      <c r="AO5" s="23"/>
      <c r="AP5" s="23"/>
      <c r="AQ5" s="23"/>
      <c r="AR5" s="23"/>
      <c r="AS5" s="23"/>
      <c r="AT5" s="23"/>
      <c r="AU5" s="23"/>
      <c r="AV5" s="23"/>
      <c r="AW5" s="23"/>
      <c r="AX5" s="23"/>
      <c r="AY5" s="23"/>
      <c r="AZ5" s="23"/>
      <c r="BA5" s="23"/>
      <c r="BB5" s="23"/>
      <c r="BC5" s="23"/>
      <c r="BD5" s="23"/>
      <c r="BE5" s="25"/>
      <c r="BF5" s="26"/>
      <c r="BG5" s="26"/>
      <c r="BH5" s="26"/>
      <c r="BI5" s="23"/>
      <c r="BJ5" s="23"/>
      <c r="BK5" s="23"/>
      <c r="BL5" s="23"/>
      <c r="BM5" s="23"/>
      <c r="BN5" s="23"/>
      <c r="BO5" s="23"/>
      <c r="BP5" s="23"/>
      <c r="BQ5" s="23"/>
      <c r="BR5" s="23"/>
      <c r="BS5" s="23"/>
      <c r="BT5" s="23"/>
      <c r="BU5" s="23"/>
      <c r="BV5" s="23"/>
      <c r="BW5" s="23"/>
      <c r="BX5" s="23"/>
      <c r="BY5" s="23"/>
      <c r="BZ5" s="23"/>
      <c r="CA5" s="23"/>
      <c r="CB5" s="23"/>
      <c r="CC5" s="23"/>
      <c r="CD5" s="25"/>
      <c r="CE5" s="26"/>
      <c r="CF5" s="26"/>
      <c r="CG5" s="26"/>
      <c r="CH5" s="23"/>
      <c r="CI5" s="23"/>
      <c r="CJ5" s="23"/>
      <c r="CK5" s="23"/>
      <c r="CL5" s="23"/>
      <c r="CM5" s="23"/>
      <c r="CN5" s="23"/>
      <c r="CO5" s="23"/>
      <c r="CP5" s="23"/>
      <c r="CQ5" s="23"/>
      <c r="CR5" s="23"/>
      <c r="CS5" s="23"/>
      <c r="CT5" s="23"/>
      <c r="CU5" s="23"/>
      <c r="CV5" s="23"/>
      <c r="CW5" s="23"/>
      <c r="CX5" s="23"/>
      <c r="CY5" s="23"/>
      <c r="CZ5" s="23"/>
      <c r="DA5" s="23"/>
      <c r="DB5" s="23"/>
      <c r="DC5" s="25"/>
      <c r="DD5" s="26"/>
      <c r="DE5" s="26"/>
      <c r="DF5" s="26"/>
      <c r="DG5" s="23"/>
      <c r="DH5" s="23"/>
      <c r="DI5" s="23"/>
      <c r="DJ5" s="23"/>
      <c r="DK5" s="23"/>
      <c r="DL5" s="23"/>
      <c r="DM5" s="23"/>
      <c r="DN5" s="23"/>
      <c r="DO5" s="23"/>
      <c r="DP5" s="23"/>
      <c r="DQ5" s="23"/>
      <c r="DR5" s="23"/>
      <c r="DS5" s="23"/>
      <c r="DT5" s="23"/>
      <c r="DU5" s="23"/>
      <c r="DV5" s="23"/>
      <c r="DW5" s="23"/>
      <c r="DX5" s="23"/>
      <c r="DY5" s="23"/>
      <c r="DZ5" s="23"/>
      <c r="EA5" s="23"/>
      <c r="EB5" s="25"/>
      <c r="EC5" s="26"/>
      <c r="ED5" s="26"/>
      <c r="EE5" s="26"/>
      <c r="EF5" s="23"/>
      <c r="EG5" s="23"/>
      <c r="EH5" s="23"/>
      <c r="EI5" s="23"/>
      <c r="EJ5" s="23"/>
      <c r="EK5" s="23"/>
      <c r="EL5" s="23"/>
      <c r="EM5" s="23"/>
      <c r="EN5" s="23"/>
      <c r="EO5" s="23"/>
      <c r="EP5" s="23"/>
      <c r="EQ5" s="23"/>
      <c r="ER5" s="23"/>
      <c r="ES5" s="23"/>
      <c r="ET5" s="23"/>
      <c r="EU5" s="23"/>
      <c r="EV5" s="23"/>
      <c r="EW5" s="23"/>
      <c r="EX5" s="23"/>
      <c r="EY5" s="23"/>
      <c r="EZ5" s="23"/>
      <c r="FA5" s="25"/>
      <c r="FB5" s="26"/>
      <c r="FC5" s="26"/>
      <c r="FD5" s="26"/>
      <c r="FE5" s="23"/>
      <c r="FF5" s="23"/>
      <c r="FG5" s="23"/>
      <c r="FH5" s="23"/>
      <c r="FI5" s="23"/>
      <c r="FJ5" s="23"/>
      <c r="FK5" s="23"/>
      <c r="FL5" s="23"/>
      <c r="FM5" s="23"/>
      <c r="FN5" s="23"/>
      <c r="FO5" s="23"/>
      <c r="FP5" s="23"/>
      <c r="FQ5" s="23"/>
      <c r="FR5" s="23"/>
      <c r="FS5" s="23"/>
    </row>
    <row r="6" spans="1:175" x14ac:dyDescent="0.35">
      <c r="A6" s="23"/>
      <c r="B6" s="23"/>
      <c r="C6" s="23"/>
      <c r="D6" s="23"/>
      <c r="E6" s="23"/>
      <c r="F6" s="23"/>
      <c r="G6" s="26"/>
      <c r="H6" s="26"/>
      <c r="I6" s="26"/>
      <c r="J6" s="26"/>
      <c r="K6" s="23"/>
      <c r="L6" s="23"/>
      <c r="M6" s="23"/>
      <c r="N6" s="23"/>
      <c r="O6" s="23"/>
      <c r="P6" s="23"/>
      <c r="Q6" s="23"/>
      <c r="R6" s="23"/>
      <c r="S6" s="23"/>
      <c r="T6" s="23"/>
      <c r="U6" s="23"/>
      <c r="V6" s="23"/>
      <c r="W6" s="23"/>
      <c r="X6" s="23"/>
      <c r="Y6" s="23"/>
      <c r="Z6" s="23"/>
      <c r="AA6" s="23"/>
      <c r="AB6" s="23"/>
      <c r="AC6" s="23"/>
      <c r="AD6" s="23"/>
      <c r="AE6" s="23"/>
      <c r="AF6" s="26"/>
      <c r="AG6" s="26"/>
      <c r="AH6" s="26"/>
      <c r="AI6" s="26"/>
      <c r="AJ6" s="23"/>
      <c r="AK6" s="23"/>
      <c r="AL6" s="23"/>
      <c r="AM6" s="23"/>
      <c r="AN6" s="23"/>
      <c r="AO6" s="23"/>
      <c r="AP6" s="23"/>
      <c r="AQ6" s="23"/>
      <c r="AR6" s="23"/>
      <c r="AS6" s="23"/>
      <c r="AT6" s="23"/>
      <c r="AU6" s="23"/>
      <c r="AV6" s="23"/>
      <c r="AW6" s="23"/>
      <c r="AX6" s="23"/>
      <c r="AY6" s="23"/>
      <c r="AZ6" s="23"/>
      <c r="BA6" s="23"/>
      <c r="BB6" s="23"/>
      <c r="BC6" s="23"/>
      <c r="BD6" s="23"/>
      <c r="BE6" s="26"/>
      <c r="BF6" s="26"/>
      <c r="BG6" s="26"/>
      <c r="BH6" s="26"/>
      <c r="BI6" s="23"/>
      <c r="BJ6" s="23"/>
      <c r="BK6" s="23"/>
      <c r="BL6" s="23"/>
      <c r="BM6" s="23"/>
      <c r="BN6" s="23"/>
      <c r="BO6" s="23"/>
      <c r="BP6" s="23"/>
      <c r="BQ6" s="23"/>
      <c r="BR6" s="23"/>
      <c r="BS6" s="23"/>
      <c r="BT6" s="23"/>
      <c r="BU6" s="23"/>
      <c r="BV6" s="23"/>
      <c r="BW6" s="23"/>
      <c r="BX6" s="23"/>
      <c r="BY6" s="23"/>
      <c r="BZ6" s="23"/>
      <c r="CA6" s="23"/>
      <c r="CB6" s="23"/>
      <c r="CC6" s="23"/>
      <c r="CD6" s="26"/>
      <c r="CE6" s="26"/>
      <c r="CF6" s="26"/>
      <c r="CG6" s="26"/>
      <c r="CH6" s="23"/>
      <c r="CI6" s="23"/>
      <c r="CJ6" s="23"/>
      <c r="CK6" s="23"/>
      <c r="CL6" s="23"/>
      <c r="CM6" s="23"/>
      <c r="CN6" s="23"/>
      <c r="CO6" s="23"/>
      <c r="CP6" s="23"/>
      <c r="CQ6" s="23"/>
      <c r="CR6" s="23"/>
      <c r="CS6" s="23"/>
      <c r="CT6" s="23"/>
      <c r="CU6" s="23"/>
      <c r="CV6" s="23"/>
      <c r="CW6" s="23"/>
      <c r="CX6" s="23"/>
      <c r="CY6" s="23"/>
      <c r="CZ6" s="23"/>
      <c r="DA6" s="23"/>
      <c r="DB6" s="23"/>
      <c r="DC6" s="26"/>
      <c r="DD6" s="26"/>
      <c r="DE6" s="26"/>
      <c r="DF6" s="26"/>
      <c r="DG6" s="23"/>
      <c r="DH6" s="23"/>
      <c r="DI6" s="23"/>
      <c r="DJ6" s="23"/>
      <c r="DK6" s="23"/>
      <c r="DL6" s="23"/>
      <c r="DM6" s="23"/>
      <c r="DN6" s="23"/>
      <c r="DO6" s="23"/>
      <c r="DP6" s="23"/>
      <c r="DQ6" s="23"/>
      <c r="DR6" s="23"/>
      <c r="DS6" s="23"/>
      <c r="DT6" s="23"/>
      <c r="DU6" s="23"/>
      <c r="DV6" s="23"/>
      <c r="DW6" s="23"/>
      <c r="DX6" s="23"/>
      <c r="DY6" s="23"/>
      <c r="DZ6" s="23"/>
      <c r="EA6" s="23"/>
      <c r="EB6" s="26"/>
      <c r="EC6" s="26"/>
      <c r="ED6" s="26"/>
      <c r="EE6" s="26"/>
      <c r="EF6" s="23"/>
      <c r="EG6" s="23"/>
      <c r="EH6" s="23"/>
      <c r="EI6" s="23"/>
      <c r="EJ6" s="23"/>
      <c r="EK6" s="23"/>
      <c r="EL6" s="23"/>
      <c r="EM6" s="23"/>
      <c r="EN6" s="23"/>
      <c r="EO6" s="23"/>
      <c r="EP6" s="23"/>
      <c r="EQ6" s="23"/>
      <c r="ER6" s="23"/>
      <c r="ES6" s="23"/>
      <c r="ET6" s="23"/>
      <c r="EU6" s="23"/>
      <c r="EV6" s="23"/>
      <c r="EW6" s="23"/>
      <c r="EX6" s="23"/>
      <c r="EY6" s="23"/>
      <c r="EZ6" s="23"/>
      <c r="FA6" s="26"/>
      <c r="FB6" s="26"/>
      <c r="FC6" s="26"/>
      <c r="FD6" s="26"/>
      <c r="FE6" s="23"/>
      <c r="FF6" s="23"/>
      <c r="FG6" s="23"/>
      <c r="FH6" s="23"/>
      <c r="FI6" s="23"/>
      <c r="FJ6" s="23"/>
      <c r="FK6" s="23"/>
      <c r="FL6" s="23"/>
      <c r="FM6" s="23"/>
      <c r="FN6" s="23"/>
      <c r="FO6" s="23"/>
      <c r="FP6" s="23"/>
      <c r="FQ6" s="23"/>
      <c r="FR6" s="23"/>
      <c r="FS6" s="23"/>
    </row>
    <row r="7" spans="1:175" x14ac:dyDescent="0.35">
      <c r="A7" s="23"/>
      <c r="B7" s="23"/>
      <c r="C7" s="23"/>
      <c r="D7" s="23"/>
      <c r="E7" s="23"/>
      <c r="F7" s="23"/>
      <c r="G7" s="25"/>
      <c r="H7" s="25"/>
      <c r="I7" s="27"/>
      <c r="J7" s="23"/>
      <c r="K7" s="23"/>
      <c r="L7" s="23"/>
      <c r="M7" s="23"/>
      <c r="N7" s="23"/>
      <c r="O7" s="23"/>
      <c r="P7" s="23"/>
      <c r="Q7" s="23"/>
      <c r="R7" s="23"/>
      <c r="S7" s="23"/>
      <c r="T7" s="23"/>
      <c r="U7" s="23"/>
      <c r="V7" s="23"/>
      <c r="W7" s="23"/>
      <c r="X7" s="23"/>
      <c r="Y7" s="23"/>
      <c r="Z7" s="23"/>
      <c r="AA7" s="23"/>
      <c r="AB7" s="23"/>
      <c r="AC7" s="23"/>
      <c r="AD7" s="23"/>
      <c r="AE7" s="23"/>
      <c r="AF7" s="25"/>
      <c r="AG7" s="25"/>
      <c r="AH7" s="27"/>
      <c r="AI7" s="23"/>
      <c r="AJ7" s="23"/>
      <c r="AK7" s="23"/>
      <c r="AL7" s="23"/>
      <c r="AM7" s="23"/>
      <c r="AN7" s="23"/>
      <c r="AO7" s="23"/>
      <c r="AP7" s="23"/>
      <c r="AQ7" s="23"/>
      <c r="AR7" s="23"/>
      <c r="AS7" s="23"/>
      <c r="AT7" s="23"/>
      <c r="AU7" s="23"/>
      <c r="AV7" s="23"/>
      <c r="AW7" s="23"/>
      <c r="AX7" s="23"/>
      <c r="AY7" s="23"/>
      <c r="AZ7" s="23"/>
      <c r="BA7" s="23"/>
      <c r="BB7" s="23"/>
      <c r="BC7" s="23"/>
      <c r="BD7" s="23"/>
      <c r="BE7" s="25"/>
      <c r="BF7" s="25"/>
      <c r="BG7" s="27"/>
      <c r="BH7" s="23"/>
      <c r="BI7" s="23"/>
      <c r="BJ7" s="23"/>
      <c r="BK7" s="23"/>
      <c r="BL7" s="23"/>
      <c r="BM7" s="23"/>
      <c r="BN7" s="23"/>
      <c r="BO7" s="23"/>
      <c r="BP7" s="23"/>
      <c r="BQ7" s="23"/>
      <c r="BR7" s="23"/>
      <c r="BS7" s="23"/>
      <c r="BT7" s="23"/>
      <c r="BU7" s="23"/>
      <c r="BV7" s="23"/>
      <c r="BW7" s="23"/>
      <c r="BX7" s="23"/>
      <c r="BY7" s="23"/>
      <c r="BZ7" s="23"/>
      <c r="CA7" s="23"/>
      <c r="CB7" s="23"/>
      <c r="CC7" s="23"/>
      <c r="CD7" s="25"/>
      <c r="CE7" s="25"/>
      <c r="CF7" s="27"/>
      <c r="CG7" s="23"/>
      <c r="CH7" s="23"/>
      <c r="CI7" s="23"/>
      <c r="CJ7" s="23"/>
      <c r="CK7" s="23"/>
      <c r="CL7" s="23"/>
      <c r="CM7" s="23"/>
      <c r="CN7" s="23"/>
      <c r="CO7" s="23"/>
      <c r="CP7" s="23"/>
      <c r="CQ7" s="23"/>
      <c r="CR7" s="23"/>
      <c r="CS7" s="23"/>
      <c r="CT7" s="23"/>
      <c r="CU7" s="23"/>
      <c r="CV7" s="23"/>
      <c r="CW7" s="23"/>
      <c r="CX7" s="23"/>
      <c r="CY7" s="23"/>
      <c r="CZ7" s="23"/>
      <c r="DA7" s="23"/>
      <c r="DB7" s="23"/>
      <c r="DC7" s="25"/>
      <c r="DD7" s="25"/>
      <c r="DE7" s="27"/>
      <c r="DF7" s="23"/>
      <c r="DG7" s="23"/>
      <c r="DH7" s="23"/>
      <c r="DI7" s="23"/>
      <c r="DJ7" s="23"/>
      <c r="DK7" s="23"/>
      <c r="DL7" s="23"/>
      <c r="DM7" s="23"/>
      <c r="DN7" s="23"/>
      <c r="DO7" s="23"/>
      <c r="DP7" s="23"/>
      <c r="DQ7" s="23"/>
      <c r="DR7" s="23"/>
      <c r="DS7" s="23"/>
      <c r="DT7" s="23"/>
      <c r="DU7" s="23"/>
      <c r="DV7" s="23"/>
      <c r="DW7" s="23"/>
      <c r="DX7" s="23"/>
      <c r="DY7" s="23"/>
      <c r="DZ7" s="23"/>
      <c r="EA7" s="23"/>
      <c r="EB7" s="25"/>
      <c r="EC7" s="25"/>
      <c r="ED7" s="27"/>
      <c r="EE7" s="23"/>
      <c r="EF7" s="23"/>
      <c r="EG7" s="23"/>
      <c r="EH7" s="23"/>
      <c r="EI7" s="23"/>
      <c r="EJ7" s="23"/>
      <c r="EK7" s="23"/>
      <c r="EL7" s="23"/>
      <c r="EM7" s="23"/>
      <c r="EN7" s="23"/>
      <c r="EO7" s="23"/>
      <c r="EP7" s="23"/>
      <c r="EQ7" s="23"/>
      <c r="ER7" s="23"/>
      <c r="ES7" s="23"/>
      <c r="ET7" s="23"/>
      <c r="EU7" s="23"/>
      <c r="EV7" s="23"/>
      <c r="EW7" s="23"/>
      <c r="EX7" s="23"/>
      <c r="EY7" s="23"/>
      <c r="EZ7" s="23"/>
      <c r="FA7" s="25"/>
      <c r="FB7" s="25"/>
      <c r="FC7" s="27"/>
      <c r="FD7" s="23"/>
      <c r="FE7" s="23"/>
      <c r="FF7" s="23"/>
      <c r="FG7" s="23"/>
      <c r="FH7" s="23"/>
      <c r="FI7" s="23"/>
      <c r="FJ7" s="23"/>
      <c r="FK7" s="23"/>
      <c r="FL7" s="23"/>
      <c r="FM7" s="23"/>
      <c r="FN7" s="23"/>
      <c r="FO7" s="23"/>
      <c r="FP7" s="23"/>
      <c r="FQ7" s="23"/>
      <c r="FR7" s="23"/>
      <c r="FS7" s="23"/>
    </row>
    <row r="8" spans="1:175" ht="15" thickBot="1" x14ac:dyDescent="0.4">
      <c r="A8" s="23"/>
      <c r="B8" s="23"/>
      <c r="C8" s="23"/>
      <c r="D8" s="23"/>
      <c r="E8" s="23"/>
      <c r="F8" s="23"/>
      <c r="G8" s="25"/>
      <c r="H8" s="25"/>
      <c r="I8" s="26"/>
      <c r="J8" s="23"/>
      <c r="K8" s="23"/>
      <c r="L8" s="23"/>
      <c r="M8" s="23"/>
      <c r="N8" s="23"/>
      <c r="O8" s="23"/>
      <c r="P8" s="23"/>
      <c r="Q8" s="23"/>
      <c r="R8" s="23"/>
      <c r="S8" s="23"/>
      <c r="T8" s="23"/>
      <c r="U8" s="23"/>
      <c r="V8" s="23"/>
      <c r="W8" s="23"/>
      <c r="X8" s="23"/>
      <c r="Y8" s="23"/>
      <c r="Z8" s="23"/>
      <c r="AA8" s="23"/>
      <c r="AB8" s="23"/>
      <c r="AC8" s="23"/>
      <c r="AD8" s="23"/>
      <c r="AE8" s="23"/>
      <c r="AF8" s="25"/>
      <c r="AG8" s="25"/>
      <c r="AH8" s="26"/>
      <c r="AI8" s="23"/>
      <c r="AJ8" s="23"/>
      <c r="AK8" s="23"/>
      <c r="AL8" s="23"/>
      <c r="AM8" s="23"/>
      <c r="AN8" s="23"/>
      <c r="AO8" s="23"/>
      <c r="AP8" s="23"/>
      <c r="AQ8" s="23"/>
      <c r="AR8" s="23"/>
      <c r="AS8" s="23"/>
      <c r="AT8" s="23"/>
      <c r="AU8" s="23"/>
      <c r="AV8" s="23"/>
      <c r="AW8" s="23"/>
      <c r="AX8" s="23"/>
      <c r="AY8" s="23"/>
      <c r="AZ8" s="23"/>
      <c r="BA8" s="23"/>
      <c r="BB8" s="23"/>
      <c r="BC8" s="23"/>
      <c r="BD8" s="23"/>
      <c r="BE8" s="25"/>
      <c r="BF8" s="25"/>
      <c r="BG8" s="26"/>
      <c r="BH8" s="23"/>
      <c r="BI8" s="23"/>
      <c r="BJ8" s="23"/>
      <c r="BK8" s="23"/>
      <c r="BL8" s="23"/>
      <c r="BM8" s="23"/>
      <c r="BN8" s="23"/>
      <c r="BO8" s="23"/>
      <c r="BP8" s="23"/>
      <c r="BQ8" s="23"/>
      <c r="BR8" s="23"/>
      <c r="BS8" s="23"/>
      <c r="BT8" s="23"/>
      <c r="BU8" s="23"/>
      <c r="BV8" s="23"/>
      <c r="BW8" s="23"/>
      <c r="BX8" s="23"/>
      <c r="BY8" s="23"/>
      <c r="BZ8" s="23"/>
      <c r="CA8" s="23"/>
      <c r="CB8" s="23"/>
      <c r="CC8" s="23"/>
      <c r="CD8" s="25"/>
      <c r="CE8" s="25"/>
      <c r="CF8" s="26"/>
      <c r="CG8" s="23"/>
      <c r="CH8" s="23"/>
      <c r="CI8" s="23"/>
      <c r="CJ8" s="23"/>
      <c r="CK8" s="23"/>
      <c r="CL8" s="23"/>
      <c r="CM8" s="23"/>
      <c r="CN8" s="23"/>
      <c r="CO8" s="23"/>
      <c r="CP8" s="23"/>
      <c r="CQ8" s="23"/>
      <c r="CR8" s="23"/>
      <c r="CS8" s="23"/>
      <c r="CT8" s="23"/>
      <c r="CU8" s="23"/>
      <c r="CV8" s="23"/>
      <c r="CW8" s="23"/>
      <c r="CX8" s="23"/>
      <c r="CY8" s="23"/>
      <c r="CZ8" s="23"/>
      <c r="DA8" s="23"/>
      <c r="DB8" s="23"/>
      <c r="DC8" s="25"/>
      <c r="DD8" s="25"/>
      <c r="DE8" s="26"/>
      <c r="DF8" s="23"/>
      <c r="DG8" s="23"/>
      <c r="DH8" s="23"/>
      <c r="DI8" s="23"/>
      <c r="DJ8" s="23"/>
      <c r="DK8" s="23"/>
      <c r="DL8" s="23"/>
      <c r="DM8" s="23"/>
      <c r="DN8" s="23"/>
      <c r="DO8" s="23"/>
      <c r="DP8" s="23"/>
      <c r="DQ8" s="23"/>
      <c r="DR8" s="23"/>
      <c r="DS8" s="23"/>
      <c r="DT8" s="23"/>
      <c r="DU8" s="23"/>
      <c r="DV8" s="23"/>
      <c r="DW8" s="23"/>
      <c r="DX8" s="23"/>
      <c r="DY8" s="23"/>
      <c r="DZ8" s="23"/>
      <c r="EA8" s="23"/>
      <c r="EB8" s="25"/>
      <c r="EC8" s="25"/>
      <c r="ED8" s="26"/>
      <c r="EE8" s="23"/>
      <c r="EF8" s="23"/>
      <c r="EG8" s="23"/>
      <c r="EH8" s="23"/>
      <c r="EI8" s="23"/>
      <c r="EJ8" s="23"/>
      <c r="EK8" s="23"/>
      <c r="EL8" s="23"/>
      <c r="EM8" s="23"/>
      <c r="EN8" s="23"/>
      <c r="EO8" s="23"/>
      <c r="EP8" s="23"/>
      <c r="EQ8" s="23"/>
      <c r="ER8" s="23"/>
      <c r="ES8" s="23"/>
      <c r="ET8" s="23"/>
      <c r="EU8" s="23"/>
      <c r="EV8" s="23"/>
      <c r="EW8" s="23"/>
      <c r="EX8" s="23"/>
      <c r="EY8" s="23"/>
      <c r="EZ8" s="23"/>
      <c r="FA8" s="25"/>
      <c r="FB8" s="25"/>
      <c r="FC8" s="26"/>
      <c r="FD8" s="23"/>
      <c r="FE8" s="23"/>
      <c r="FF8" s="23"/>
      <c r="FG8" s="23"/>
      <c r="FH8" s="23"/>
      <c r="FI8" s="23"/>
      <c r="FJ8" s="23"/>
      <c r="FK8" s="23"/>
      <c r="FL8" s="23"/>
      <c r="FM8" s="23"/>
      <c r="FN8" s="23"/>
      <c r="FO8" s="23"/>
      <c r="FP8" s="23"/>
      <c r="FQ8" s="23"/>
      <c r="FR8" s="23"/>
      <c r="FS8" s="23"/>
    </row>
    <row r="9" spans="1:175" ht="14.5" customHeight="1" x14ac:dyDescent="0.35">
      <c r="A9" s="88" t="s">
        <v>41</v>
      </c>
      <c r="B9" s="89"/>
      <c r="C9" s="89"/>
      <c r="D9" s="89"/>
      <c r="E9" s="89"/>
      <c r="F9" s="90"/>
      <c r="G9" s="25"/>
      <c r="H9" s="25"/>
      <c r="I9" s="82" t="s">
        <v>42</v>
      </c>
      <c r="J9" s="102"/>
      <c r="K9" s="102"/>
      <c r="L9" s="102"/>
      <c r="M9" s="102"/>
      <c r="N9" s="102"/>
      <c r="O9" s="102"/>
      <c r="P9" s="102"/>
      <c r="Q9" s="102"/>
      <c r="R9" s="103"/>
      <c r="S9" s="23"/>
      <c r="T9" s="23"/>
      <c r="U9" s="23"/>
      <c r="V9" s="23"/>
      <c r="W9" s="23"/>
      <c r="X9" s="23"/>
      <c r="Y9" s="23"/>
      <c r="Z9" s="88" t="s">
        <v>43</v>
      </c>
      <c r="AA9" s="89"/>
      <c r="AB9" s="89"/>
      <c r="AC9" s="89"/>
      <c r="AD9" s="89"/>
      <c r="AE9" s="90"/>
      <c r="AF9" s="25"/>
      <c r="AG9" s="25"/>
      <c r="AH9" s="82" t="s">
        <v>44</v>
      </c>
      <c r="AI9" s="102"/>
      <c r="AJ9" s="102"/>
      <c r="AK9" s="102"/>
      <c r="AL9" s="102"/>
      <c r="AM9" s="102"/>
      <c r="AN9" s="102"/>
      <c r="AO9" s="102"/>
      <c r="AP9" s="102"/>
      <c r="AQ9" s="103"/>
      <c r="AR9" s="23"/>
      <c r="AS9" s="23"/>
      <c r="AT9" s="23"/>
      <c r="AU9" s="23"/>
      <c r="AV9" s="23"/>
      <c r="AW9" s="23"/>
      <c r="AX9" s="23"/>
      <c r="AY9" s="88" t="s">
        <v>45</v>
      </c>
      <c r="AZ9" s="89"/>
      <c r="BA9" s="89"/>
      <c r="BB9" s="89"/>
      <c r="BC9" s="89"/>
      <c r="BD9" s="90"/>
      <c r="BE9" s="25"/>
      <c r="BF9" s="25"/>
      <c r="BG9" s="82" t="s">
        <v>46</v>
      </c>
      <c r="BH9" s="102"/>
      <c r="BI9" s="102"/>
      <c r="BJ9" s="102"/>
      <c r="BK9" s="102"/>
      <c r="BL9" s="102"/>
      <c r="BM9" s="102"/>
      <c r="BN9" s="102"/>
      <c r="BO9" s="102"/>
      <c r="BP9" s="103"/>
      <c r="BQ9" s="23"/>
      <c r="BR9" s="23"/>
      <c r="BS9" s="23"/>
      <c r="BT9" s="23"/>
      <c r="BU9" s="23"/>
      <c r="BV9" s="23"/>
      <c r="BW9" s="23"/>
      <c r="BX9" s="88" t="s">
        <v>47</v>
      </c>
      <c r="BY9" s="89"/>
      <c r="BZ9" s="89"/>
      <c r="CA9" s="89"/>
      <c r="CB9" s="89"/>
      <c r="CC9" s="90"/>
      <c r="CD9" s="25"/>
      <c r="CE9" s="25"/>
      <c r="CF9" s="82" t="s">
        <v>48</v>
      </c>
      <c r="CG9" s="102"/>
      <c r="CH9" s="102"/>
      <c r="CI9" s="102"/>
      <c r="CJ9" s="102"/>
      <c r="CK9" s="102"/>
      <c r="CL9" s="102"/>
      <c r="CM9" s="102"/>
      <c r="CN9" s="102"/>
      <c r="CO9" s="103"/>
      <c r="CP9" s="23"/>
      <c r="CQ9" s="23"/>
      <c r="CR9" s="23"/>
      <c r="CS9" s="23"/>
      <c r="CT9" s="23"/>
      <c r="CU9" s="23"/>
      <c r="CV9" s="23"/>
      <c r="CW9" s="88" t="s">
        <v>49</v>
      </c>
      <c r="CX9" s="89"/>
      <c r="CY9" s="89"/>
      <c r="CZ9" s="89"/>
      <c r="DA9" s="89"/>
      <c r="DB9" s="90"/>
      <c r="DC9" s="25"/>
      <c r="DD9" s="25"/>
      <c r="DE9" s="82" t="s">
        <v>50</v>
      </c>
      <c r="DF9" s="102"/>
      <c r="DG9" s="102"/>
      <c r="DH9" s="102"/>
      <c r="DI9" s="102"/>
      <c r="DJ9" s="102"/>
      <c r="DK9" s="102"/>
      <c r="DL9" s="102"/>
      <c r="DM9" s="102"/>
      <c r="DN9" s="103"/>
      <c r="DO9" s="23"/>
      <c r="DP9" s="23"/>
      <c r="DQ9" s="23"/>
      <c r="DR9" s="23"/>
      <c r="DS9" s="23"/>
      <c r="DT9" s="23"/>
      <c r="DU9" s="23"/>
      <c r="DV9" s="88" t="s">
        <v>51</v>
      </c>
      <c r="DW9" s="89"/>
      <c r="DX9" s="89"/>
      <c r="DY9" s="89"/>
      <c r="DZ9" s="89"/>
      <c r="EA9" s="90"/>
      <c r="EB9" s="25"/>
      <c r="EC9" s="25"/>
      <c r="ED9" s="82" t="s">
        <v>52</v>
      </c>
      <c r="EE9" s="102"/>
      <c r="EF9" s="102"/>
      <c r="EG9" s="102"/>
      <c r="EH9" s="102"/>
      <c r="EI9" s="102"/>
      <c r="EJ9" s="102"/>
      <c r="EK9" s="102"/>
      <c r="EL9" s="102"/>
      <c r="EM9" s="103"/>
      <c r="EN9" s="23"/>
      <c r="EO9" s="23"/>
      <c r="EP9" s="23"/>
      <c r="EQ9" s="23"/>
      <c r="ER9" s="23"/>
      <c r="ES9" s="23"/>
      <c r="ET9" s="23"/>
      <c r="EU9" s="88" t="s">
        <v>53</v>
      </c>
      <c r="EV9" s="89"/>
      <c r="EW9" s="89"/>
      <c r="EX9" s="89"/>
      <c r="EY9" s="89"/>
      <c r="EZ9" s="90"/>
      <c r="FA9" s="25"/>
      <c r="FB9" s="25"/>
      <c r="FC9" s="82" t="s">
        <v>54</v>
      </c>
      <c r="FD9" s="102"/>
      <c r="FE9" s="102"/>
      <c r="FF9" s="102"/>
      <c r="FG9" s="102"/>
      <c r="FH9" s="102"/>
      <c r="FI9" s="102"/>
      <c r="FJ9" s="102"/>
      <c r="FK9" s="102"/>
      <c r="FL9" s="103"/>
      <c r="FM9" s="23"/>
      <c r="FN9" s="23"/>
      <c r="FO9" s="23"/>
      <c r="FP9" s="23"/>
      <c r="FQ9" s="23"/>
      <c r="FR9" s="23"/>
      <c r="FS9" s="23"/>
    </row>
    <row r="10" spans="1:175" ht="15" customHeight="1" thickBot="1" x14ac:dyDescent="0.4">
      <c r="A10" s="91"/>
      <c r="B10" s="92"/>
      <c r="C10" s="92"/>
      <c r="D10" s="92"/>
      <c r="E10" s="92"/>
      <c r="F10" s="93"/>
      <c r="G10" s="25"/>
      <c r="H10" s="25"/>
      <c r="I10" s="104"/>
      <c r="J10" s="105"/>
      <c r="K10" s="105"/>
      <c r="L10" s="105"/>
      <c r="M10" s="105"/>
      <c r="N10" s="105"/>
      <c r="O10" s="105"/>
      <c r="P10" s="105"/>
      <c r="Q10" s="105"/>
      <c r="R10" s="106"/>
      <c r="S10" s="23"/>
      <c r="T10" s="23"/>
      <c r="U10" s="23"/>
      <c r="V10" s="23"/>
      <c r="W10" s="23"/>
      <c r="X10" s="23"/>
      <c r="Y10" s="23"/>
      <c r="Z10" s="91"/>
      <c r="AA10" s="92"/>
      <c r="AB10" s="92"/>
      <c r="AC10" s="92"/>
      <c r="AD10" s="92"/>
      <c r="AE10" s="93"/>
      <c r="AF10" s="25"/>
      <c r="AG10" s="25"/>
      <c r="AH10" s="104"/>
      <c r="AI10" s="105"/>
      <c r="AJ10" s="105"/>
      <c r="AK10" s="105"/>
      <c r="AL10" s="105"/>
      <c r="AM10" s="105"/>
      <c r="AN10" s="105"/>
      <c r="AO10" s="105"/>
      <c r="AP10" s="105"/>
      <c r="AQ10" s="106"/>
      <c r="AR10" s="23"/>
      <c r="AS10" s="23"/>
      <c r="AT10" s="23"/>
      <c r="AU10" s="23"/>
      <c r="AV10" s="23"/>
      <c r="AW10" s="23"/>
      <c r="AX10" s="23"/>
      <c r="AY10" s="91"/>
      <c r="AZ10" s="92"/>
      <c r="BA10" s="92"/>
      <c r="BB10" s="92"/>
      <c r="BC10" s="92"/>
      <c r="BD10" s="93"/>
      <c r="BE10" s="25"/>
      <c r="BF10" s="25"/>
      <c r="BG10" s="104"/>
      <c r="BH10" s="105"/>
      <c r="BI10" s="105"/>
      <c r="BJ10" s="105"/>
      <c r="BK10" s="105"/>
      <c r="BL10" s="105"/>
      <c r="BM10" s="105"/>
      <c r="BN10" s="105"/>
      <c r="BO10" s="105"/>
      <c r="BP10" s="106"/>
      <c r="BQ10" s="23"/>
      <c r="BR10" s="23"/>
      <c r="BS10" s="23"/>
      <c r="BT10" s="23"/>
      <c r="BU10" s="23"/>
      <c r="BV10" s="23"/>
      <c r="BW10" s="23"/>
      <c r="BX10" s="91"/>
      <c r="BY10" s="92"/>
      <c r="BZ10" s="92"/>
      <c r="CA10" s="92"/>
      <c r="CB10" s="92"/>
      <c r="CC10" s="93"/>
      <c r="CD10" s="25"/>
      <c r="CE10" s="25"/>
      <c r="CF10" s="104"/>
      <c r="CG10" s="105"/>
      <c r="CH10" s="105"/>
      <c r="CI10" s="105"/>
      <c r="CJ10" s="105"/>
      <c r="CK10" s="105"/>
      <c r="CL10" s="105"/>
      <c r="CM10" s="105"/>
      <c r="CN10" s="105"/>
      <c r="CO10" s="106"/>
      <c r="CP10" s="23"/>
      <c r="CQ10" s="23"/>
      <c r="CR10" s="23"/>
      <c r="CS10" s="23"/>
      <c r="CT10" s="23"/>
      <c r="CU10" s="23"/>
      <c r="CV10" s="23"/>
      <c r="CW10" s="91"/>
      <c r="CX10" s="92"/>
      <c r="CY10" s="92"/>
      <c r="CZ10" s="92"/>
      <c r="DA10" s="92"/>
      <c r="DB10" s="93"/>
      <c r="DC10" s="25"/>
      <c r="DD10" s="25"/>
      <c r="DE10" s="104"/>
      <c r="DF10" s="105"/>
      <c r="DG10" s="105"/>
      <c r="DH10" s="105"/>
      <c r="DI10" s="105"/>
      <c r="DJ10" s="105"/>
      <c r="DK10" s="105"/>
      <c r="DL10" s="105"/>
      <c r="DM10" s="105"/>
      <c r="DN10" s="106"/>
      <c r="DO10" s="23"/>
      <c r="DP10" s="23"/>
      <c r="DQ10" s="23"/>
      <c r="DR10" s="23"/>
      <c r="DS10" s="23"/>
      <c r="DT10" s="23"/>
      <c r="DU10" s="23"/>
      <c r="DV10" s="91"/>
      <c r="DW10" s="92"/>
      <c r="DX10" s="92"/>
      <c r="DY10" s="92"/>
      <c r="DZ10" s="92"/>
      <c r="EA10" s="93"/>
      <c r="EB10" s="25"/>
      <c r="EC10" s="25"/>
      <c r="ED10" s="104"/>
      <c r="EE10" s="105"/>
      <c r="EF10" s="105"/>
      <c r="EG10" s="105"/>
      <c r="EH10" s="105"/>
      <c r="EI10" s="105"/>
      <c r="EJ10" s="105"/>
      <c r="EK10" s="105"/>
      <c r="EL10" s="105"/>
      <c r="EM10" s="106"/>
      <c r="EN10" s="23"/>
      <c r="EO10" s="23"/>
      <c r="EP10" s="23"/>
      <c r="EQ10" s="23"/>
      <c r="ER10" s="23"/>
      <c r="ES10" s="23"/>
      <c r="ET10" s="23"/>
      <c r="EU10" s="91"/>
      <c r="EV10" s="92"/>
      <c r="EW10" s="92"/>
      <c r="EX10" s="92"/>
      <c r="EY10" s="92"/>
      <c r="EZ10" s="93"/>
      <c r="FA10" s="25"/>
      <c r="FB10" s="25"/>
      <c r="FC10" s="104"/>
      <c r="FD10" s="105"/>
      <c r="FE10" s="105"/>
      <c r="FF10" s="105"/>
      <c r="FG10" s="105"/>
      <c r="FH10" s="105"/>
      <c r="FI10" s="105"/>
      <c r="FJ10" s="105"/>
      <c r="FK10" s="105"/>
      <c r="FL10" s="106"/>
      <c r="FM10" s="23"/>
      <c r="FN10" s="23"/>
      <c r="FO10" s="23"/>
      <c r="FP10" s="23"/>
      <c r="FQ10" s="23"/>
      <c r="FR10" s="23"/>
      <c r="FS10" s="23"/>
    </row>
    <row r="11" spans="1:175" ht="16" x14ac:dyDescent="0.35">
      <c r="A11" s="107" t="s">
        <v>1</v>
      </c>
      <c r="B11" s="108"/>
      <c r="C11" s="113" t="s">
        <v>6</v>
      </c>
      <c r="D11" s="107" t="s">
        <v>55</v>
      </c>
      <c r="E11" s="108"/>
      <c r="F11" s="116">
        <f>VLOOKUP(C11,BREAKFASTTABLE,2,FALSE)</f>
        <v>310</v>
      </c>
      <c r="G11" s="23"/>
      <c r="H11" s="23"/>
      <c r="I11" s="17" t="s">
        <v>56</v>
      </c>
      <c r="J11" s="28"/>
      <c r="K11" s="17" t="s">
        <v>4</v>
      </c>
      <c r="L11" s="28"/>
      <c r="M11" s="17" t="s">
        <v>57</v>
      </c>
      <c r="N11" s="28"/>
      <c r="O11" s="17" t="s">
        <v>58</v>
      </c>
      <c r="P11" s="28"/>
      <c r="Q11" s="17" t="s">
        <v>59</v>
      </c>
      <c r="R11" s="28"/>
      <c r="S11" s="23"/>
      <c r="T11" s="23"/>
      <c r="U11" s="23"/>
      <c r="V11" s="23"/>
      <c r="W11" s="23"/>
      <c r="X11" s="23"/>
      <c r="Y11" s="23"/>
      <c r="Z11" s="107" t="s">
        <v>1</v>
      </c>
      <c r="AA11" s="108"/>
      <c r="AB11" s="113" t="s">
        <v>7</v>
      </c>
      <c r="AC11" s="107" t="s">
        <v>55</v>
      </c>
      <c r="AD11" s="108"/>
      <c r="AE11" s="116">
        <f>VLOOKUP(AB11,BREAKFASTTABLE,2,FALSE)</f>
        <v>265</v>
      </c>
      <c r="AF11" s="23"/>
      <c r="AG11" s="23"/>
      <c r="AH11" s="17" t="s">
        <v>56</v>
      </c>
      <c r="AI11" s="28"/>
      <c r="AJ11" s="17" t="s">
        <v>4</v>
      </c>
      <c r="AK11" s="28"/>
      <c r="AL11" s="17" t="s">
        <v>57</v>
      </c>
      <c r="AM11" s="28"/>
      <c r="AN11" s="17" t="s">
        <v>58</v>
      </c>
      <c r="AO11" s="28"/>
      <c r="AP11" s="17" t="s">
        <v>59</v>
      </c>
      <c r="AQ11" s="28"/>
      <c r="AR11" s="23"/>
      <c r="AS11" s="23"/>
      <c r="AT11" s="23"/>
      <c r="AU11" s="23"/>
      <c r="AV11" s="23"/>
      <c r="AW11" s="23"/>
      <c r="AX11" s="23"/>
      <c r="AY11" s="107" t="s">
        <v>1</v>
      </c>
      <c r="AZ11" s="108"/>
      <c r="BA11" s="113" t="s">
        <v>9</v>
      </c>
      <c r="BB11" s="107" t="s">
        <v>55</v>
      </c>
      <c r="BC11" s="108"/>
      <c r="BD11" s="116">
        <f>VLOOKUP(BA11,BREAKFASTTABLE,2,FALSE)</f>
        <v>340</v>
      </c>
      <c r="BE11" s="23"/>
      <c r="BF11" s="23"/>
      <c r="BG11" s="17" t="s">
        <v>56</v>
      </c>
      <c r="BH11" s="28"/>
      <c r="BI11" s="17" t="s">
        <v>4</v>
      </c>
      <c r="BJ11" s="28"/>
      <c r="BK11" s="17" t="s">
        <v>57</v>
      </c>
      <c r="BL11" s="28"/>
      <c r="BM11" s="17" t="s">
        <v>58</v>
      </c>
      <c r="BN11" s="28"/>
      <c r="BO11" s="17" t="s">
        <v>59</v>
      </c>
      <c r="BP11" s="28"/>
      <c r="BQ11" s="23"/>
      <c r="BR11" s="23"/>
      <c r="BS11" s="23"/>
      <c r="BT11" s="23"/>
      <c r="BU11" s="23"/>
      <c r="BV11" s="23"/>
      <c r="BW11" s="23"/>
      <c r="BX11" s="107" t="s">
        <v>1</v>
      </c>
      <c r="BY11" s="108"/>
      <c r="BZ11" s="113" t="s">
        <v>11</v>
      </c>
      <c r="CA11" s="107" t="s">
        <v>55</v>
      </c>
      <c r="CB11" s="108"/>
      <c r="CC11" s="116">
        <f>VLOOKUP(BZ11,BREAKFASTTABLE,2,FALSE)</f>
        <v>300</v>
      </c>
      <c r="CD11" s="23"/>
      <c r="CE11" s="23"/>
      <c r="CF11" s="17" t="s">
        <v>56</v>
      </c>
      <c r="CG11" s="28"/>
      <c r="CH11" s="17" t="s">
        <v>4</v>
      </c>
      <c r="CI11" s="28"/>
      <c r="CJ11" s="17" t="s">
        <v>57</v>
      </c>
      <c r="CK11" s="28"/>
      <c r="CL11" s="17" t="s">
        <v>58</v>
      </c>
      <c r="CM11" s="28"/>
      <c r="CN11" s="17" t="s">
        <v>59</v>
      </c>
      <c r="CO11" s="28"/>
      <c r="CP11" s="23"/>
      <c r="CQ11" s="23"/>
      <c r="CR11" s="23"/>
      <c r="CS11" s="23"/>
      <c r="CT11" s="23"/>
      <c r="CU11" s="23"/>
      <c r="CV11" s="23"/>
      <c r="CW11" s="107" t="s">
        <v>1</v>
      </c>
      <c r="CX11" s="108"/>
      <c r="CY11" s="113" t="s">
        <v>13</v>
      </c>
      <c r="CZ11" s="107" t="s">
        <v>55</v>
      </c>
      <c r="DA11" s="108"/>
      <c r="DB11" s="116">
        <f>VLOOKUP(CY11,BREAKFASTTABLE,2,FALSE)</f>
        <v>250</v>
      </c>
      <c r="DC11" s="23"/>
      <c r="DD11" s="23"/>
      <c r="DE11" s="17" t="s">
        <v>56</v>
      </c>
      <c r="DF11" s="28"/>
      <c r="DG11" s="17" t="s">
        <v>4</v>
      </c>
      <c r="DH11" s="28"/>
      <c r="DI11" s="17" t="s">
        <v>57</v>
      </c>
      <c r="DJ11" s="28"/>
      <c r="DK11" s="17" t="s">
        <v>58</v>
      </c>
      <c r="DL11" s="28"/>
      <c r="DM11" s="17" t="s">
        <v>59</v>
      </c>
      <c r="DN11" s="28"/>
      <c r="DO11" s="23"/>
      <c r="DP11" s="23"/>
      <c r="DQ11" s="23"/>
      <c r="DR11" s="23"/>
      <c r="DS11" s="23"/>
      <c r="DT11" s="23"/>
      <c r="DU11" s="23"/>
      <c r="DV11" s="107" t="s">
        <v>1</v>
      </c>
      <c r="DW11" s="108"/>
      <c r="DX11" s="113" t="s">
        <v>6</v>
      </c>
      <c r="DY11" s="107" t="s">
        <v>55</v>
      </c>
      <c r="DZ11" s="108"/>
      <c r="EA11" s="116">
        <f>VLOOKUP(DX11,BREAKFASTTABLE,2,FALSE)</f>
        <v>310</v>
      </c>
      <c r="EB11" s="23"/>
      <c r="EC11" s="23"/>
      <c r="ED11" s="17" t="s">
        <v>56</v>
      </c>
      <c r="EE11" s="28"/>
      <c r="EF11" s="17" t="s">
        <v>4</v>
      </c>
      <c r="EG11" s="28"/>
      <c r="EH11" s="17" t="s">
        <v>57</v>
      </c>
      <c r="EI11" s="28"/>
      <c r="EJ11" s="17" t="s">
        <v>58</v>
      </c>
      <c r="EK11" s="28"/>
      <c r="EL11" s="17" t="s">
        <v>59</v>
      </c>
      <c r="EM11" s="28"/>
      <c r="EN11" s="23"/>
      <c r="EO11" s="23"/>
      <c r="EP11" s="23"/>
      <c r="EQ11" s="23"/>
      <c r="ER11" s="23"/>
      <c r="ES11" s="23"/>
      <c r="ET11" s="23"/>
      <c r="EU11" s="107" t="s">
        <v>1</v>
      </c>
      <c r="EV11" s="108"/>
      <c r="EW11" s="113" t="s">
        <v>6</v>
      </c>
      <c r="EX11" s="107" t="s">
        <v>55</v>
      </c>
      <c r="EY11" s="108"/>
      <c r="EZ11" s="116">
        <f>VLOOKUP(EW11,BREAKFASTTABLE,2,FALSE)</f>
        <v>310</v>
      </c>
      <c r="FA11" s="23"/>
      <c r="FB11" s="23"/>
      <c r="FC11" s="17" t="s">
        <v>56</v>
      </c>
      <c r="FD11" s="28"/>
      <c r="FE11" s="17" t="s">
        <v>4</v>
      </c>
      <c r="FF11" s="28"/>
      <c r="FG11" s="17" t="s">
        <v>57</v>
      </c>
      <c r="FH11" s="28"/>
      <c r="FI11" s="17" t="s">
        <v>58</v>
      </c>
      <c r="FJ11" s="28"/>
      <c r="FK11" s="17" t="s">
        <v>59</v>
      </c>
      <c r="FL11" s="28"/>
      <c r="FM11" s="23"/>
      <c r="FN11" s="23"/>
      <c r="FO11" s="23"/>
      <c r="FP11" s="23"/>
      <c r="FQ11" s="23"/>
      <c r="FR11" s="23"/>
      <c r="FS11" s="23"/>
    </row>
    <row r="12" spans="1:175" ht="16.5" thickBot="1" x14ac:dyDescent="0.4">
      <c r="A12" s="109"/>
      <c r="B12" s="110"/>
      <c r="C12" s="114"/>
      <c r="D12" s="109"/>
      <c r="E12" s="110"/>
      <c r="F12" s="117"/>
      <c r="G12" s="23"/>
      <c r="H12" s="23"/>
      <c r="I12" s="19"/>
      <c r="J12" s="29"/>
      <c r="K12" s="19"/>
      <c r="L12" s="29"/>
      <c r="M12" s="19"/>
      <c r="N12" s="29"/>
      <c r="O12" s="19"/>
      <c r="P12" s="29"/>
      <c r="Q12" s="19"/>
      <c r="R12" s="29"/>
      <c r="S12" s="23"/>
      <c r="T12" s="23"/>
      <c r="U12" s="23"/>
      <c r="V12" s="23"/>
      <c r="W12" s="23"/>
      <c r="X12" s="23"/>
      <c r="Y12" s="23"/>
      <c r="Z12" s="109"/>
      <c r="AA12" s="110"/>
      <c r="AB12" s="114"/>
      <c r="AC12" s="109"/>
      <c r="AD12" s="110"/>
      <c r="AE12" s="117"/>
      <c r="AF12" s="23"/>
      <c r="AG12" s="23"/>
      <c r="AH12" s="19"/>
      <c r="AI12" s="29"/>
      <c r="AJ12" s="19"/>
      <c r="AK12" s="29"/>
      <c r="AL12" s="19"/>
      <c r="AM12" s="29"/>
      <c r="AN12" s="19"/>
      <c r="AO12" s="29"/>
      <c r="AP12" s="19"/>
      <c r="AQ12" s="29"/>
      <c r="AR12" s="23"/>
      <c r="AS12" s="23"/>
      <c r="AT12" s="23"/>
      <c r="AU12" s="23"/>
      <c r="AV12" s="23"/>
      <c r="AW12" s="23"/>
      <c r="AX12" s="23"/>
      <c r="AY12" s="109"/>
      <c r="AZ12" s="110"/>
      <c r="BA12" s="114"/>
      <c r="BB12" s="109"/>
      <c r="BC12" s="110"/>
      <c r="BD12" s="117"/>
      <c r="BE12" s="23"/>
      <c r="BF12" s="23"/>
      <c r="BG12" s="19"/>
      <c r="BH12" s="29"/>
      <c r="BI12" s="19"/>
      <c r="BJ12" s="29"/>
      <c r="BK12" s="19"/>
      <c r="BL12" s="29"/>
      <c r="BM12" s="19"/>
      <c r="BN12" s="29"/>
      <c r="BO12" s="19"/>
      <c r="BP12" s="29"/>
      <c r="BQ12" s="23"/>
      <c r="BR12" s="23"/>
      <c r="BS12" s="23"/>
      <c r="BT12" s="23"/>
      <c r="BU12" s="23"/>
      <c r="BV12" s="23"/>
      <c r="BW12" s="23"/>
      <c r="BX12" s="109"/>
      <c r="BY12" s="110"/>
      <c r="BZ12" s="114"/>
      <c r="CA12" s="109"/>
      <c r="CB12" s="110"/>
      <c r="CC12" s="117"/>
      <c r="CD12" s="23"/>
      <c r="CE12" s="23"/>
      <c r="CF12" s="19"/>
      <c r="CG12" s="29"/>
      <c r="CH12" s="19"/>
      <c r="CI12" s="29"/>
      <c r="CJ12" s="19"/>
      <c r="CK12" s="29"/>
      <c r="CL12" s="19"/>
      <c r="CM12" s="29"/>
      <c r="CN12" s="19"/>
      <c r="CO12" s="29"/>
      <c r="CP12" s="23"/>
      <c r="CQ12" s="23"/>
      <c r="CR12" s="23"/>
      <c r="CS12" s="23"/>
      <c r="CT12" s="23"/>
      <c r="CU12" s="23"/>
      <c r="CV12" s="23"/>
      <c r="CW12" s="109"/>
      <c r="CX12" s="110"/>
      <c r="CY12" s="114"/>
      <c r="CZ12" s="109"/>
      <c r="DA12" s="110"/>
      <c r="DB12" s="117"/>
      <c r="DC12" s="23"/>
      <c r="DD12" s="23"/>
      <c r="DE12" s="19"/>
      <c r="DF12" s="29"/>
      <c r="DG12" s="19"/>
      <c r="DH12" s="29"/>
      <c r="DI12" s="19"/>
      <c r="DJ12" s="29"/>
      <c r="DK12" s="19"/>
      <c r="DL12" s="29"/>
      <c r="DM12" s="19"/>
      <c r="DN12" s="29"/>
      <c r="DO12" s="23"/>
      <c r="DP12" s="23"/>
      <c r="DQ12" s="23"/>
      <c r="DR12" s="23"/>
      <c r="DS12" s="23"/>
      <c r="DT12" s="23"/>
      <c r="DU12" s="23"/>
      <c r="DV12" s="109"/>
      <c r="DW12" s="110"/>
      <c r="DX12" s="114"/>
      <c r="DY12" s="109"/>
      <c r="DZ12" s="110"/>
      <c r="EA12" s="117"/>
      <c r="EB12" s="23"/>
      <c r="EC12" s="23"/>
      <c r="ED12" s="19"/>
      <c r="EE12" s="29"/>
      <c r="EF12" s="19"/>
      <c r="EG12" s="29"/>
      <c r="EH12" s="19"/>
      <c r="EI12" s="29"/>
      <c r="EJ12" s="19"/>
      <c r="EK12" s="29"/>
      <c r="EL12" s="19"/>
      <c r="EM12" s="29"/>
      <c r="EN12" s="23"/>
      <c r="EO12" s="23"/>
      <c r="EP12" s="23"/>
      <c r="EQ12" s="23"/>
      <c r="ER12" s="23"/>
      <c r="ES12" s="23"/>
      <c r="ET12" s="23"/>
      <c r="EU12" s="109"/>
      <c r="EV12" s="110"/>
      <c r="EW12" s="114"/>
      <c r="EX12" s="109"/>
      <c r="EY12" s="110"/>
      <c r="EZ12" s="117"/>
      <c r="FA12" s="23"/>
      <c r="FB12" s="23"/>
      <c r="FC12" s="19"/>
      <c r="FD12" s="29"/>
      <c r="FE12" s="19"/>
      <c r="FF12" s="29"/>
      <c r="FG12" s="19"/>
      <c r="FH12" s="29"/>
      <c r="FI12" s="19"/>
      <c r="FJ12" s="29"/>
      <c r="FK12" s="19"/>
      <c r="FL12" s="29"/>
      <c r="FM12" s="23"/>
      <c r="FN12" s="23"/>
      <c r="FO12" s="23"/>
      <c r="FP12" s="23"/>
      <c r="FQ12" s="23"/>
      <c r="FR12" s="23"/>
      <c r="FS12" s="23"/>
    </row>
    <row r="13" spans="1:175" ht="16" x14ac:dyDescent="0.35">
      <c r="A13" s="109"/>
      <c r="B13" s="110"/>
      <c r="C13" s="114"/>
      <c r="D13" s="109"/>
      <c r="E13" s="110"/>
      <c r="F13" s="117"/>
      <c r="G13" s="23"/>
      <c r="H13" s="23"/>
      <c r="I13" s="30" t="s">
        <v>8</v>
      </c>
      <c r="J13" s="31"/>
      <c r="K13" s="17">
        <f>VLOOKUP(I13,METVALUE,2,FALSE)</f>
        <v>5.5</v>
      </c>
      <c r="L13" s="18"/>
      <c r="M13" s="17">
        <v>0.5</v>
      </c>
      <c r="N13" s="18"/>
      <c r="O13" s="17">
        <f>K13*D3</f>
        <v>1023.8378124304269</v>
      </c>
      <c r="P13" s="18"/>
      <c r="Q13" s="17">
        <f>M13*O13</f>
        <v>511.91890621521344</v>
      </c>
      <c r="R13" s="18"/>
      <c r="S13" s="23"/>
      <c r="T13" s="23"/>
      <c r="U13" s="23"/>
      <c r="V13" s="23"/>
      <c r="W13" s="23"/>
      <c r="X13" s="23"/>
      <c r="Y13" s="23"/>
      <c r="Z13" s="109"/>
      <c r="AA13" s="110"/>
      <c r="AB13" s="114"/>
      <c r="AC13" s="109"/>
      <c r="AD13" s="110"/>
      <c r="AE13" s="117"/>
      <c r="AF13" s="23"/>
      <c r="AG13" s="23"/>
      <c r="AH13" s="30" t="s">
        <v>8</v>
      </c>
      <c r="AI13" s="31"/>
      <c r="AJ13" s="17">
        <f>VLOOKUP(AH13,METVALUE,2,FALSE)</f>
        <v>5.5</v>
      </c>
      <c r="AK13" s="18"/>
      <c r="AL13" s="17">
        <v>0.25</v>
      </c>
      <c r="AM13" s="18"/>
      <c r="AN13" s="17">
        <f>AJ13*AC3</f>
        <v>1023.8378124304269</v>
      </c>
      <c r="AO13" s="18"/>
      <c r="AP13" s="17">
        <f>AL13*AN13</f>
        <v>255.95945310760672</v>
      </c>
      <c r="AQ13" s="18"/>
      <c r="AR13" s="23"/>
      <c r="AS13" s="23"/>
      <c r="AT13" s="23"/>
      <c r="AU13" s="23"/>
      <c r="AV13" s="23"/>
      <c r="AW13" s="23"/>
      <c r="AX13" s="23"/>
      <c r="AY13" s="109"/>
      <c r="AZ13" s="110"/>
      <c r="BA13" s="114"/>
      <c r="BB13" s="109"/>
      <c r="BC13" s="110"/>
      <c r="BD13" s="117"/>
      <c r="BE13" s="23"/>
      <c r="BF13" s="23"/>
      <c r="BG13" s="30" t="s">
        <v>8</v>
      </c>
      <c r="BH13" s="31"/>
      <c r="BI13" s="17">
        <f>VLOOKUP(BG13,METVALUE,2,FALSE)</f>
        <v>5.5</v>
      </c>
      <c r="BJ13" s="18"/>
      <c r="BK13" s="17">
        <v>0.75</v>
      </c>
      <c r="BL13" s="18"/>
      <c r="BM13" s="17">
        <f>BI13*BB3</f>
        <v>1023.8378124304269</v>
      </c>
      <c r="BN13" s="18"/>
      <c r="BO13" s="17">
        <f>BK13*BM13</f>
        <v>767.87835932282019</v>
      </c>
      <c r="BP13" s="18"/>
      <c r="BQ13" s="23"/>
      <c r="BR13" s="23"/>
      <c r="BS13" s="23"/>
      <c r="BT13" s="23"/>
      <c r="BU13" s="23"/>
      <c r="BV13" s="23"/>
      <c r="BW13" s="23"/>
      <c r="BX13" s="109"/>
      <c r="BY13" s="110"/>
      <c r="BZ13" s="114"/>
      <c r="CA13" s="109"/>
      <c r="CB13" s="110"/>
      <c r="CC13" s="117"/>
      <c r="CD13" s="23"/>
      <c r="CE13" s="23"/>
      <c r="CF13" s="30" t="s">
        <v>8</v>
      </c>
      <c r="CG13" s="31"/>
      <c r="CH13" s="17">
        <f>VLOOKUP(CF13,METVALUE,2,FALSE)</f>
        <v>5.5</v>
      </c>
      <c r="CI13" s="18"/>
      <c r="CJ13" s="17">
        <v>0.25</v>
      </c>
      <c r="CK13" s="18"/>
      <c r="CL13" s="17">
        <f>CH13*CA3</f>
        <v>1023.8378124304269</v>
      </c>
      <c r="CM13" s="18"/>
      <c r="CN13" s="17">
        <f>CJ13*CL13</f>
        <v>255.95945310760672</v>
      </c>
      <c r="CO13" s="18"/>
      <c r="CP13" s="23"/>
      <c r="CQ13" s="23"/>
      <c r="CR13" s="23"/>
      <c r="CS13" s="23"/>
      <c r="CT13" s="23"/>
      <c r="CU13" s="23"/>
      <c r="CV13" s="23"/>
      <c r="CW13" s="109"/>
      <c r="CX13" s="110"/>
      <c r="CY13" s="114"/>
      <c r="CZ13" s="109"/>
      <c r="DA13" s="110"/>
      <c r="DB13" s="117"/>
      <c r="DC13" s="23"/>
      <c r="DD13" s="23"/>
      <c r="DE13" s="30" t="s">
        <v>8</v>
      </c>
      <c r="DF13" s="31"/>
      <c r="DG13" s="17">
        <f>VLOOKUP(DE13,METVALUE,2,FALSE)</f>
        <v>5.5</v>
      </c>
      <c r="DH13" s="18"/>
      <c r="DI13" s="17">
        <v>2</v>
      </c>
      <c r="DJ13" s="18"/>
      <c r="DK13" s="17">
        <f>DG13*CZ3</f>
        <v>1023.8378124304269</v>
      </c>
      <c r="DL13" s="18"/>
      <c r="DM13" s="17">
        <f>DI13*DK13</f>
        <v>2047.6756248608538</v>
      </c>
      <c r="DN13" s="18"/>
      <c r="DO13" s="23"/>
      <c r="DP13" s="23"/>
      <c r="DQ13" s="23"/>
      <c r="DR13" s="23"/>
      <c r="DS13" s="23"/>
      <c r="DT13" s="23"/>
      <c r="DU13" s="23"/>
      <c r="DV13" s="109"/>
      <c r="DW13" s="110"/>
      <c r="DX13" s="114"/>
      <c r="DY13" s="109"/>
      <c r="DZ13" s="110"/>
      <c r="EA13" s="117"/>
      <c r="EB13" s="23"/>
      <c r="EC13" s="23"/>
      <c r="ED13" s="30" t="s">
        <v>8</v>
      </c>
      <c r="EE13" s="31"/>
      <c r="EF13" s="17">
        <f>VLOOKUP(ED13,METVALUE,2,FALSE)</f>
        <v>5.5</v>
      </c>
      <c r="EG13" s="18"/>
      <c r="EH13" s="17">
        <v>0.75</v>
      </c>
      <c r="EI13" s="18"/>
      <c r="EJ13" s="17">
        <f>EF13*DY3</f>
        <v>1023.8378124304269</v>
      </c>
      <c r="EK13" s="18"/>
      <c r="EL13" s="17">
        <f>EH13*EJ13</f>
        <v>767.87835932282019</v>
      </c>
      <c r="EM13" s="18"/>
      <c r="EN13" s="23"/>
      <c r="EO13" s="23"/>
      <c r="EP13" s="23"/>
      <c r="EQ13" s="23"/>
      <c r="ER13" s="23"/>
      <c r="ES13" s="23"/>
      <c r="ET13" s="23"/>
      <c r="EU13" s="109"/>
      <c r="EV13" s="110"/>
      <c r="EW13" s="114"/>
      <c r="EX13" s="109"/>
      <c r="EY13" s="110"/>
      <c r="EZ13" s="117"/>
      <c r="FA13" s="23"/>
      <c r="FB13" s="23"/>
      <c r="FC13" s="30" t="s">
        <v>8</v>
      </c>
      <c r="FD13" s="31"/>
      <c r="FE13" s="17">
        <f>VLOOKUP(FC13,METVALUE,2,FALSE)</f>
        <v>5.5</v>
      </c>
      <c r="FF13" s="18"/>
      <c r="FG13" s="17">
        <v>0.25</v>
      </c>
      <c r="FH13" s="18"/>
      <c r="FI13" s="17">
        <f>FE13*EX3</f>
        <v>1023.8378124304269</v>
      </c>
      <c r="FJ13" s="18"/>
      <c r="FK13" s="17">
        <f>FG13*FI13</f>
        <v>255.95945310760672</v>
      </c>
      <c r="FL13" s="18"/>
      <c r="FM13" s="23"/>
      <c r="FN13" s="23"/>
      <c r="FO13" s="23"/>
      <c r="FP13" s="23"/>
      <c r="FQ13" s="23"/>
      <c r="FR13" s="23"/>
      <c r="FS13" s="23"/>
    </row>
    <row r="14" spans="1:175" ht="16.5" thickBot="1" x14ac:dyDescent="0.4">
      <c r="A14" s="111"/>
      <c r="B14" s="112"/>
      <c r="C14" s="115"/>
      <c r="D14" s="111"/>
      <c r="E14" s="112"/>
      <c r="F14" s="118"/>
      <c r="G14" s="23"/>
      <c r="H14" s="23"/>
      <c r="I14" s="32"/>
      <c r="J14" s="33"/>
      <c r="K14" s="19"/>
      <c r="L14" s="20"/>
      <c r="M14" s="19"/>
      <c r="N14" s="20"/>
      <c r="O14" s="19"/>
      <c r="P14" s="20"/>
      <c r="Q14" s="19"/>
      <c r="R14" s="20"/>
      <c r="S14" s="23"/>
      <c r="T14" s="23"/>
      <c r="U14" s="23"/>
      <c r="V14" s="23"/>
      <c r="W14" s="23"/>
      <c r="X14" s="23"/>
      <c r="Y14" s="23"/>
      <c r="Z14" s="111"/>
      <c r="AA14" s="112"/>
      <c r="AB14" s="115"/>
      <c r="AC14" s="111"/>
      <c r="AD14" s="112"/>
      <c r="AE14" s="118"/>
      <c r="AF14" s="23"/>
      <c r="AG14" s="23"/>
      <c r="AH14" s="32"/>
      <c r="AI14" s="33"/>
      <c r="AJ14" s="19"/>
      <c r="AK14" s="20"/>
      <c r="AL14" s="19"/>
      <c r="AM14" s="20"/>
      <c r="AN14" s="19"/>
      <c r="AO14" s="20"/>
      <c r="AP14" s="19"/>
      <c r="AQ14" s="20"/>
      <c r="AR14" s="23"/>
      <c r="AS14" s="23"/>
      <c r="AT14" s="23"/>
      <c r="AU14" s="23"/>
      <c r="AV14" s="23"/>
      <c r="AW14" s="23"/>
      <c r="AX14" s="23"/>
      <c r="AY14" s="111"/>
      <c r="AZ14" s="112"/>
      <c r="BA14" s="115"/>
      <c r="BB14" s="111"/>
      <c r="BC14" s="112"/>
      <c r="BD14" s="118"/>
      <c r="BE14" s="23"/>
      <c r="BF14" s="23"/>
      <c r="BG14" s="32"/>
      <c r="BH14" s="33"/>
      <c r="BI14" s="19"/>
      <c r="BJ14" s="20"/>
      <c r="BK14" s="19"/>
      <c r="BL14" s="20"/>
      <c r="BM14" s="19"/>
      <c r="BN14" s="20"/>
      <c r="BO14" s="19"/>
      <c r="BP14" s="20"/>
      <c r="BQ14" s="23"/>
      <c r="BR14" s="23"/>
      <c r="BS14" s="23"/>
      <c r="BT14" s="23"/>
      <c r="BU14" s="23"/>
      <c r="BV14" s="23"/>
      <c r="BW14" s="23"/>
      <c r="BX14" s="111"/>
      <c r="BY14" s="112"/>
      <c r="BZ14" s="115"/>
      <c r="CA14" s="111"/>
      <c r="CB14" s="112"/>
      <c r="CC14" s="118"/>
      <c r="CD14" s="23"/>
      <c r="CE14" s="23"/>
      <c r="CF14" s="32"/>
      <c r="CG14" s="33"/>
      <c r="CH14" s="19"/>
      <c r="CI14" s="20"/>
      <c r="CJ14" s="19"/>
      <c r="CK14" s="20"/>
      <c r="CL14" s="19"/>
      <c r="CM14" s="20"/>
      <c r="CN14" s="19"/>
      <c r="CO14" s="20"/>
      <c r="CP14" s="23"/>
      <c r="CQ14" s="23"/>
      <c r="CR14" s="23"/>
      <c r="CS14" s="23"/>
      <c r="CT14" s="23"/>
      <c r="CU14" s="23"/>
      <c r="CV14" s="23"/>
      <c r="CW14" s="111"/>
      <c r="CX14" s="112"/>
      <c r="CY14" s="115"/>
      <c r="CZ14" s="111"/>
      <c r="DA14" s="112"/>
      <c r="DB14" s="118"/>
      <c r="DC14" s="23"/>
      <c r="DD14" s="23"/>
      <c r="DE14" s="32"/>
      <c r="DF14" s="33"/>
      <c r="DG14" s="19"/>
      <c r="DH14" s="20"/>
      <c r="DI14" s="19"/>
      <c r="DJ14" s="20"/>
      <c r="DK14" s="19"/>
      <c r="DL14" s="20"/>
      <c r="DM14" s="19"/>
      <c r="DN14" s="20"/>
      <c r="DO14" s="23"/>
      <c r="DP14" s="23"/>
      <c r="DQ14" s="23"/>
      <c r="DR14" s="23"/>
      <c r="DS14" s="23"/>
      <c r="DT14" s="23"/>
      <c r="DU14" s="23"/>
      <c r="DV14" s="111"/>
      <c r="DW14" s="112"/>
      <c r="DX14" s="115"/>
      <c r="DY14" s="111"/>
      <c r="DZ14" s="112"/>
      <c r="EA14" s="118"/>
      <c r="EB14" s="23"/>
      <c r="EC14" s="23"/>
      <c r="ED14" s="32"/>
      <c r="EE14" s="33"/>
      <c r="EF14" s="19"/>
      <c r="EG14" s="20"/>
      <c r="EH14" s="19"/>
      <c r="EI14" s="20"/>
      <c r="EJ14" s="19"/>
      <c r="EK14" s="20"/>
      <c r="EL14" s="19"/>
      <c r="EM14" s="20"/>
      <c r="EN14" s="23"/>
      <c r="EO14" s="23"/>
      <c r="EP14" s="23"/>
      <c r="EQ14" s="23"/>
      <c r="ER14" s="23"/>
      <c r="ES14" s="23"/>
      <c r="ET14" s="23"/>
      <c r="EU14" s="111"/>
      <c r="EV14" s="112"/>
      <c r="EW14" s="115"/>
      <c r="EX14" s="111"/>
      <c r="EY14" s="112"/>
      <c r="EZ14" s="118"/>
      <c r="FA14" s="23"/>
      <c r="FB14" s="23"/>
      <c r="FC14" s="32"/>
      <c r="FD14" s="33"/>
      <c r="FE14" s="19"/>
      <c r="FF14" s="20"/>
      <c r="FG14" s="19"/>
      <c r="FH14" s="20"/>
      <c r="FI14" s="19"/>
      <c r="FJ14" s="20"/>
      <c r="FK14" s="19"/>
      <c r="FL14" s="20"/>
      <c r="FM14" s="23"/>
      <c r="FN14" s="23"/>
      <c r="FO14" s="23"/>
      <c r="FP14" s="23"/>
      <c r="FQ14" s="23"/>
      <c r="FR14" s="23"/>
      <c r="FS14" s="23"/>
    </row>
    <row r="15" spans="1:175" ht="16.5" thickBot="1" x14ac:dyDescent="0.4">
      <c r="A15" s="107" t="s">
        <v>15</v>
      </c>
      <c r="B15" s="108"/>
      <c r="C15" s="113" t="s">
        <v>18</v>
      </c>
      <c r="D15" s="107" t="s">
        <v>55</v>
      </c>
      <c r="E15" s="108"/>
      <c r="F15" s="116">
        <f>VLOOKUP(C15,LUNCHTABLE,2,FALSE)</f>
        <v>350</v>
      </c>
      <c r="G15" s="23"/>
      <c r="H15" s="23"/>
      <c r="I15" s="34"/>
      <c r="J15" s="35"/>
      <c r="K15" s="21"/>
      <c r="L15" s="22"/>
      <c r="M15" s="21"/>
      <c r="N15" s="22"/>
      <c r="O15" s="21"/>
      <c r="P15" s="22"/>
      <c r="Q15" s="21"/>
      <c r="R15" s="22"/>
      <c r="S15" s="23"/>
      <c r="T15" s="23"/>
      <c r="U15" s="23"/>
      <c r="V15" s="23"/>
      <c r="W15" s="23"/>
      <c r="X15" s="23"/>
      <c r="Y15" s="23"/>
      <c r="Z15" s="107" t="s">
        <v>15</v>
      </c>
      <c r="AA15" s="108"/>
      <c r="AB15" s="113" t="s">
        <v>20</v>
      </c>
      <c r="AC15" s="107" t="s">
        <v>55</v>
      </c>
      <c r="AD15" s="108"/>
      <c r="AE15" s="116">
        <f>VLOOKUP(AB15,LUNCHTABLE,2,FALSE)</f>
        <v>400</v>
      </c>
      <c r="AF15" s="23"/>
      <c r="AG15" s="23"/>
      <c r="AH15" s="34"/>
      <c r="AI15" s="35"/>
      <c r="AJ15" s="21"/>
      <c r="AK15" s="22"/>
      <c r="AL15" s="21"/>
      <c r="AM15" s="22"/>
      <c r="AN15" s="21"/>
      <c r="AO15" s="22"/>
      <c r="AP15" s="21"/>
      <c r="AQ15" s="22"/>
      <c r="AR15" s="23"/>
      <c r="AS15" s="23"/>
      <c r="AT15" s="23"/>
      <c r="AU15" s="23"/>
      <c r="AV15" s="23"/>
      <c r="AW15" s="23"/>
      <c r="AX15" s="23"/>
      <c r="AY15" s="107" t="s">
        <v>15</v>
      </c>
      <c r="AZ15" s="108"/>
      <c r="BA15" s="113" t="s">
        <v>22</v>
      </c>
      <c r="BB15" s="107" t="s">
        <v>55</v>
      </c>
      <c r="BC15" s="108"/>
      <c r="BD15" s="116">
        <f>VLOOKUP(BA15,LUNCHTABLE,2,FALSE)</f>
        <v>450</v>
      </c>
      <c r="BE15" s="23"/>
      <c r="BF15" s="23"/>
      <c r="BG15" s="34"/>
      <c r="BH15" s="35"/>
      <c r="BI15" s="21"/>
      <c r="BJ15" s="22"/>
      <c r="BK15" s="21"/>
      <c r="BL15" s="22"/>
      <c r="BM15" s="21"/>
      <c r="BN15" s="22"/>
      <c r="BO15" s="21"/>
      <c r="BP15" s="22"/>
      <c r="BQ15" s="23"/>
      <c r="BR15" s="23"/>
      <c r="BS15" s="23"/>
      <c r="BT15" s="23"/>
      <c r="BU15" s="23"/>
      <c r="BV15" s="23"/>
      <c r="BW15" s="23"/>
      <c r="BX15" s="107" t="s">
        <v>15</v>
      </c>
      <c r="BY15" s="108"/>
      <c r="BZ15" s="113" t="s">
        <v>24</v>
      </c>
      <c r="CA15" s="107" t="s">
        <v>55</v>
      </c>
      <c r="CB15" s="108"/>
      <c r="CC15" s="116">
        <f>VLOOKUP(BZ15,LUNCHTABLE,2,FALSE)</f>
        <v>400</v>
      </c>
      <c r="CD15" s="23"/>
      <c r="CE15" s="23"/>
      <c r="CF15" s="34"/>
      <c r="CG15" s="35"/>
      <c r="CH15" s="21"/>
      <c r="CI15" s="22"/>
      <c r="CJ15" s="21"/>
      <c r="CK15" s="22"/>
      <c r="CL15" s="21"/>
      <c r="CM15" s="22"/>
      <c r="CN15" s="21"/>
      <c r="CO15" s="22"/>
      <c r="CP15" s="23"/>
      <c r="CQ15" s="23"/>
      <c r="CR15" s="23"/>
      <c r="CS15" s="23"/>
      <c r="CT15" s="23"/>
      <c r="CU15" s="23"/>
      <c r="CV15" s="23"/>
      <c r="CW15" s="107" t="s">
        <v>15</v>
      </c>
      <c r="CX15" s="108"/>
      <c r="CY15" s="113" t="s">
        <v>26</v>
      </c>
      <c r="CZ15" s="107" t="s">
        <v>55</v>
      </c>
      <c r="DA15" s="108"/>
      <c r="DB15" s="116">
        <f>VLOOKUP(CY15,LUNCHTABLE,2,FALSE)</f>
        <v>350</v>
      </c>
      <c r="DC15" s="23"/>
      <c r="DD15" s="23"/>
      <c r="DE15" s="34"/>
      <c r="DF15" s="35"/>
      <c r="DG15" s="21"/>
      <c r="DH15" s="22"/>
      <c r="DI15" s="21"/>
      <c r="DJ15" s="22"/>
      <c r="DK15" s="21"/>
      <c r="DL15" s="22"/>
      <c r="DM15" s="21"/>
      <c r="DN15" s="22"/>
      <c r="DO15" s="23"/>
      <c r="DP15" s="23"/>
      <c r="DQ15" s="23"/>
      <c r="DR15" s="23"/>
      <c r="DS15" s="23"/>
      <c r="DT15" s="23"/>
      <c r="DU15" s="23"/>
      <c r="DV15" s="107" t="s">
        <v>15</v>
      </c>
      <c r="DW15" s="108"/>
      <c r="DX15" s="113" t="s">
        <v>18</v>
      </c>
      <c r="DY15" s="107" t="s">
        <v>55</v>
      </c>
      <c r="DZ15" s="108"/>
      <c r="EA15" s="116">
        <f>VLOOKUP(DX15,LUNCHTABLE,2,FALSE)</f>
        <v>350</v>
      </c>
      <c r="EB15" s="23"/>
      <c r="EC15" s="23"/>
      <c r="ED15" s="34"/>
      <c r="EE15" s="35"/>
      <c r="EF15" s="21"/>
      <c r="EG15" s="22"/>
      <c r="EH15" s="21"/>
      <c r="EI15" s="22"/>
      <c r="EJ15" s="21"/>
      <c r="EK15" s="22"/>
      <c r="EL15" s="21"/>
      <c r="EM15" s="22"/>
      <c r="EN15" s="23"/>
      <c r="EO15" s="23"/>
      <c r="EP15" s="23"/>
      <c r="EQ15" s="23"/>
      <c r="ER15" s="23"/>
      <c r="ES15" s="23"/>
      <c r="ET15" s="23"/>
      <c r="EU15" s="107" t="s">
        <v>15</v>
      </c>
      <c r="EV15" s="108"/>
      <c r="EW15" s="113" t="s">
        <v>18</v>
      </c>
      <c r="EX15" s="107" t="s">
        <v>55</v>
      </c>
      <c r="EY15" s="108"/>
      <c r="EZ15" s="116">
        <f>VLOOKUP(EW15,LUNCHTABLE,2,FALSE)</f>
        <v>350</v>
      </c>
      <c r="FA15" s="23"/>
      <c r="FB15" s="23"/>
      <c r="FC15" s="34"/>
      <c r="FD15" s="35"/>
      <c r="FE15" s="21"/>
      <c r="FF15" s="22"/>
      <c r="FG15" s="21"/>
      <c r="FH15" s="22"/>
      <c r="FI15" s="21"/>
      <c r="FJ15" s="22"/>
      <c r="FK15" s="21"/>
      <c r="FL15" s="22"/>
      <c r="FM15" s="23"/>
      <c r="FN15" s="23"/>
      <c r="FO15" s="23"/>
      <c r="FP15" s="23"/>
      <c r="FQ15" s="23"/>
      <c r="FR15" s="23"/>
      <c r="FS15" s="23"/>
    </row>
    <row r="16" spans="1:175" ht="16" x14ac:dyDescent="0.35">
      <c r="A16" s="109"/>
      <c r="B16" s="110"/>
      <c r="C16" s="114"/>
      <c r="D16" s="109"/>
      <c r="E16" s="110"/>
      <c r="F16" s="117"/>
      <c r="G16" s="23"/>
      <c r="H16" s="23"/>
      <c r="I16" s="30" t="s">
        <v>10</v>
      </c>
      <c r="J16" s="31"/>
      <c r="K16" s="17">
        <f>VLOOKUP(I16,METVALUE,2,FALSE)</f>
        <v>8</v>
      </c>
      <c r="L16" s="18"/>
      <c r="M16" s="17">
        <v>0.5</v>
      </c>
      <c r="N16" s="18"/>
      <c r="O16" s="17">
        <f>D3*K16</f>
        <v>1489.2186362624391</v>
      </c>
      <c r="P16" s="18"/>
      <c r="Q16" s="17">
        <f>M16*O16</f>
        <v>744.60931813121954</v>
      </c>
      <c r="R16" s="18"/>
      <c r="S16" s="23"/>
      <c r="T16" s="23"/>
      <c r="U16" s="23"/>
      <c r="V16" s="23"/>
      <c r="W16" s="23"/>
      <c r="X16" s="23"/>
      <c r="Y16" s="23"/>
      <c r="Z16" s="109"/>
      <c r="AA16" s="110"/>
      <c r="AB16" s="114"/>
      <c r="AC16" s="109"/>
      <c r="AD16" s="110"/>
      <c r="AE16" s="117"/>
      <c r="AF16" s="23"/>
      <c r="AG16" s="23"/>
      <c r="AH16" s="30" t="s">
        <v>10</v>
      </c>
      <c r="AI16" s="31"/>
      <c r="AJ16" s="17">
        <f>VLOOKUP(AH16,METVALUE,2,FALSE)</f>
        <v>8</v>
      </c>
      <c r="AK16" s="18"/>
      <c r="AL16" s="17">
        <v>1</v>
      </c>
      <c r="AM16" s="18"/>
      <c r="AN16" s="17">
        <f>AC3*AJ16</f>
        <v>1489.2186362624391</v>
      </c>
      <c r="AO16" s="18"/>
      <c r="AP16" s="17">
        <f>AL16*AN16</f>
        <v>1489.2186362624391</v>
      </c>
      <c r="AQ16" s="18"/>
      <c r="AR16" s="23"/>
      <c r="AS16" s="23"/>
      <c r="AT16" s="23"/>
      <c r="AU16" s="23"/>
      <c r="AV16" s="23"/>
      <c r="AW16" s="23"/>
      <c r="AX16" s="23"/>
      <c r="AY16" s="109"/>
      <c r="AZ16" s="110"/>
      <c r="BA16" s="114"/>
      <c r="BB16" s="109"/>
      <c r="BC16" s="110"/>
      <c r="BD16" s="117"/>
      <c r="BE16" s="23"/>
      <c r="BF16" s="23"/>
      <c r="BG16" s="30" t="s">
        <v>10</v>
      </c>
      <c r="BH16" s="31"/>
      <c r="BI16" s="17">
        <f>VLOOKUP(BG16,METVALUE,2,FALSE)</f>
        <v>8</v>
      </c>
      <c r="BJ16" s="18"/>
      <c r="BK16" s="17">
        <v>0</v>
      </c>
      <c r="BL16" s="18"/>
      <c r="BM16" s="17">
        <f>BB3*BI16</f>
        <v>1489.2186362624391</v>
      </c>
      <c r="BN16" s="18"/>
      <c r="BO16" s="17">
        <f>BK16*BM16</f>
        <v>0</v>
      </c>
      <c r="BP16" s="18"/>
      <c r="BQ16" s="23"/>
      <c r="BR16" s="23"/>
      <c r="BS16" s="23"/>
      <c r="BT16" s="23"/>
      <c r="BU16" s="23"/>
      <c r="BV16" s="23"/>
      <c r="BW16" s="23"/>
      <c r="BX16" s="109"/>
      <c r="BY16" s="110"/>
      <c r="BZ16" s="114"/>
      <c r="CA16" s="109"/>
      <c r="CB16" s="110"/>
      <c r="CC16" s="117"/>
      <c r="CD16" s="23"/>
      <c r="CE16" s="23"/>
      <c r="CF16" s="30" t="s">
        <v>10</v>
      </c>
      <c r="CG16" s="31"/>
      <c r="CH16" s="17">
        <f>VLOOKUP(CF16,METVALUE,2,FALSE)</f>
        <v>8</v>
      </c>
      <c r="CI16" s="18"/>
      <c r="CJ16" s="17">
        <v>0.25</v>
      </c>
      <c r="CK16" s="18"/>
      <c r="CL16" s="17">
        <f>CA3*CH16</f>
        <v>1489.2186362624391</v>
      </c>
      <c r="CM16" s="18"/>
      <c r="CN16" s="17">
        <f>CJ16*CL16</f>
        <v>372.30465906560977</v>
      </c>
      <c r="CO16" s="18"/>
      <c r="CP16" s="23"/>
      <c r="CQ16" s="23"/>
      <c r="CR16" s="23"/>
      <c r="CS16" s="23"/>
      <c r="CT16" s="23"/>
      <c r="CU16" s="23"/>
      <c r="CV16" s="23"/>
      <c r="CW16" s="109"/>
      <c r="CX16" s="110"/>
      <c r="CY16" s="114"/>
      <c r="CZ16" s="109"/>
      <c r="DA16" s="110"/>
      <c r="DB16" s="117"/>
      <c r="DC16" s="23"/>
      <c r="DD16" s="23"/>
      <c r="DE16" s="30" t="s">
        <v>10</v>
      </c>
      <c r="DF16" s="31"/>
      <c r="DG16" s="17">
        <f>VLOOKUP(DE16,METVALUE,2,FALSE)</f>
        <v>8</v>
      </c>
      <c r="DH16" s="18"/>
      <c r="DI16" s="17">
        <v>1</v>
      </c>
      <c r="DJ16" s="18"/>
      <c r="DK16" s="17">
        <f>CZ3*DG16</f>
        <v>1489.2186362624391</v>
      </c>
      <c r="DL16" s="18"/>
      <c r="DM16" s="17">
        <f>DI16*DK16</f>
        <v>1489.2186362624391</v>
      </c>
      <c r="DN16" s="18"/>
      <c r="DO16" s="23"/>
      <c r="DP16" s="23"/>
      <c r="DQ16" s="23"/>
      <c r="DR16" s="23"/>
      <c r="DS16" s="23"/>
      <c r="DT16" s="23"/>
      <c r="DU16" s="23"/>
      <c r="DV16" s="109"/>
      <c r="DW16" s="110"/>
      <c r="DX16" s="114"/>
      <c r="DY16" s="109"/>
      <c r="DZ16" s="110"/>
      <c r="EA16" s="117"/>
      <c r="EB16" s="23"/>
      <c r="EC16" s="23"/>
      <c r="ED16" s="30" t="s">
        <v>10</v>
      </c>
      <c r="EE16" s="31"/>
      <c r="EF16" s="17">
        <f>VLOOKUP(ED16,METVALUE,2,FALSE)</f>
        <v>8</v>
      </c>
      <c r="EG16" s="18"/>
      <c r="EH16" s="17">
        <v>1</v>
      </c>
      <c r="EI16" s="18"/>
      <c r="EJ16" s="17">
        <f>DY3*EF16</f>
        <v>1489.2186362624391</v>
      </c>
      <c r="EK16" s="18"/>
      <c r="EL16" s="17">
        <f>EH16*EJ16</f>
        <v>1489.2186362624391</v>
      </c>
      <c r="EM16" s="18"/>
      <c r="EN16" s="23"/>
      <c r="EO16" s="23"/>
      <c r="EP16" s="23"/>
      <c r="EQ16" s="23"/>
      <c r="ER16" s="23"/>
      <c r="ES16" s="23"/>
      <c r="ET16" s="23"/>
      <c r="EU16" s="109"/>
      <c r="EV16" s="110"/>
      <c r="EW16" s="114"/>
      <c r="EX16" s="109"/>
      <c r="EY16" s="110"/>
      <c r="EZ16" s="117"/>
      <c r="FA16" s="23"/>
      <c r="FB16" s="23"/>
      <c r="FC16" s="30" t="s">
        <v>10</v>
      </c>
      <c r="FD16" s="31"/>
      <c r="FE16" s="17">
        <f>VLOOKUP(FC16,METVALUE,2,FALSE)</f>
        <v>8</v>
      </c>
      <c r="FF16" s="18"/>
      <c r="FG16" s="17">
        <v>1.25</v>
      </c>
      <c r="FH16" s="18"/>
      <c r="FI16" s="17">
        <f>EX3*FE16</f>
        <v>1489.2186362624391</v>
      </c>
      <c r="FJ16" s="18"/>
      <c r="FK16" s="17">
        <f>FG16*FI16</f>
        <v>1861.5232953280488</v>
      </c>
      <c r="FL16" s="18"/>
      <c r="FM16" s="23"/>
      <c r="FN16" s="23"/>
      <c r="FO16" s="23"/>
      <c r="FP16" s="23"/>
      <c r="FQ16" s="23"/>
      <c r="FR16" s="23"/>
      <c r="FS16" s="23"/>
    </row>
    <row r="17" spans="1:175" ht="16" x14ac:dyDescent="0.35">
      <c r="A17" s="109"/>
      <c r="B17" s="110"/>
      <c r="C17" s="114"/>
      <c r="D17" s="109"/>
      <c r="E17" s="110"/>
      <c r="F17" s="117"/>
      <c r="G17" s="23"/>
      <c r="H17" s="23"/>
      <c r="I17" s="32"/>
      <c r="J17" s="33"/>
      <c r="K17" s="19"/>
      <c r="L17" s="20"/>
      <c r="M17" s="19"/>
      <c r="N17" s="20"/>
      <c r="O17" s="19"/>
      <c r="P17" s="20"/>
      <c r="Q17" s="19"/>
      <c r="R17" s="20"/>
      <c r="S17" s="23"/>
      <c r="T17" s="23"/>
      <c r="U17" s="23"/>
      <c r="V17" s="23"/>
      <c r="W17" s="23"/>
      <c r="X17" s="23"/>
      <c r="Y17" s="23"/>
      <c r="Z17" s="109"/>
      <c r="AA17" s="110"/>
      <c r="AB17" s="114"/>
      <c r="AC17" s="109"/>
      <c r="AD17" s="110"/>
      <c r="AE17" s="117"/>
      <c r="AF17" s="23"/>
      <c r="AG17" s="23"/>
      <c r="AH17" s="32"/>
      <c r="AI17" s="33"/>
      <c r="AJ17" s="19"/>
      <c r="AK17" s="20"/>
      <c r="AL17" s="19"/>
      <c r="AM17" s="20"/>
      <c r="AN17" s="19"/>
      <c r="AO17" s="20"/>
      <c r="AP17" s="19"/>
      <c r="AQ17" s="20"/>
      <c r="AR17" s="23"/>
      <c r="AS17" s="23"/>
      <c r="AT17" s="23"/>
      <c r="AU17" s="23"/>
      <c r="AV17" s="23"/>
      <c r="AW17" s="23"/>
      <c r="AX17" s="23"/>
      <c r="AY17" s="109"/>
      <c r="AZ17" s="110"/>
      <c r="BA17" s="114"/>
      <c r="BB17" s="109"/>
      <c r="BC17" s="110"/>
      <c r="BD17" s="117"/>
      <c r="BE17" s="23"/>
      <c r="BF17" s="23"/>
      <c r="BG17" s="32"/>
      <c r="BH17" s="33"/>
      <c r="BI17" s="19"/>
      <c r="BJ17" s="20"/>
      <c r="BK17" s="19"/>
      <c r="BL17" s="20"/>
      <c r="BM17" s="19"/>
      <c r="BN17" s="20"/>
      <c r="BO17" s="19"/>
      <c r="BP17" s="20"/>
      <c r="BQ17" s="23"/>
      <c r="BR17" s="23"/>
      <c r="BS17" s="23"/>
      <c r="BT17" s="23"/>
      <c r="BU17" s="23"/>
      <c r="BV17" s="23"/>
      <c r="BW17" s="23"/>
      <c r="BX17" s="109"/>
      <c r="BY17" s="110"/>
      <c r="BZ17" s="114"/>
      <c r="CA17" s="109"/>
      <c r="CB17" s="110"/>
      <c r="CC17" s="117"/>
      <c r="CD17" s="23"/>
      <c r="CE17" s="23"/>
      <c r="CF17" s="32"/>
      <c r="CG17" s="33"/>
      <c r="CH17" s="19"/>
      <c r="CI17" s="20"/>
      <c r="CJ17" s="19"/>
      <c r="CK17" s="20"/>
      <c r="CL17" s="19"/>
      <c r="CM17" s="20"/>
      <c r="CN17" s="19"/>
      <c r="CO17" s="20"/>
      <c r="CP17" s="23"/>
      <c r="CQ17" s="23"/>
      <c r="CR17" s="23"/>
      <c r="CS17" s="23"/>
      <c r="CT17" s="23"/>
      <c r="CU17" s="23"/>
      <c r="CV17" s="23"/>
      <c r="CW17" s="109"/>
      <c r="CX17" s="110"/>
      <c r="CY17" s="114"/>
      <c r="CZ17" s="109"/>
      <c r="DA17" s="110"/>
      <c r="DB17" s="117"/>
      <c r="DC17" s="23"/>
      <c r="DD17" s="23"/>
      <c r="DE17" s="32"/>
      <c r="DF17" s="33"/>
      <c r="DG17" s="19"/>
      <c r="DH17" s="20"/>
      <c r="DI17" s="19"/>
      <c r="DJ17" s="20"/>
      <c r="DK17" s="19"/>
      <c r="DL17" s="20"/>
      <c r="DM17" s="19"/>
      <c r="DN17" s="20"/>
      <c r="DO17" s="23"/>
      <c r="DP17" s="23"/>
      <c r="DQ17" s="23"/>
      <c r="DR17" s="23"/>
      <c r="DS17" s="23"/>
      <c r="DT17" s="23"/>
      <c r="DU17" s="23"/>
      <c r="DV17" s="109"/>
      <c r="DW17" s="110"/>
      <c r="DX17" s="114"/>
      <c r="DY17" s="109"/>
      <c r="DZ17" s="110"/>
      <c r="EA17" s="117"/>
      <c r="EB17" s="23"/>
      <c r="EC17" s="23"/>
      <c r="ED17" s="32"/>
      <c r="EE17" s="33"/>
      <c r="EF17" s="19"/>
      <c r="EG17" s="20"/>
      <c r="EH17" s="19"/>
      <c r="EI17" s="20"/>
      <c r="EJ17" s="19"/>
      <c r="EK17" s="20"/>
      <c r="EL17" s="19"/>
      <c r="EM17" s="20"/>
      <c r="EN17" s="23"/>
      <c r="EO17" s="23"/>
      <c r="EP17" s="23"/>
      <c r="EQ17" s="23"/>
      <c r="ER17" s="23"/>
      <c r="ES17" s="23"/>
      <c r="ET17" s="23"/>
      <c r="EU17" s="109"/>
      <c r="EV17" s="110"/>
      <c r="EW17" s="114"/>
      <c r="EX17" s="109"/>
      <c r="EY17" s="110"/>
      <c r="EZ17" s="117"/>
      <c r="FA17" s="23"/>
      <c r="FB17" s="23"/>
      <c r="FC17" s="32"/>
      <c r="FD17" s="33"/>
      <c r="FE17" s="19"/>
      <c r="FF17" s="20"/>
      <c r="FG17" s="19"/>
      <c r="FH17" s="20"/>
      <c r="FI17" s="19"/>
      <c r="FJ17" s="20"/>
      <c r="FK17" s="19"/>
      <c r="FL17" s="20"/>
      <c r="FM17" s="23"/>
      <c r="FN17" s="23"/>
      <c r="FO17" s="23"/>
      <c r="FP17" s="23"/>
      <c r="FQ17" s="23"/>
      <c r="FR17" s="23"/>
      <c r="FS17" s="23"/>
    </row>
    <row r="18" spans="1:175" ht="16.5" thickBot="1" x14ac:dyDescent="0.4">
      <c r="A18" s="111"/>
      <c r="B18" s="112"/>
      <c r="C18" s="115"/>
      <c r="D18" s="111"/>
      <c r="E18" s="112"/>
      <c r="F18" s="118"/>
      <c r="G18" s="23"/>
      <c r="H18" s="23"/>
      <c r="I18" s="34"/>
      <c r="J18" s="35"/>
      <c r="K18" s="21"/>
      <c r="L18" s="22"/>
      <c r="M18" s="21"/>
      <c r="N18" s="22"/>
      <c r="O18" s="21"/>
      <c r="P18" s="22"/>
      <c r="Q18" s="21"/>
      <c r="R18" s="22"/>
      <c r="S18" s="23"/>
      <c r="T18" s="23"/>
      <c r="U18" s="23"/>
      <c r="V18" s="23"/>
      <c r="W18" s="23"/>
      <c r="X18" s="23"/>
      <c r="Y18" s="23"/>
      <c r="Z18" s="111"/>
      <c r="AA18" s="112"/>
      <c r="AB18" s="115"/>
      <c r="AC18" s="111"/>
      <c r="AD18" s="112"/>
      <c r="AE18" s="118"/>
      <c r="AF18" s="23"/>
      <c r="AG18" s="23"/>
      <c r="AH18" s="34"/>
      <c r="AI18" s="35"/>
      <c r="AJ18" s="21"/>
      <c r="AK18" s="22"/>
      <c r="AL18" s="21"/>
      <c r="AM18" s="22"/>
      <c r="AN18" s="21"/>
      <c r="AO18" s="22"/>
      <c r="AP18" s="21"/>
      <c r="AQ18" s="22"/>
      <c r="AR18" s="23"/>
      <c r="AS18" s="23"/>
      <c r="AT18" s="23"/>
      <c r="AU18" s="23"/>
      <c r="AV18" s="23"/>
      <c r="AW18" s="23"/>
      <c r="AX18" s="23"/>
      <c r="AY18" s="111"/>
      <c r="AZ18" s="112"/>
      <c r="BA18" s="115"/>
      <c r="BB18" s="111"/>
      <c r="BC18" s="112"/>
      <c r="BD18" s="118"/>
      <c r="BE18" s="23"/>
      <c r="BF18" s="23"/>
      <c r="BG18" s="34"/>
      <c r="BH18" s="35"/>
      <c r="BI18" s="21"/>
      <c r="BJ18" s="22"/>
      <c r="BK18" s="21"/>
      <c r="BL18" s="22"/>
      <c r="BM18" s="21"/>
      <c r="BN18" s="22"/>
      <c r="BO18" s="21"/>
      <c r="BP18" s="22"/>
      <c r="BQ18" s="23"/>
      <c r="BR18" s="23"/>
      <c r="BS18" s="23"/>
      <c r="BT18" s="23"/>
      <c r="BU18" s="23"/>
      <c r="BV18" s="23"/>
      <c r="BW18" s="23"/>
      <c r="BX18" s="111"/>
      <c r="BY18" s="112"/>
      <c r="BZ18" s="115"/>
      <c r="CA18" s="111"/>
      <c r="CB18" s="112"/>
      <c r="CC18" s="118"/>
      <c r="CD18" s="23"/>
      <c r="CE18" s="23"/>
      <c r="CF18" s="34"/>
      <c r="CG18" s="35"/>
      <c r="CH18" s="21"/>
      <c r="CI18" s="22"/>
      <c r="CJ18" s="21"/>
      <c r="CK18" s="22"/>
      <c r="CL18" s="21"/>
      <c r="CM18" s="22"/>
      <c r="CN18" s="21"/>
      <c r="CO18" s="22"/>
      <c r="CP18" s="23"/>
      <c r="CQ18" s="23"/>
      <c r="CR18" s="23"/>
      <c r="CS18" s="23"/>
      <c r="CT18" s="23"/>
      <c r="CU18" s="23"/>
      <c r="CV18" s="23"/>
      <c r="CW18" s="111"/>
      <c r="CX18" s="112"/>
      <c r="CY18" s="115"/>
      <c r="CZ18" s="111"/>
      <c r="DA18" s="112"/>
      <c r="DB18" s="118"/>
      <c r="DC18" s="23"/>
      <c r="DD18" s="23"/>
      <c r="DE18" s="34"/>
      <c r="DF18" s="35"/>
      <c r="DG18" s="21"/>
      <c r="DH18" s="22"/>
      <c r="DI18" s="21"/>
      <c r="DJ18" s="22"/>
      <c r="DK18" s="21"/>
      <c r="DL18" s="22"/>
      <c r="DM18" s="21"/>
      <c r="DN18" s="22"/>
      <c r="DO18" s="23"/>
      <c r="DP18" s="23"/>
      <c r="DQ18" s="23"/>
      <c r="DR18" s="23"/>
      <c r="DS18" s="23"/>
      <c r="DT18" s="23"/>
      <c r="DU18" s="23"/>
      <c r="DV18" s="111"/>
      <c r="DW18" s="112"/>
      <c r="DX18" s="115"/>
      <c r="DY18" s="111"/>
      <c r="DZ18" s="112"/>
      <c r="EA18" s="118"/>
      <c r="EB18" s="23"/>
      <c r="EC18" s="23"/>
      <c r="ED18" s="34"/>
      <c r="EE18" s="35"/>
      <c r="EF18" s="21"/>
      <c r="EG18" s="22"/>
      <c r="EH18" s="21"/>
      <c r="EI18" s="22"/>
      <c r="EJ18" s="21"/>
      <c r="EK18" s="22"/>
      <c r="EL18" s="21"/>
      <c r="EM18" s="22"/>
      <c r="EN18" s="23"/>
      <c r="EO18" s="23"/>
      <c r="EP18" s="23"/>
      <c r="EQ18" s="23"/>
      <c r="ER18" s="23"/>
      <c r="ES18" s="23"/>
      <c r="ET18" s="23"/>
      <c r="EU18" s="111"/>
      <c r="EV18" s="112"/>
      <c r="EW18" s="115"/>
      <c r="EX18" s="111"/>
      <c r="EY18" s="112"/>
      <c r="EZ18" s="118"/>
      <c r="FA18" s="23"/>
      <c r="FB18" s="23"/>
      <c r="FC18" s="34"/>
      <c r="FD18" s="35"/>
      <c r="FE18" s="21"/>
      <c r="FF18" s="22"/>
      <c r="FG18" s="21"/>
      <c r="FH18" s="22"/>
      <c r="FI18" s="21"/>
      <c r="FJ18" s="22"/>
      <c r="FK18" s="21"/>
      <c r="FL18" s="22"/>
      <c r="FM18" s="23"/>
      <c r="FN18" s="23"/>
      <c r="FO18" s="23"/>
      <c r="FP18" s="23"/>
      <c r="FQ18" s="23"/>
      <c r="FR18" s="23"/>
      <c r="FS18" s="23"/>
    </row>
    <row r="19" spans="1:175" ht="16" x14ac:dyDescent="0.35">
      <c r="A19" s="107" t="s">
        <v>27</v>
      </c>
      <c r="B19" s="108"/>
      <c r="C19" s="113" t="s">
        <v>28</v>
      </c>
      <c r="D19" s="107" t="s">
        <v>55</v>
      </c>
      <c r="E19" s="108"/>
      <c r="F19" s="116">
        <f>VLOOKUP(C19,DINNERTABLE,2,FALSE)</f>
        <v>450</v>
      </c>
      <c r="G19" s="23"/>
      <c r="H19" s="23"/>
      <c r="I19" s="30" t="s">
        <v>12</v>
      </c>
      <c r="J19" s="31"/>
      <c r="K19" s="17">
        <f>VLOOKUP(I19,METVALUE,2,FALSE)</f>
        <v>4</v>
      </c>
      <c r="L19" s="18"/>
      <c r="M19" s="17">
        <v>0.5</v>
      </c>
      <c r="N19" s="18"/>
      <c r="O19" s="17">
        <f>D3*K19</f>
        <v>744.60931813121954</v>
      </c>
      <c r="P19" s="18"/>
      <c r="Q19" s="17">
        <f>M19*O19</f>
        <v>372.30465906560977</v>
      </c>
      <c r="R19" s="18"/>
      <c r="S19" s="23"/>
      <c r="T19" s="23"/>
      <c r="U19" s="23"/>
      <c r="V19" s="23"/>
      <c r="W19" s="23"/>
      <c r="X19" s="23"/>
      <c r="Y19" s="23"/>
      <c r="Z19" s="107" t="s">
        <v>27</v>
      </c>
      <c r="AA19" s="108"/>
      <c r="AB19" s="113" t="s">
        <v>29</v>
      </c>
      <c r="AC19" s="107" t="s">
        <v>55</v>
      </c>
      <c r="AD19" s="108"/>
      <c r="AE19" s="116">
        <f>VLOOKUP(AB19,DINNERTABLE,2,FALSE)</f>
        <v>500</v>
      </c>
      <c r="AF19" s="23"/>
      <c r="AG19" s="23"/>
      <c r="AH19" s="30" t="s">
        <v>12</v>
      </c>
      <c r="AI19" s="31"/>
      <c r="AJ19" s="17">
        <f>VLOOKUP(AH19,METVALUE,2,FALSE)</f>
        <v>4</v>
      </c>
      <c r="AK19" s="18"/>
      <c r="AL19" s="17">
        <v>0.5</v>
      </c>
      <c r="AM19" s="18"/>
      <c r="AN19" s="17">
        <f>AC3*AJ19</f>
        <v>744.60931813121954</v>
      </c>
      <c r="AO19" s="18"/>
      <c r="AP19" s="17">
        <f>AL19*AN19</f>
        <v>372.30465906560977</v>
      </c>
      <c r="AQ19" s="18"/>
      <c r="AR19" s="23"/>
      <c r="AS19" s="23"/>
      <c r="AT19" s="23"/>
      <c r="AU19" s="23"/>
      <c r="AV19" s="23"/>
      <c r="AW19" s="23"/>
      <c r="AX19" s="23"/>
      <c r="AY19" s="107" t="s">
        <v>27</v>
      </c>
      <c r="AZ19" s="108"/>
      <c r="BA19" s="113" t="s">
        <v>30</v>
      </c>
      <c r="BB19" s="107" t="s">
        <v>55</v>
      </c>
      <c r="BC19" s="108"/>
      <c r="BD19" s="116">
        <f>VLOOKUP(BA19,DINNERTABLE,2,FALSE)</f>
        <v>480</v>
      </c>
      <c r="BE19" s="23"/>
      <c r="BF19" s="23"/>
      <c r="BG19" s="30" t="s">
        <v>12</v>
      </c>
      <c r="BH19" s="31"/>
      <c r="BI19" s="17">
        <f>VLOOKUP(BG19,METVALUE,2,FALSE)</f>
        <v>4</v>
      </c>
      <c r="BJ19" s="18"/>
      <c r="BK19" s="17">
        <v>1</v>
      </c>
      <c r="BL19" s="18"/>
      <c r="BM19" s="17">
        <f>BB3*BI19</f>
        <v>744.60931813121954</v>
      </c>
      <c r="BN19" s="18"/>
      <c r="BO19" s="17">
        <f>BK19*BM19</f>
        <v>744.60931813121954</v>
      </c>
      <c r="BP19" s="18"/>
      <c r="BQ19" s="23"/>
      <c r="BR19" s="23"/>
      <c r="BS19" s="23"/>
      <c r="BT19" s="23"/>
      <c r="BU19" s="23"/>
      <c r="BV19" s="23"/>
      <c r="BW19" s="23"/>
      <c r="BX19" s="107" t="s">
        <v>27</v>
      </c>
      <c r="BY19" s="108"/>
      <c r="BZ19" s="113" t="s">
        <v>31</v>
      </c>
      <c r="CA19" s="107" t="s">
        <v>55</v>
      </c>
      <c r="CB19" s="108"/>
      <c r="CC19" s="116">
        <f>VLOOKUP(BZ19,DINNERTABLE,2,FALSE)</f>
        <v>470</v>
      </c>
      <c r="CD19" s="23"/>
      <c r="CE19" s="23"/>
      <c r="CF19" s="30" t="s">
        <v>12</v>
      </c>
      <c r="CG19" s="31"/>
      <c r="CH19" s="17">
        <f>VLOOKUP(CF19,METVALUE,2,FALSE)</f>
        <v>4</v>
      </c>
      <c r="CI19" s="18"/>
      <c r="CJ19" s="17">
        <v>0</v>
      </c>
      <c r="CK19" s="18"/>
      <c r="CL19" s="17">
        <f>CA3*CH19</f>
        <v>744.60931813121954</v>
      </c>
      <c r="CM19" s="18"/>
      <c r="CN19" s="17">
        <f>CJ19*CL19</f>
        <v>0</v>
      </c>
      <c r="CO19" s="18"/>
      <c r="CP19" s="23"/>
      <c r="CQ19" s="23"/>
      <c r="CR19" s="23"/>
      <c r="CS19" s="23"/>
      <c r="CT19" s="23"/>
      <c r="CU19" s="23"/>
      <c r="CV19" s="23"/>
      <c r="CW19" s="107" t="s">
        <v>27</v>
      </c>
      <c r="CX19" s="108"/>
      <c r="CY19" s="113" t="s">
        <v>32</v>
      </c>
      <c r="CZ19" s="107" t="s">
        <v>55</v>
      </c>
      <c r="DA19" s="108"/>
      <c r="DB19" s="116">
        <f>VLOOKUP(CY19,DINNERTABLE,2,FALSE)</f>
        <v>520</v>
      </c>
      <c r="DC19" s="23"/>
      <c r="DD19" s="23"/>
      <c r="DE19" s="30" t="s">
        <v>12</v>
      </c>
      <c r="DF19" s="31"/>
      <c r="DG19" s="17">
        <f>VLOOKUP(DE19,METVALUE,2,FALSE)</f>
        <v>4</v>
      </c>
      <c r="DH19" s="18"/>
      <c r="DI19" s="17">
        <v>0.25</v>
      </c>
      <c r="DJ19" s="18"/>
      <c r="DK19" s="17">
        <f>CZ3*DG19</f>
        <v>744.60931813121954</v>
      </c>
      <c r="DL19" s="18"/>
      <c r="DM19" s="17">
        <f>DI19*DK19</f>
        <v>186.15232953280488</v>
      </c>
      <c r="DN19" s="18"/>
      <c r="DO19" s="23"/>
      <c r="DP19" s="23"/>
      <c r="DQ19" s="23"/>
      <c r="DR19" s="23"/>
      <c r="DS19" s="23"/>
      <c r="DT19" s="23"/>
      <c r="DU19" s="23"/>
      <c r="DV19" s="107" t="s">
        <v>27</v>
      </c>
      <c r="DW19" s="108"/>
      <c r="DX19" s="113" t="s">
        <v>28</v>
      </c>
      <c r="DY19" s="107" t="s">
        <v>55</v>
      </c>
      <c r="DZ19" s="108"/>
      <c r="EA19" s="116">
        <f>VLOOKUP(DX19,DINNERTABLE,2,FALSE)</f>
        <v>450</v>
      </c>
      <c r="EB19" s="23"/>
      <c r="EC19" s="23"/>
      <c r="ED19" s="30" t="s">
        <v>12</v>
      </c>
      <c r="EE19" s="31"/>
      <c r="EF19" s="17">
        <f>VLOOKUP(ED19,METVALUE,2,FALSE)</f>
        <v>4</v>
      </c>
      <c r="EG19" s="18"/>
      <c r="EH19" s="17">
        <v>1</v>
      </c>
      <c r="EI19" s="18"/>
      <c r="EJ19" s="17">
        <f>DY3*EF19</f>
        <v>744.60931813121954</v>
      </c>
      <c r="EK19" s="18"/>
      <c r="EL19" s="17">
        <f>EH19*EJ19</f>
        <v>744.60931813121954</v>
      </c>
      <c r="EM19" s="18"/>
      <c r="EN19" s="23"/>
      <c r="EO19" s="23"/>
      <c r="EP19" s="23"/>
      <c r="EQ19" s="23"/>
      <c r="ER19" s="23"/>
      <c r="ES19" s="23"/>
      <c r="ET19" s="23"/>
      <c r="EU19" s="107" t="s">
        <v>27</v>
      </c>
      <c r="EV19" s="108"/>
      <c r="EW19" s="113" t="s">
        <v>28</v>
      </c>
      <c r="EX19" s="107" t="s">
        <v>55</v>
      </c>
      <c r="EY19" s="108"/>
      <c r="EZ19" s="116">
        <f>VLOOKUP(EW19,DINNERTABLE,2,FALSE)</f>
        <v>450</v>
      </c>
      <c r="FA19" s="23"/>
      <c r="FB19" s="23"/>
      <c r="FC19" s="30" t="s">
        <v>12</v>
      </c>
      <c r="FD19" s="31"/>
      <c r="FE19" s="17">
        <f>VLOOKUP(FC19,METVALUE,2,FALSE)</f>
        <v>4</v>
      </c>
      <c r="FF19" s="18"/>
      <c r="FG19" s="17">
        <v>1</v>
      </c>
      <c r="FH19" s="18"/>
      <c r="FI19" s="17">
        <f>EX3*FE19</f>
        <v>744.60931813121954</v>
      </c>
      <c r="FJ19" s="18"/>
      <c r="FK19" s="17">
        <f>FG19*FI19</f>
        <v>744.60931813121954</v>
      </c>
      <c r="FL19" s="18"/>
      <c r="FM19" s="23"/>
      <c r="FN19" s="23"/>
      <c r="FO19" s="23"/>
      <c r="FP19" s="23"/>
      <c r="FQ19" s="23"/>
      <c r="FR19" s="23"/>
      <c r="FS19" s="23"/>
    </row>
    <row r="20" spans="1:175" ht="16" x14ac:dyDescent="0.35">
      <c r="A20" s="109"/>
      <c r="B20" s="110"/>
      <c r="C20" s="114"/>
      <c r="D20" s="109"/>
      <c r="E20" s="110"/>
      <c r="F20" s="117"/>
      <c r="G20" s="23"/>
      <c r="H20" s="23"/>
      <c r="I20" s="32"/>
      <c r="J20" s="33"/>
      <c r="K20" s="19"/>
      <c r="L20" s="20"/>
      <c r="M20" s="19"/>
      <c r="N20" s="20"/>
      <c r="O20" s="19"/>
      <c r="P20" s="20"/>
      <c r="Q20" s="19"/>
      <c r="R20" s="20"/>
      <c r="S20" s="23"/>
      <c r="T20" s="23"/>
      <c r="U20" s="23"/>
      <c r="V20" s="23"/>
      <c r="W20" s="23"/>
      <c r="X20" s="23"/>
      <c r="Y20" s="23"/>
      <c r="Z20" s="109"/>
      <c r="AA20" s="110"/>
      <c r="AB20" s="114"/>
      <c r="AC20" s="109"/>
      <c r="AD20" s="110"/>
      <c r="AE20" s="117"/>
      <c r="AF20" s="23"/>
      <c r="AG20" s="23"/>
      <c r="AH20" s="32"/>
      <c r="AI20" s="33"/>
      <c r="AJ20" s="19"/>
      <c r="AK20" s="20"/>
      <c r="AL20" s="19"/>
      <c r="AM20" s="20"/>
      <c r="AN20" s="19"/>
      <c r="AO20" s="20"/>
      <c r="AP20" s="19"/>
      <c r="AQ20" s="20"/>
      <c r="AR20" s="23"/>
      <c r="AS20" s="23"/>
      <c r="AT20" s="23"/>
      <c r="AU20" s="23"/>
      <c r="AV20" s="23"/>
      <c r="AW20" s="23"/>
      <c r="AX20" s="23"/>
      <c r="AY20" s="109"/>
      <c r="AZ20" s="110"/>
      <c r="BA20" s="114"/>
      <c r="BB20" s="109"/>
      <c r="BC20" s="110"/>
      <c r="BD20" s="117"/>
      <c r="BE20" s="23"/>
      <c r="BF20" s="23"/>
      <c r="BG20" s="32"/>
      <c r="BH20" s="33"/>
      <c r="BI20" s="19"/>
      <c r="BJ20" s="20"/>
      <c r="BK20" s="19"/>
      <c r="BL20" s="20"/>
      <c r="BM20" s="19"/>
      <c r="BN20" s="20"/>
      <c r="BO20" s="19"/>
      <c r="BP20" s="20"/>
      <c r="BQ20" s="23"/>
      <c r="BR20" s="23"/>
      <c r="BS20" s="23"/>
      <c r="BT20" s="23"/>
      <c r="BU20" s="23"/>
      <c r="BV20" s="23"/>
      <c r="BW20" s="23"/>
      <c r="BX20" s="109"/>
      <c r="BY20" s="110"/>
      <c r="BZ20" s="114"/>
      <c r="CA20" s="109"/>
      <c r="CB20" s="110"/>
      <c r="CC20" s="117"/>
      <c r="CD20" s="23"/>
      <c r="CE20" s="23"/>
      <c r="CF20" s="32"/>
      <c r="CG20" s="33"/>
      <c r="CH20" s="19"/>
      <c r="CI20" s="20"/>
      <c r="CJ20" s="19"/>
      <c r="CK20" s="20"/>
      <c r="CL20" s="19"/>
      <c r="CM20" s="20"/>
      <c r="CN20" s="19"/>
      <c r="CO20" s="20"/>
      <c r="CP20" s="23"/>
      <c r="CQ20" s="23"/>
      <c r="CR20" s="23"/>
      <c r="CS20" s="23"/>
      <c r="CT20" s="23"/>
      <c r="CU20" s="23"/>
      <c r="CV20" s="23"/>
      <c r="CW20" s="109"/>
      <c r="CX20" s="110"/>
      <c r="CY20" s="114"/>
      <c r="CZ20" s="109"/>
      <c r="DA20" s="110"/>
      <c r="DB20" s="117"/>
      <c r="DC20" s="23"/>
      <c r="DD20" s="23"/>
      <c r="DE20" s="32"/>
      <c r="DF20" s="33"/>
      <c r="DG20" s="19"/>
      <c r="DH20" s="20"/>
      <c r="DI20" s="19"/>
      <c r="DJ20" s="20"/>
      <c r="DK20" s="19"/>
      <c r="DL20" s="20"/>
      <c r="DM20" s="19"/>
      <c r="DN20" s="20"/>
      <c r="DO20" s="23"/>
      <c r="DP20" s="23"/>
      <c r="DQ20" s="23"/>
      <c r="DR20" s="23"/>
      <c r="DS20" s="23"/>
      <c r="DT20" s="23"/>
      <c r="DU20" s="23"/>
      <c r="DV20" s="109"/>
      <c r="DW20" s="110"/>
      <c r="DX20" s="114"/>
      <c r="DY20" s="109"/>
      <c r="DZ20" s="110"/>
      <c r="EA20" s="117"/>
      <c r="EB20" s="23"/>
      <c r="EC20" s="23"/>
      <c r="ED20" s="32"/>
      <c r="EE20" s="33"/>
      <c r="EF20" s="19"/>
      <c r="EG20" s="20"/>
      <c r="EH20" s="19"/>
      <c r="EI20" s="20"/>
      <c r="EJ20" s="19"/>
      <c r="EK20" s="20"/>
      <c r="EL20" s="19"/>
      <c r="EM20" s="20"/>
      <c r="EN20" s="23"/>
      <c r="EO20" s="23"/>
      <c r="EP20" s="23"/>
      <c r="EQ20" s="23"/>
      <c r="ER20" s="23"/>
      <c r="ES20" s="23"/>
      <c r="ET20" s="23"/>
      <c r="EU20" s="109"/>
      <c r="EV20" s="110"/>
      <c r="EW20" s="114"/>
      <c r="EX20" s="109"/>
      <c r="EY20" s="110"/>
      <c r="EZ20" s="117"/>
      <c r="FA20" s="23"/>
      <c r="FB20" s="23"/>
      <c r="FC20" s="32"/>
      <c r="FD20" s="33"/>
      <c r="FE20" s="19"/>
      <c r="FF20" s="20"/>
      <c r="FG20" s="19"/>
      <c r="FH20" s="20"/>
      <c r="FI20" s="19"/>
      <c r="FJ20" s="20"/>
      <c r="FK20" s="19"/>
      <c r="FL20" s="20"/>
      <c r="FM20" s="23"/>
      <c r="FN20" s="23"/>
      <c r="FO20" s="23"/>
      <c r="FP20" s="23"/>
      <c r="FQ20" s="23"/>
      <c r="FR20" s="23"/>
      <c r="FS20" s="23"/>
    </row>
    <row r="21" spans="1:175" ht="16.5" thickBot="1" x14ac:dyDescent="0.4">
      <c r="A21" s="109"/>
      <c r="B21" s="110"/>
      <c r="C21" s="114"/>
      <c r="D21" s="109"/>
      <c r="E21" s="110"/>
      <c r="F21" s="117"/>
      <c r="G21" s="23"/>
      <c r="H21" s="23"/>
      <c r="I21" s="34"/>
      <c r="J21" s="35"/>
      <c r="K21" s="21"/>
      <c r="L21" s="22"/>
      <c r="M21" s="21"/>
      <c r="N21" s="22"/>
      <c r="O21" s="21"/>
      <c r="P21" s="22"/>
      <c r="Q21" s="21"/>
      <c r="R21" s="22"/>
      <c r="S21" s="23"/>
      <c r="T21" s="23"/>
      <c r="U21" s="23"/>
      <c r="V21" s="23"/>
      <c r="W21" s="23"/>
      <c r="X21" s="23"/>
      <c r="Y21" s="23"/>
      <c r="Z21" s="109"/>
      <c r="AA21" s="110"/>
      <c r="AB21" s="114"/>
      <c r="AC21" s="109"/>
      <c r="AD21" s="110"/>
      <c r="AE21" s="117"/>
      <c r="AF21" s="23"/>
      <c r="AG21" s="23"/>
      <c r="AH21" s="34"/>
      <c r="AI21" s="35"/>
      <c r="AJ21" s="21"/>
      <c r="AK21" s="22"/>
      <c r="AL21" s="21"/>
      <c r="AM21" s="22"/>
      <c r="AN21" s="21"/>
      <c r="AO21" s="22"/>
      <c r="AP21" s="21"/>
      <c r="AQ21" s="22"/>
      <c r="AR21" s="23"/>
      <c r="AS21" s="23"/>
      <c r="AT21" s="23"/>
      <c r="AU21" s="23"/>
      <c r="AV21" s="23"/>
      <c r="AW21" s="23"/>
      <c r="AX21" s="23"/>
      <c r="AY21" s="109"/>
      <c r="AZ21" s="110"/>
      <c r="BA21" s="114"/>
      <c r="BB21" s="109"/>
      <c r="BC21" s="110"/>
      <c r="BD21" s="117"/>
      <c r="BE21" s="23"/>
      <c r="BF21" s="23"/>
      <c r="BG21" s="34"/>
      <c r="BH21" s="35"/>
      <c r="BI21" s="21"/>
      <c r="BJ21" s="22"/>
      <c r="BK21" s="21"/>
      <c r="BL21" s="22"/>
      <c r="BM21" s="21"/>
      <c r="BN21" s="22"/>
      <c r="BO21" s="21"/>
      <c r="BP21" s="22"/>
      <c r="BQ21" s="23"/>
      <c r="BR21" s="23"/>
      <c r="BS21" s="23"/>
      <c r="BT21" s="23"/>
      <c r="BU21" s="23"/>
      <c r="BV21" s="23"/>
      <c r="BW21" s="23"/>
      <c r="BX21" s="109"/>
      <c r="BY21" s="110"/>
      <c r="BZ21" s="114"/>
      <c r="CA21" s="109"/>
      <c r="CB21" s="110"/>
      <c r="CC21" s="117"/>
      <c r="CD21" s="23"/>
      <c r="CE21" s="23"/>
      <c r="CF21" s="34"/>
      <c r="CG21" s="35"/>
      <c r="CH21" s="21"/>
      <c r="CI21" s="22"/>
      <c r="CJ21" s="21"/>
      <c r="CK21" s="22"/>
      <c r="CL21" s="21"/>
      <c r="CM21" s="22"/>
      <c r="CN21" s="21"/>
      <c r="CO21" s="22"/>
      <c r="CP21" s="23"/>
      <c r="CQ21" s="23"/>
      <c r="CR21" s="23"/>
      <c r="CS21" s="23"/>
      <c r="CT21" s="23"/>
      <c r="CU21" s="23"/>
      <c r="CV21" s="23"/>
      <c r="CW21" s="109"/>
      <c r="CX21" s="110"/>
      <c r="CY21" s="114"/>
      <c r="CZ21" s="109"/>
      <c r="DA21" s="110"/>
      <c r="DB21" s="117"/>
      <c r="DC21" s="23"/>
      <c r="DD21" s="23"/>
      <c r="DE21" s="34"/>
      <c r="DF21" s="35"/>
      <c r="DG21" s="21"/>
      <c r="DH21" s="22"/>
      <c r="DI21" s="21"/>
      <c r="DJ21" s="22"/>
      <c r="DK21" s="21"/>
      <c r="DL21" s="22"/>
      <c r="DM21" s="21"/>
      <c r="DN21" s="22"/>
      <c r="DO21" s="23"/>
      <c r="DP21" s="23"/>
      <c r="DQ21" s="23"/>
      <c r="DR21" s="23"/>
      <c r="DS21" s="23"/>
      <c r="DT21" s="23"/>
      <c r="DU21" s="23"/>
      <c r="DV21" s="109"/>
      <c r="DW21" s="110"/>
      <c r="DX21" s="114"/>
      <c r="DY21" s="109"/>
      <c r="DZ21" s="110"/>
      <c r="EA21" s="117"/>
      <c r="EB21" s="23"/>
      <c r="EC21" s="23"/>
      <c r="ED21" s="34"/>
      <c r="EE21" s="35"/>
      <c r="EF21" s="21"/>
      <c r="EG21" s="22"/>
      <c r="EH21" s="21"/>
      <c r="EI21" s="22"/>
      <c r="EJ21" s="21"/>
      <c r="EK21" s="22"/>
      <c r="EL21" s="21"/>
      <c r="EM21" s="22"/>
      <c r="EN21" s="23"/>
      <c r="EO21" s="23"/>
      <c r="EP21" s="23"/>
      <c r="EQ21" s="23"/>
      <c r="ER21" s="23"/>
      <c r="ES21" s="23"/>
      <c r="ET21" s="23"/>
      <c r="EU21" s="109"/>
      <c r="EV21" s="110"/>
      <c r="EW21" s="114"/>
      <c r="EX21" s="109"/>
      <c r="EY21" s="110"/>
      <c r="EZ21" s="117"/>
      <c r="FA21" s="23"/>
      <c r="FB21" s="23"/>
      <c r="FC21" s="34"/>
      <c r="FD21" s="35"/>
      <c r="FE21" s="21"/>
      <c r="FF21" s="22"/>
      <c r="FG21" s="21"/>
      <c r="FH21" s="22"/>
      <c r="FI21" s="21"/>
      <c r="FJ21" s="22"/>
      <c r="FK21" s="21"/>
      <c r="FL21" s="22"/>
      <c r="FM21" s="23"/>
      <c r="FN21" s="23"/>
      <c r="FO21" s="23"/>
      <c r="FP21" s="23"/>
      <c r="FQ21" s="23"/>
      <c r="FR21" s="23"/>
      <c r="FS21" s="23"/>
    </row>
    <row r="22" spans="1:175" ht="16.5" thickBot="1" x14ac:dyDescent="0.4">
      <c r="A22" s="111"/>
      <c r="B22" s="112"/>
      <c r="C22" s="115"/>
      <c r="D22" s="111"/>
      <c r="E22" s="112"/>
      <c r="F22" s="118"/>
      <c r="G22" s="23"/>
      <c r="H22" s="23"/>
      <c r="I22" s="30" t="s">
        <v>14</v>
      </c>
      <c r="J22" s="31"/>
      <c r="K22" s="17">
        <f>VLOOKUP(I22,METVALUE,2,FALSE)</f>
        <v>9.8000000000000007</v>
      </c>
      <c r="L22" s="18"/>
      <c r="M22" s="17">
        <v>0.5</v>
      </c>
      <c r="N22" s="18"/>
      <c r="O22" s="17">
        <f>D3*K22</f>
        <v>1824.292829421488</v>
      </c>
      <c r="P22" s="18"/>
      <c r="Q22" s="17">
        <f>M22*O22</f>
        <v>912.14641471074401</v>
      </c>
      <c r="R22" s="18"/>
      <c r="S22" s="23"/>
      <c r="T22" s="23"/>
      <c r="U22" s="23"/>
      <c r="V22" s="23"/>
      <c r="W22" s="23"/>
      <c r="X22" s="23"/>
      <c r="Y22" s="23"/>
      <c r="Z22" s="111"/>
      <c r="AA22" s="112"/>
      <c r="AB22" s="115"/>
      <c r="AC22" s="111"/>
      <c r="AD22" s="112"/>
      <c r="AE22" s="118"/>
      <c r="AF22" s="23"/>
      <c r="AG22" s="23"/>
      <c r="AH22" s="30" t="s">
        <v>14</v>
      </c>
      <c r="AI22" s="31"/>
      <c r="AJ22" s="17">
        <f>VLOOKUP(AH22,METVALUE,2,FALSE)</f>
        <v>9.8000000000000007</v>
      </c>
      <c r="AK22" s="18"/>
      <c r="AL22" s="17">
        <v>0.75</v>
      </c>
      <c r="AM22" s="18"/>
      <c r="AN22" s="17">
        <f>AC3*AJ22</f>
        <v>1824.292829421488</v>
      </c>
      <c r="AO22" s="18"/>
      <c r="AP22" s="17">
        <f>AL22*AN22</f>
        <v>1368.219622066116</v>
      </c>
      <c r="AQ22" s="18"/>
      <c r="AR22" s="23"/>
      <c r="AS22" s="23"/>
      <c r="AT22" s="23"/>
      <c r="AU22" s="23"/>
      <c r="AV22" s="23"/>
      <c r="AW22" s="23"/>
      <c r="AX22" s="23"/>
      <c r="AY22" s="111"/>
      <c r="AZ22" s="112"/>
      <c r="BA22" s="115"/>
      <c r="BB22" s="111"/>
      <c r="BC22" s="112"/>
      <c r="BD22" s="118"/>
      <c r="BE22" s="23"/>
      <c r="BF22" s="23"/>
      <c r="BG22" s="30" t="s">
        <v>14</v>
      </c>
      <c r="BH22" s="31"/>
      <c r="BI22" s="17">
        <f>VLOOKUP(BG22,METVALUE,2,FALSE)</f>
        <v>9.8000000000000007</v>
      </c>
      <c r="BJ22" s="18"/>
      <c r="BK22" s="17">
        <v>0.5</v>
      </c>
      <c r="BL22" s="18"/>
      <c r="BM22" s="17">
        <f>BB3*BI22</f>
        <v>1824.292829421488</v>
      </c>
      <c r="BN22" s="18"/>
      <c r="BO22" s="17">
        <f>BK22*BM22</f>
        <v>912.14641471074401</v>
      </c>
      <c r="BP22" s="18"/>
      <c r="BQ22" s="23"/>
      <c r="BR22" s="23"/>
      <c r="BS22" s="23"/>
      <c r="BT22" s="23"/>
      <c r="BU22" s="23"/>
      <c r="BV22" s="23"/>
      <c r="BW22" s="23"/>
      <c r="BX22" s="111"/>
      <c r="BY22" s="112"/>
      <c r="BZ22" s="115"/>
      <c r="CA22" s="111"/>
      <c r="CB22" s="112"/>
      <c r="CC22" s="118"/>
      <c r="CD22" s="23"/>
      <c r="CE22" s="23"/>
      <c r="CF22" s="30" t="s">
        <v>14</v>
      </c>
      <c r="CG22" s="31"/>
      <c r="CH22" s="17">
        <f>VLOOKUP(CF22,METVALUE,2,FALSE)</f>
        <v>9.8000000000000007</v>
      </c>
      <c r="CI22" s="18"/>
      <c r="CJ22" s="17">
        <v>0.75</v>
      </c>
      <c r="CK22" s="18"/>
      <c r="CL22" s="17">
        <f>CA3*CH22</f>
        <v>1824.292829421488</v>
      </c>
      <c r="CM22" s="18"/>
      <c r="CN22" s="17">
        <f>CJ22*CL22</f>
        <v>1368.219622066116</v>
      </c>
      <c r="CO22" s="18"/>
      <c r="CP22" s="23"/>
      <c r="CQ22" s="23"/>
      <c r="CR22" s="23"/>
      <c r="CS22" s="23"/>
      <c r="CT22" s="23"/>
      <c r="CU22" s="23"/>
      <c r="CV22" s="23"/>
      <c r="CW22" s="111"/>
      <c r="CX22" s="112"/>
      <c r="CY22" s="115"/>
      <c r="CZ22" s="111"/>
      <c r="DA22" s="112"/>
      <c r="DB22" s="118"/>
      <c r="DC22" s="23"/>
      <c r="DD22" s="23"/>
      <c r="DE22" s="30" t="s">
        <v>14</v>
      </c>
      <c r="DF22" s="31"/>
      <c r="DG22" s="17">
        <f>VLOOKUP(DE22,METVALUE,2,FALSE)</f>
        <v>9.8000000000000007</v>
      </c>
      <c r="DH22" s="18"/>
      <c r="DI22" s="17">
        <v>1</v>
      </c>
      <c r="DJ22" s="18"/>
      <c r="DK22" s="17">
        <f>CZ3*DG22</f>
        <v>1824.292829421488</v>
      </c>
      <c r="DL22" s="18"/>
      <c r="DM22" s="17">
        <f>DI22*DK22</f>
        <v>1824.292829421488</v>
      </c>
      <c r="DN22" s="18"/>
      <c r="DO22" s="23"/>
      <c r="DP22" s="23"/>
      <c r="DQ22" s="23"/>
      <c r="DR22" s="23"/>
      <c r="DS22" s="23"/>
      <c r="DT22" s="23"/>
      <c r="DU22" s="23"/>
      <c r="DV22" s="111"/>
      <c r="DW22" s="112"/>
      <c r="DX22" s="115"/>
      <c r="DY22" s="111"/>
      <c r="DZ22" s="112"/>
      <c r="EA22" s="118"/>
      <c r="EB22" s="23"/>
      <c r="EC22" s="23"/>
      <c r="ED22" s="30" t="s">
        <v>14</v>
      </c>
      <c r="EE22" s="31"/>
      <c r="EF22" s="17">
        <f>VLOOKUP(ED22,METVALUE,2,FALSE)</f>
        <v>9.8000000000000007</v>
      </c>
      <c r="EG22" s="18"/>
      <c r="EH22" s="17">
        <v>0</v>
      </c>
      <c r="EI22" s="18"/>
      <c r="EJ22" s="17">
        <f>DY3*EF22</f>
        <v>1824.292829421488</v>
      </c>
      <c r="EK22" s="18"/>
      <c r="EL22" s="17">
        <f>EH22*EJ22</f>
        <v>0</v>
      </c>
      <c r="EM22" s="18"/>
      <c r="EN22" s="23"/>
      <c r="EO22" s="23"/>
      <c r="EP22" s="23"/>
      <c r="EQ22" s="23"/>
      <c r="ER22" s="23"/>
      <c r="ES22" s="23"/>
      <c r="ET22" s="23"/>
      <c r="EU22" s="111"/>
      <c r="EV22" s="112"/>
      <c r="EW22" s="115"/>
      <c r="EX22" s="111"/>
      <c r="EY22" s="112"/>
      <c r="EZ22" s="118"/>
      <c r="FA22" s="23"/>
      <c r="FB22" s="23"/>
      <c r="FC22" s="30" t="s">
        <v>14</v>
      </c>
      <c r="FD22" s="31"/>
      <c r="FE22" s="17">
        <f>VLOOKUP(FC22,METVALUE,2,FALSE)</f>
        <v>9.8000000000000007</v>
      </c>
      <c r="FF22" s="18"/>
      <c r="FG22" s="17">
        <v>0.5</v>
      </c>
      <c r="FH22" s="18"/>
      <c r="FI22" s="17">
        <f>EX3*FE22</f>
        <v>1824.292829421488</v>
      </c>
      <c r="FJ22" s="18"/>
      <c r="FK22" s="17">
        <f>FG22*FI22</f>
        <v>912.14641471074401</v>
      </c>
      <c r="FL22" s="18"/>
      <c r="FM22" s="23"/>
      <c r="FN22" s="23"/>
      <c r="FO22" s="23"/>
      <c r="FP22" s="23"/>
      <c r="FQ22" s="23"/>
      <c r="FR22" s="23"/>
      <c r="FS22" s="23"/>
    </row>
    <row r="23" spans="1:175" ht="16" x14ac:dyDescent="0.35">
      <c r="A23" s="23"/>
      <c r="B23" s="23"/>
      <c r="C23" s="23"/>
      <c r="D23" s="23"/>
      <c r="E23" s="23"/>
      <c r="F23" s="23"/>
      <c r="G23" s="23"/>
      <c r="H23" s="23"/>
      <c r="I23" s="32"/>
      <c r="J23" s="33"/>
      <c r="K23" s="19"/>
      <c r="L23" s="20"/>
      <c r="M23" s="19"/>
      <c r="N23" s="20"/>
      <c r="O23" s="19"/>
      <c r="P23" s="20"/>
      <c r="Q23" s="19"/>
      <c r="R23" s="20"/>
      <c r="S23" s="23"/>
      <c r="T23" s="23"/>
      <c r="U23" s="23"/>
      <c r="V23" s="23"/>
      <c r="W23" s="23"/>
      <c r="X23" s="23"/>
      <c r="Y23" s="23"/>
      <c r="Z23" s="23"/>
      <c r="AA23" s="23"/>
      <c r="AB23" s="23"/>
      <c r="AC23" s="23"/>
      <c r="AD23" s="23"/>
      <c r="AE23" s="23"/>
      <c r="AF23" s="23"/>
      <c r="AG23" s="23"/>
      <c r="AH23" s="32"/>
      <c r="AI23" s="33"/>
      <c r="AJ23" s="19"/>
      <c r="AK23" s="20"/>
      <c r="AL23" s="19"/>
      <c r="AM23" s="20"/>
      <c r="AN23" s="19"/>
      <c r="AO23" s="20"/>
      <c r="AP23" s="19"/>
      <c r="AQ23" s="20"/>
      <c r="AR23" s="23"/>
      <c r="AS23" s="23"/>
      <c r="AT23" s="23"/>
      <c r="AU23" s="23"/>
      <c r="AV23" s="23"/>
      <c r="AW23" s="23"/>
      <c r="AX23" s="23"/>
      <c r="AY23" s="23"/>
      <c r="AZ23" s="23"/>
      <c r="BA23" s="23"/>
      <c r="BB23" s="23"/>
      <c r="BC23" s="23"/>
      <c r="BD23" s="23"/>
      <c r="BE23" s="23"/>
      <c r="BF23" s="23"/>
      <c r="BG23" s="32"/>
      <c r="BH23" s="33"/>
      <c r="BI23" s="19"/>
      <c r="BJ23" s="20"/>
      <c r="BK23" s="19"/>
      <c r="BL23" s="20"/>
      <c r="BM23" s="19"/>
      <c r="BN23" s="20"/>
      <c r="BO23" s="19"/>
      <c r="BP23" s="20"/>
      <c r="BQ23" s="23"/>
      <c r="BR23" s="23"/>
      <c r="BS23" s="23"/>
      <c r="BT23" s="23"/>
      <c r="BU23" s="23"/>
      <c r="BV23" s="23"/>
      <c r="BW23" s="23"/>
      <c r="BX23" s="23"/>
      <c r="BY23" s="23"/>
      <c r="BZ23" s="23"/>
      <c r="CA23" s="23"/>
      <c r="CB23" s="23"/>
      <c r="CC23" s="23"/>
      <c r="CD23" s="23"/>
      <c r="CE23" s="23"/>
      <c r="CF23" s="32"/>
      <c r="CG23" s="33"/>
      <c r="CH23" s="19"/>
      <c r="CI23" s="20"/>
      <c r="CJ23" s="19"/>
      <c r="CK23" s="20"/>
      <c r="CL23" s="19"/>
      <c r="CM23" s="20"/>
      <c r="CN23" s="19"/>
      <c r="CO23" s="20"/>
      <c r="CP23" s="23"/>
      <c r="CQ23" s="23"/>
      <c r="CR23" s="23"/>
      <c r="CS23" s="23"/>
      <c r="CT23" s="23"/>
      <c r="CU23" s="23"/>
      <c r="CV23" s="23"/>
      <c r="CW23" s="23"/>
      <c r="CX23" s="23"/>
      <c r="CY23" s="23"/>
      <c r="CZ23" s="23"/>
      <c r="DA23" s="23"/>
      <c r="DB23" s="23"/>
      <c r="DC23" s="23"/>
      <c r="DD23" s="23"/>
      <c r="DE23" s="32"/>
      <c r="DF23" s="33"/>
      <c r="DG23" s="19"/>
      <c r="DH23" s="20"/>
      <c r="DI23" s="19"/>
      <c r="DJ23" s="20"/>
      <c r="DK23" s="19"/>
      <c r="DL23" s="20"/>
      <c r="DM23" s="19"/>
      <c r="DN23" s="20"/>
      <c r="DO23" s="23"/>
      <c r="DP23" s="23"/>
      <c r="DQ23" s="23"/>
      <c r="DR23" s="23"/>
      <c r="DS23" s="23"/>
      <c r="DT23" s="23"/>
      <c r="DU23" s="23"/>
      <c r="DV23" s="23"/>
      <c r="DW23" s="23"/>
      <c r="DX23" s="23"/>
      <c r="DY23" s="23"/>
      <c r="DZ23" s="23"/>
      <c r="EA23" s="23"/>
      <c r="EB23" s="23"/>
      <c r="EC23" s="23"/>
      <c r="ED23" s="32"/>
      <c r="EE23" s="33"/>
      <c r="EF23" s="19"/>
      <c r="EG23" s="20"/>
      <c r="EH23" s="19"/>
      <c r="EI23" s="20"/>
      <c r="EJ23" s="19"/>
      <c r="EK23" s="20"/>
      <c r="EL23" s="19"/>
      <c r="EM23" s="20"/>
      <c r="EN23" s="23"/>
      <c r="EO23" s="23"/>
      <c r="EP23" s="23"/>
      <c r="EQ23" s="23"/>
      <c r="ER23" s="23"/>
      <c r="ES23" s="23"/>
      <c r="ET23" s="23"/>
      <c r="EU23" s="23"/>
      <c r="EV23" s="23"/>
      <c r="EW23" s="23"/>
      <c r="EX23" s="23"/>
      <c r="EY23" s="23"/>
      <c r="EZ23" s="23"/>
      <c r="FA23" s="23"/>
      <c r="FB23" s="23"/>
      <c r="FC23" s="32"/>
      <c r="FD23" s="33"/>
      <c r="FE23" s="19"/>
      <c r="FF23" s="20"/>
      <c r="FG23" s="19"/>
      <c r="FH23" s="20"/>
      <c r="FI23" s="19"/>
      <c r="FJ23" s="20"/>
      <c r="FK23" s="19"/>
      <c r="FL23" s="20"/>
      <c r="FM23" s="23"/>
      <c r="FN23" s="23"/>
      <c r="FO23" s="23"/>
      <c r="FP23" s="23"/>
      <c r="FQ23" s="23"/>
      <c r="FR23" s="23"/>
      <c r="FS23" s="23"/>
    </row>
    <row r="24" spans="1:175" ht="16.5" thickBot="1" x14ac:dyDescent="0.4">
      <c r="A24" s="23"/>
      <c r="B24" s="23"/>
      <c r="C24" s="23"/>
      <c r="D24" s="23"/>
      <c r="E24" s="23"/>
      <c r="F24" s="23"/>
      <c r="G24" s="23"/>
      <c r="H24" s="23"/>
      <c r="I24" s="34"/>
      <c r="J24" s="35"/>
      <c r="K24" s="21"/>
      <c r="L24" s="22"/>
      <c r="M24" s="21"/>
      <c r="N24" s="22"/>
      <c r="O24" s="21"/>
      <c r="P24" s="22"/>
      <c r="Q24" s="21"/>
      <c r="R24" s="22"/>
      <c r="S24" s="23"/>
      <c r="T24" s="23"/>
      <c r="U24" s="23"/>
      <c r="V24" s="23"/>
      <c r="W24" s="23"/>
      <c r="X24" s="23"/>
      <c r="Y24" s="23"/>
      <c r="Z24" s="23"/>
      <c r="AA24" s="23"/>
      <c r="AB24" s="23"/>
      <c r="AC24" s="23"/>
      <c r="AD24" s="23"/>
      <c r="AE24" s="23"/>
      <c r="AF24" s="23"/>
      <c r="AG24" s="23"/>
      <c r="AH24" s="34"/>
      <c r="AI24" s="35"/>
      <c r="AJ24" s="21"/>
      <c r="AK24" s="22"/>
      <c r="AL24" s="21"/>
      <c r="AM24" s="22"/>
      <c r="AN24" s="21"/>
      <c r="AO24" s="22"/>
      <c r="AP24" s="21"/>
      <c r="AQ24" s="22"/>
      <c r="AR24" s="23"/>
      <c r="AS24" s="23"/>
      <c r="AT24" s="23"/>
      <c r="AU24" s="23"/>
      <c r="AV24" s="23"/>
      <c r="AW24" s="23"/>
      <c r="AX24" s="23"/>
      <c r="AY24" s="23"/>
      <c r="AZ24" s="23"/>
      <c r="BA24" s="23"/>
      <c r="BB24" s="23"/>
      <c r="BC24" s="23"/>
      <c r="BD24" s="23"/>
      <c r="BE24" s="23"/>
      <c r="BF24" s="23"/>
      <c r="BG24" s="34"/>
      <c r="BH24" s="35"/>
      <c r="BI24" s="21"/>
      <c r="BJ24" s="22"/>
      <c r="BK24" s="21"/>
      <c r="BL24" s="22"/>
      <c r="BM24" s="21"/>
      <c r="BN24" s="22"/>
      <c r="BO24" s="21"/>
      <c r="BP24" s="22"/>
      <c r="BQ24" s="23"/>
      <c r="BR24" s="23"/>
      <c r="BS24" s="23"/>
      <c r="BT24" s="23"/>
      <c r="BU24" s="23"/>
      <c r="BV24" s="23"/>
      <c r="BW24" s="23"/>
      <c r="BX24" s="23"/>
      <c r="BY24" s="23"/>
      <c r="BZ24" s="23"/>
      <c r="CA24" s="23"/>
      <c r="CB24" s="23"/>
      <c r="CC24" s="23"/>
      <c r="CD24" s="23"/>
      <c r="CE24" s="23"/>
      <c r="CF24" s="34"/>
      <c r="CG24" s="35"/>
      <c r="CH24" s="21"/>
      <c r="CI24" s="22"/>
      <c r="CJ24" s="21"/>
      <c r="CK24" s="22"/>
      <c r="CL24" s="21"/>
      <c r="CM24" s="22"/>
      <c r="CN24" s="21"/>
      <c r="CO24" s="22"/>
      <c r="CP24" s="23"/>
      <c r="CQ24" s="23"/>
      <c r="CR24" s="23"/>
      <c r="CS24" s="23"/>
      <c r="CT24" s="23"/>
      <c r="CU24" s="23"/>
      <c r="CV24" s="23"/>
      <c r="CW24" s="23"/>
      <c r="CX24" s="23"/>
      <c r="CY24" s="23"/>
      <c r="CZ24" s="23"/>
      <c r="DA24" s="23"/>
      <c r="DB24" s="23"/>
      <c r="DC24" s="23"/>
      <c r="DD24" s="23"/>
      <c r="DE24" s="34"/>
      <c r="DF24" s="35"/>
      <c r="DG24" s="21"/>
      <c r="DH24" s="22"/>
      <c r="DI24" s="21"/>
      <c r="DJ24" s="22"/>
      <c r="DK24" s="21"/>
      <c r="DL24" s="22"/>
      <c r="DM24" s="21"/>
      <c r="DN24" s="22"/>
      <c r="DO24" s="23"/>
      <c r="DP24" s="23"/>
      <c r="DQ24" s="23"/>
      <c r="DR24" s="23"/>
      <c r="DS24" s="23"/>
      <c r="DT24" s="23"/>
      <c r="DU24" s="23"/>
      <c r="DV24" s="23"/>
      <c r="DW24" s="23"/>
      <c r="DX24" s="23"/>
      <c r="DY24" s="23"/>
      <c r="DZ24" s="23"/>
      <c r="EA24" s="23"/>
      <c r="EB24" s="23"/>
      <c r="EC24" s="23"/>
      <c r="ED24" s="34"/>
      <c r="EE24" s="35"/>
      <c r="EF24" s="21"/>
      <c r="EG24" s="22"/>
      <c r="EH24" s="21"/>
      <c r="EI24" s="22"/>
      <c r="EJ24" s="21"/>
      <c r="EK24" s="22"/>
      <c r="EL24" s="21"/>
      <c r="EM24" s="22"/>
      <c r="EN24" s="23"/>
      <c r="EO24" s="23"/>
      <c r="EP24" s="23"/>
      <c r="EQ24" s="23"/>
      <c r="ER24" s="23"/>
      <c r="ES24" s="23"/>
      <c r="ET24" s="23"/>
      <c r="EU24" s="23"/>
      <c r="EV24" s="23"/>
      <c r="EW24" s="23"/>
      <c r="EX24" s="23"/>
      <c r="EY24" s="23"/>
      <c r="EZ24" s="23"/>
      <c r="FA24" s="23"/>
      <c r="FB24" s="23"/>
      <c r="FC24" s="34"/>
      <c r="FD24" s="35"/>
      <c r="FE24" s="21"/>
      <c r="FF24" s="22"/>
      <c r="FG24" s="21"/>
      <c r="FH24" s="22"/>
      <c r="FI24" s="21"/>
      <c r="FJ24" s="22"/>
      <c r="FK24" s="21"/>
      <c r="FL24" s="22"/>
      <c r="FM24" s="23"/>
      <c r="FN24" s="23"/>
      <c r="FO24" s="23"/>
      <c r="FP24" s="23"/>
      <c r="FQ24" s="23"/>
      <c r="FR24" s="23"/>
      <c r="FS24" s="23"/>
    </row>
    <row r="25" spans="1:175" ht="16" x14ac:dyDescent="0.35">
      <c r="A25" s="23"/>
      <c r="B25" s="23"/>
      <c r="C25" s="23"/>
      <c r="D25" s="23"/>
      <c r="E25" s="23"/>
      <c r="F25" s="23"/>
      <c r="G25" s="23"/>
      <c r="H25" s="23"/>
      <c r="I25" s="30" t="s">
        <v>21</v>
      </c>
      <c r="J25" s="31"/>
      <c r="K25" s="17">
        <f>VLOOKUP(I25,METVALUE,2,FALSE)</f>
        <v>10</v>
      </c>
      <c r="L25" s="18"/>
      <c r="M25" s="17">
        <v>0.5</v>
      </c>
      <c r="N25" s="18"/>
      <c r="O25" s="17">
        <f>D3*K25</f>
        <v>1861.5232953280488</v>
      </c>
      <c r="P25" s="18"/>
      <c r="Q25" s="17">
        <f>M25*O25</f>
        <v>930.76164766402439</v>
      </c>
      <c r="R25" s="18"/>
      <c r="S25" s="23"/>
      <c r="T25" s="23"/>
      <c r="U25" s="23"/>
      <c r="V25" s="23"/>
      <c r="W25" s="23"/>
      <c r="X25" s="23"/>
      <c r="Y25" s="23"/>
      <c r="Z25" s="23"/>
      <c r="AA25" s="23"/>
      <c r="AB25" s="23"/>
      <c r="AC25" s="23"/>
      <c r="AD25" s="23"/>
      <c r="AE25" s="23"/>
      <c r="AF25" s="23"/>
      <c r="AG25" s="23"/>
      <c r="AH25" s="30" t="s">
        <v>21</v>
      </c>
      <c r="AI25" s="31"/>
      <c r="AJ25" s="17">
        <f>VLOOKUP(AH25,METVALUE,2,FALSE)</f>
        <v>10</v>
      </c>
      <c r="AK25" s="18"/>
      <c r="AL25" s="17">
        <v>0.5</v>
      </c>
      <c r="AM25" s="18"/>
      <c r="AN25" s="17">
        <f>AC3*AJ25</f>
        <v>1861.5232953280488</v>
      </c>
      <c r="AO25" s="18"/>
      <c r="AP25" s="17">
        <f>AL25*AN25</f>
        <v>930.76164766402439</v>
      </c>
      <c r="AQ25" s="18"/>
      <c r="AR25" s="23"/>
      <c r="AS25" s="23"/>
      <c r="AT25" s="23"/>
      <c r="AU25" s="23"/>
      <c r="AV25" s="23"/>
      <c r="AW25" s="23"/>
      <c r="AX25" s="23"/>
      <c r="AY25" s="23"/>
      <c r="AZ25" s="23"/>
      <c r="BA25" s="23"/>
      <c r="BB25" s="23"/>
      <c r="BC25" s="23"/>
      <c r="BD25" s="23"/>
      <c r="BE25" s="23"/>
      <c r="BF25" s="23"/>
      <c r="BG25" s="30" t="s">
        <v>21</v>
      </c>
      <c r="BH25" s="31"/>
      <c r="BI25" s="17">
        <f>VLOOKUP(BG25,METVALUE,2,FALSE)</f>
        <v>10</v>
      </c>
      <c r="BJ25" s="18"/>
      <c r="BK25" s="17">
        <v>1.25</v>
      </c>
      <c r="BL25" s="18"/>
      <c r="BM25" s="17">
        <f>BB3*BI25</f>
        <v>1861.5232953280488</v>
      </c>
      <c r="BN25" s="18"/>
      <c r="BO25" s="17">
        <f>BK25*BM25</f>
        <v>2326.9041191600609</v>
      </c>
      <c r="BP25" s="18"/>
      <c r="BQ25" s="23"/>
      <c r="BR25" s="23"/>
      <c r="BS25" s="23"/>
      <c r="BT25" s="23"/>
      <c r="BU25" s="23"/>
      <c r="BV25" s="23"/>
      <c r="BW25" s="23"/>
      <c r="BX25" s="23"/>
      <c r="BY25" s="23"/>
      <c r="BZ25" s="23"/>
      <c r="CA25" s="23"/>
      <c r="CB25" s="23"/>
      <c r="CC25" s="23"/>
      <c r="CD25" s="23"/>
      <c r="CE25" s="23"/>
      <c r="CF25" s="30" t="s">
        <v>21</v>
      </c>
      <c r="CG25" s="31"/>
      <c r="CH25" s="17">
        <f>VLOOKUP(CF25,METVALUE,2,FALSE)</f>
        <v>10</v>
      </c>
      <c r="CI25" s="18"/>
      <c r="CJ25" s="17">
        <v>1.25</v>
      </c>
      <c r="CK25" s="18"/>
      <c r="CL25" s="17">
        <f>CA3*CH25</f>
        <v>1861.5232953280488</v>
      </c>
      <c r="CM25" s="18"/>
      <c r="CN25" s="17">
        <f>CJ25*CL25</f>
        <v>2326.9041191600609</v>
      </c>
      <c r="CO25" s="18"/>
      <c r="CP25" s="23"/>
      <c r="CQ25" s="23"/>
      <c r="CR25" s="23"/>
      <c r="CS25" s="23"/>
      <c r="CT25" s="23"/>
      <c r="CU25" s="23"/>
      <c r="CV25" s="23"/>
      <c r="CW25" s="23"/>
      <c r="CX25" s="23"/>
      <c r="CY25" s="23"/>
      <c r="CZ25" s="23"/>
      <c r="DA25" s="23"/>
      <c r="DB25" s="23"/>
      <c r="DC25" s="23"/>
      <c r="DD25" s="23"/>
      <c r="DE25" s="30" t="s">
        <v>21</v>
      </c>
      <c r="DF25" s="31"/>
      <c r="DG25" s="17">
        <f>VLOOKUP(DE25,METVALUE,2,FALSE)</f>
        <v>10</v>
      </c>
      <c r="DH25" s="18"/>
      <c r="DI25" s="17">
        <v>1.25</v>
      </c>
      <c r="DJ25" s="18"/>
      <c r="DK25" s="17">
        <f>CZ3*DG25</f>
        <v>1861.5232953280488</v>
      </c>
      <c r="DL25" s="18"/>
      <c r="DM25" s="17">
        <f>DI25*DK25</f>
        <v>2326.9041191600609</v>
      </c>
      <c r="DN25" s="18"/>
      <c r="DO25" s="23"/>
      <c r="DP25" s="23"/>
      <c r="DQ25" s="23"/>
      <c r="DR25" s="23"/>
      <c r="DS25" s="23"/>
      <c r="DT25" s="23"/>
      <c r="DU25" s="23"/>
      <c r="DV25" s="23"/>
      <c r="DW25" s="23"/>
      <c r="DX25" s="23"/>
      <c r="DY25" s="23"/>
      <c r="DZ25" s="23"/>
      <c r="EA25" s="23"/>
      <c r="EB25" s="23"/>
      <c r="EC25" s="23"/>
      <c r="ED25" s="30" t="s">
        <v>21</v>
      </c>
      <c r="EE25" s="31"/>
      <c r="EF25" s="17">
        <f>VLOOKUP(ED25,METVALUE,2,FALSE)</f>
        <v>10</v>
      </c>
      <c r="EG25" s="18"/>
      <c r="EH25" s="17">
        <v>1.5</v>
      </c>
      <c r="EI25" s="18"/>
      <c r="EJ25" s="17">
        <f>DY3*EF25</f>
        <v>1861.5232953280488</v>
      </c>
      <c r="EK25" s="18"/>
      <c r="EL25" s="17">
        <f>EH25*EJ25</f>
        <v>2792.2849429920734</v>
      </c>
      <c r="EM25" s="18"/>
      <c r="EN25" s="23"/>
      <c r="EO25" s="23"/>
      <c r="EP25" s="23"/>
      <c r="EQ25" s="23"/>
      <c r="ER25" s="23"/>
      <c r="ES25" s="23"/>
      <c r="ET25" s="23"/>
      <c r="EU25" s="23"/>
      <c r="EV25" s="23"/>
      <c r="EW25" s="23"/>
      <c r="EX25" s="23"/>
      <c r="EY25" s="23"/>
      <c r="EZ25" s="23"/>
      <c r="FA25" s="23"/>
      <c r="FB25" s="23"/>
      <c r="FC25" s="30" t="s">
        <v>21</v>
      </c>
      <c r="FD25" s="31"/>
      <c r="FE25" s="17">
        <f>VLOOKUP(FC25,METVALUE,2,FALSE)</f>
        <v>10</v>
      </c>
      <c r="FF25" s="18"/>
      <c r="FG25" s="17">
        <v>0.75</v>
      </c>
      <c r="FH25" s="18"/>
      <c r="FI25" s="17">
        <f>EX3*FE25</f>
        <v>1861.5232953280488</v>
      </c>
      <c r="FJ25" s="18"/>
      <c r="FK25" s="17">
        <f>FG25*FI25</f>
        <v>1396.1424714960367</v>
      </c>
      <c r="FL25" s="18"/>
      <c r="FM25" s="23"/>
      <c r="FN25" s="23"/>
      <c r="FO25" s="23"/>
      <c r="FP25" s="23"/>
      <c r="FQ25" s="23"/>
      <c r="FR25" s="23"/>
      <c r="FS25" s="23"/>
    </row>
    <row r="26" spans="1:175" ht="16" x14ac:dyDescent="0.35">
      <c r="A26" s="23"/>
      <c r="B26" s="23"/>
      <c r="C26" s="23"/>
      <c r="D26" s="23"/>
      <c r="E26" s="23"/>
      <c r="F26" s="23"/>
      <c r="G26" s="23"/>
      <c r="H26" s="23"/>
      <c r="I26" s="32"/>
      <c r="J26" s="33"/>
      <c r="K26" s="19"/>
      <c r="L26" s="20"/>
      <c r="M26" s="19"/>
      <c r="N26" s="20"/>
      <c r="O26" s="19"/>
      <c r="P26" s="20"/>
      <c r="Q26" s="19"/>
      <c r="R26" s="20"/>
      <c r="S26" s="23"/>
      <c r="T26" s="23"/>
      <c r="U26" s="23"/>
      <c r="V26" s="23"/>
      <c r="W26" s="23"/>
      <c r="X26" s="23"/>
      <c r="Y26" s="23"/>
      <c r="Z26" s="23"/>
      <c r="AA26" s="23"/>
      <c r="AB26" s="23"/>
      <c r="AC26" s="23"/>
      <c r="AD26" s="23"/>
      <c r="AE26" s="23"/>
      <c r="AF26" s="23"/>
      <c r="AG26" s="23"/>
      <c r="AH26" s="32"/>
      <c r="AI26" s="33"/>
      <c r="AJ26" s="19"/>
      <c r="AK26" s="20"/>
      <c r="AL26" s="19"/>
      <c r="AM26" s="20"/>
      <c r="AN26" s="19"/>
      <c r="AO26" s="20"/>
      <c r="AP26" s="19"/>
      <c r="AQ26" s="20"/>
      <c r="AR26" s="23"/>
      <c r="AS26" s="23"/>
      <c r="AT26" s="23"/>
      <c r="AU26" s="23"/>
      <c r="AV26" s="23"/>
      <c r="AW26" s="23"/>
      <c r="AX26" s="23"/>
      <c r="AY26" s="23"/>
      <c r="AZ26" s="23"/>
      <c r="BA26" s="23"/>
      <c r="BB26" s="23"/>
      <c r="BC26" s="23"/>
      <c r="BD26" s="23"/>
      <c r="BE26" s="23"/>
      <c r="BF26" s="23"/>
      <c r="BG26" s="32"/>
      <c r="BH26" s="33"/>
      <c r="BI26" s="19"/>
      <c r="BJ26" s="20"/>
      <c r="BK26" s="19"/>
      <c r="BL26" s="20"/>
      <c r="BM26" s="19"/>
      <c r="BN26" s="20"/>
      <c r="BO26" s="19"/>
      <c r="BP26" s="20"/>
      <c r="BQ26" s="23"/>
      <c r="BR26" s="23"/>
      <c r="BS26" s="23"/>
      <c r="BT26" s="23"/>
      <c r="BU26" s="23"/>
      <c r="BV26" s="23"/>
      <c r="BW26" s="23"/>
      <c r="BX26" s="23"/>
      <c r="BY26" s="23"/>
      <c r="BZ26" s="23"/>
      <c r="CA26" s="23"/>
      <c r="CB26" s="23"/>
      <c r="CC26" s="23"/>
      <c r="CD26" s="23"/>
      <c r="CE26" s="23"/>
      <c r="CF26" s="32"/>
      <c r="CG26" s="33"/>
      <c r="CH26" s="19"/>
      <c r="CI26" s="20"/>
      <c r="CJ26" s="19"/>
      <c r="CK26" s="20"/>
      <c r="CL26" s="19"/>
      <c r="CM26" s="20"/>
      <c r="CN26" s="19"/>
      <c r="CO26" s="20"/>
      <c r="CP26" s="23"/>
      <c r="CQ26" s="23"/>
      <c r="CR26" s="23"/>
      <c r="CS26" s="23"/>
      <c r="CT26" s="23"/>
      <c r="CU26" s="23"/>
      <c r="CV26" s="23"/>
      <c r="CW26" s="23"/>
      <c r="CX26" s="23"/>
      <c r="CY26" s="23"/>
      <c r="CZ26" s="23"/>
      <c r="DA26" s="23"/>
      <c r="DB26" s="23"/>
      <c r="DC26" s="23"/>
      <c r="DD26" s="23"/>
      <c r="DE26" s="32"/>
      <c r="DF26" s="33"/>
      <c r="DG26" s="19"/>
      <c r="DH26" s="20"/>
      <c r="DI26" s="19"/>
      <c r="DJ26" s="20"/>
      <c r="DK26" s="19"/>
      <c r="DL26" s="20"/>
      <c r="DM26" s="19"/>
      <c r="DN26" s="20"/>
      <c r="DO26" s="23"/>
      <c r="DP26" s="23"/>
      <c r="DQ26" s="23"/>
      <c r="DR26" s="23"/>
      <c r="DS26" s="23"/>
      <c r="DT26" s="23"/>
      <c r="DU26" s="23"/>
      <c r="DV26" s="23"/>
      <c r="DW26" s="23"/>
      <c r="DX26" s="23"/>
      <c r="DY26" s="23"/>
      <c r="DZ26" s="23"/>
      <c r="EA26" s="23"/>
      <c r="EB26" s="23"/>
      <c r="EC26" s="23"/>
      <c r="ED26" s="32"/>
      <c r="EE26" s="33"/>
      <c r="EF26" s="19"/>
      <c r="EG26" s="20"/>
      <c r="EH26" s="19"/>
      <c r="EI26" s="20"/>
      <c r="EJ26" s="19"/>
      <c r="EK26" s="20"/>
      <c r="EL26" s="19"/>
      <c r="EM26" s="20"/>
      <c r="EN26" s="23"/>
      <c r="EO26" s="23"/>
      <c r="EP26" s="23"/>
      <c r="EQ26" s="23"/>
      <c r="ER26" s="23"/>
      <c r="ES26" s="23"/>
      <c r="ET26" s="23"/>
      <c r="EU26" s="23"/>
      <c r="EV26" s="23"/>
      <c r="EW26" s="23"/>
      <c r="EX26" s="23"/>
      <c r="EY26" s="23"/>
      <c r="EZ26" s="23"/>
      <c r="FA26" s="23"/>
      <c r="FB26" s="23"/>
      <c r="FC26" s="32"/>
      <c r="FD26" s="33"/>
      <c r="FE26" s="19"/>
      <c r="FF26" s="20"/>
      <c r="FG26" s="19"/>
      <c r="FH26" s="20"/>
      <c r="FI26" s="19"/>
      <c r="FJ26" s="20"/>
      <c r="FK26" s="19"/>
      <c r="FL26" s="20"/>
      <c r="FM26" s="23"/>
      <c r="FN26" s="23"/>
      <c r="FO26" s="23"/>
      <c r="FP26" s="23"/>
      <c r="FQ26" s="23"/>
      <c r="FR26" s="23"/>
      <c r="FS26" s="23"/>
    </row>
    <row r="27" spans="1:175" ht="16.5" thickBot="1" x14ac:dyDescent="0.4">
      <c r="A27" s="23"/>
      <c r="B27" s="23"/>
      <c r="C27" s="23"/>
      <c r="D27" s="23"/>
      <c r="E27" s="23"/>
      <c r="F27" s="23"/>
      <c r="G27" s="23"/>
      <c r="H27" s="23"/>
      <c r="I27" s="34"/>
      <c r="J27" s="35"/>
      <c r="K27" s="21"/>
      <c r="L27" s="22"/>
      <c r="M27" s="21"/>
      <c r="N27" s="22"/>
      <c r="O27" s="21"/>
      <c r="P27" s="22"/>
      <c r="Q27" s="21"/>
      <c r="R27" s="22"/>
      <c r="S27" s="23"/>
      <c r="T27" s="23"/>
      <c r="U27" s="23"/>
      <c r="V27" s="23"/>
      <c r="W27" s="23"/>
      <c r="X27" s="23"/>
      <c r="Y27" s="23"/>
      <c r="Z27" s="23"/>
      <c r="AA27" s="23"/>
      <c r="AB27" s="23"/>
      <c r="AC27" s="23"/>
      <c r="AD27" s="23"/>
      <c r="AE27" s="23"/>
      <c r="AF27" s="23"/>
      <c r="AG27" s="23"/>
      <c r="AH27" s="34"/>
      <c r="AI27" s="35"/>
      <c r="AJ27" s="21"/>
      <c r="AK27" s="22"/>
      <c r="AL27" s="21"/>
      <c r="AM27" s="22"/>
      <c r="AN27" s="21"/>
      <c r="AO27" s="22"/>
      <c r="AP27" s="21"/>
      <c r="AQ27" s="22"/>
      <c r="AR27" s="23"/>
      <c r="AS27" s="23"/>
      <c r="AT27" s="23"/>
      <c r="AU27" s="23"/>
      <c r="AV27" s="23"/>
      <c r="AW27" s="23"/>
      <c r="AX27" s="23"/>
      <c r="AY27" s="23"/>
      <c r="AZ27" s="23"/>
      <c r="BA27" s="23"/>
      <c r="BB27" s="23"/>
      <c r="BC27" s="23"/>
      <c r="BD27" s="23"/>
      <c r="BE27" s="23"/>
      <c r="BF27" s="23"/>
      <c r="BG27" s="34"/>
      <c r="BH27" s="35"/>
      <c r="BI27" s="21"/>
      <c r="BJ27" s="22"/>
      <c r="BK27" s="21"/>
      <c r="BL27" s="22"/>
      <c r="BM27" s="21"/>
      <c r="BN27" s="22"/>
      <c r="BO27" s="21"/>
      <c r="BP27" s="22"/>
      <c r="BQ27" s="23"/>
      <c r="BR27" s="23"/>
      <c r="BS27" s="23"/>
      <c r="BT27" s="23"/>
      <c r="BU27" s="23"/>
      <c r="BV27" s="23"/>
      <c r="BW27" s="23"/>
      <c r="BX27" s="23"/>
      <c r="BY27" s="23"/>
      <c r="BZ27" s="23"/>
      <c r="CA27" s="23"/>
      <c r="CB27" s="23"/>
      <c r="CC27" s="23"/>
      <c r="CD27" s="23"/>
      <c r="CE27" s="23"/>
      <c r="CF27" s="34"/>
      <c r="CG27" s="35"/>
      <c r="CH27" s="21"/>
      <c r="CI27" s="22"/>
      <c r="CJ27" s="21"/>
      <c r="CK27" s="22"/>
      <c r="CL27" s="21"/>
      <c r="CM27" s="22"/>
      <c r="CN27" s="21"/>
      <c r="CO27" s="22"/>
      <c r="CP27" s="23"/>
      <c r="CQ27" s="23"/>
      <c r="CR27" s="23"/>
      <c r="CS27" s="23"/>
      <c r="CT27" s="23"/>
      <c r="CU27" s="23"/>
      <c r="CV27" s="23"/>
      <c r="CW27" s="23"/>
      <c r="CX27" s="23"/>
      <c r="CY27" s="23"/>
      <c r="CZ27" s="23"/>
      <c r="DA27" s="23"/>
      <c r="DB27" s="23"/>
      <c r="DC27" s="23"/>
      <c r="DD27" s="23"/>
      <c r="DE27" s="34"/>
      <c r="DF27" s="35"/>
      <c r="DG27" s="21"/>
      <c r="DH27" s="22"/>
      <c r="DI27" s="21"/>
      <c r="DJ27" s="22"/>
      <c r="DK27" s="21"/>
      <c r="DL27" s="22"/>
      <c r="DM27" s="21"/>
      <c r="DN27" s="22"/>
      <c r="DO27" s="23"/>
      <c r="DP27" s="23"/>
      <c r="DQ27" s="23"/>
      <c r="DR27" s="23"/>
      <c r="DS27" s="23"/>
      <c r="DT27" s="23"/>
      <c r="DU27" s="23"/>
      <c r="DV27" s="23"/>
      <c r="DW27" s="23"/>
      <c r="DX27" s="23"/>
      <c r="DY27" s="23"/>
      <c r="DZ27" s="23"/>
      <c r="EA27" s="23"/>
      <c r="EB27" s="23"/>
      <c r="EC27" s="23"/>
      <c r="ED27" s="34"/>
      <c r="EE27" s="35"/>
      <c r="EF27" s="21"/>
      <c r="EG27" s="22"/>
      <c r="EH27" s="21"/>
      <c r="EI27" s="22"/>
      <c r="EJ27" s="21"/>
      <c r="EK27" s="22"/>
      <c r="EL27" s="21"/>
      <c r="EM27" s="22"/>
      <c r="EN27" s="23"/>
      <c r="EO27" s="23"/>
      <c r="EP27" s="23"/>
      <c r="EQ27" s="23"/>
      <c r="ER27" s="23"/>
      <c r="ES27" s="23"/>
      <c r="ET27" s="23"/>
      <c r="EU27" s="23"/>
      <c r="EV27" s="23"/>
      <c r="EW27" s="23"/>
      <c r="EX27" s="23"/>
      <c r="EY27" s="23"/>
      <c r="EZ27" s="23"/>
      <c r="FA27" s="23"/>
      <c r="FB27" s="23"/>
      <c r="FC27" s="34"/>
      <c r="FD27" s="35"/>
      <c r="FE27" s="21"/>
      <c r="FF27" s="22"/>
      <c r="FG27" s="21"/>
      <c r="FH27" s="22"/>
      <c r="FI27" s="21"/>
      <c r="FJ27" s="22"/>
      <c r="FK27" s="21"/>
      <c r="FL27" s="22"/>
      <c r="FM27" s="23"/>
      <c r="FN27" s="23"/>
      <c r="FO27" s="23"/>
      <c r="FP27" s="23"/>
      <c r="FQ27" s="23"/>
      <c r="FR27" s="23"/>
      <c r="FS27" s="23"/>
    </row>
    <row r="28" spans="1:175" ht="16" x14ac:dyDescent="0.35">
      <c r="A28" s="23"/>
      <c r="B28" s="23"/>
      <c r="C28" s="23"/>
      <c r="D28" s="23"/>
      <c r="E28" s="23"/>
      <c r="F28" s="23"/>
      <c r="G28" s="23"/>
      <c r="H28" s="23"/>
      <c r="I28" s="30" t="s">
        <v>60</v>
      </c>
      <c r="J28" s="31"/>
      <c r="K28" s="17">
        <f>VLOOKUP(I25,METVALUE,2,FALSE)</f>
        <v>10</v>
      </c>
      <c r="L28" s="18"/>
      <c r="M28" s="17">
        <v>0.5</v>
      </c>
      <c r="N28" s="18"/>
      <c r="O28" s="17">
        <f>D3*K28</f>
        <v>1861.5232953280488</v>
      </c>
      <c r="P28" s="18"/>
      <c r="Q28" s="17">
        <f>M28*O28</f>
        <v>930.76164766402439</v>
      </c>
      <c r="R28" s="18"/>
      <c r="S28" s="23"/>
      <c r="T28" s="23"/>
      <c r="U28" s="23"/>
      <c r="V28" s="23"/>
      <c r="W28" s="23"/>
      <c r="X28" s="23"/>
      <c r="Y28" s="23"/>
      <c r="Z28" s="23"/>
      <c r="AA28" s="23"/>
      <c r="AB28" s="23"/>
      <c r="AC28" s="23"/>
      <c r="AD28" s="23"/>
      <c r="AE28" s="23"/>
      <c r="AF28" s="23"/>
      <c r="AG28" s="23"/>
      <c r="AH28" s="30" t="s">
        <v>60</v>
      </c>
      <c r="AI28" s="31"/>
      <c r="AJ28" s="17">
        <f>VLOOKUP(AH25,METVALUE,2,FALSE)</f>
        <v>10</v>
      </c>
      <c r="AK28" s="18"/>
      <c r="AL28" s="17">
        <v>0</v>
      </c>
      <c r="AM28" s="18"/>
      <c r="AN28" s="17">
        <f>AC3*AJ28</f>
        <v>1861.5232953280488</v>
      </c>
      <c r="AO28" s="18"/>
      <c r="AP28" s="17">
        <f>AL28*AN28</f>
        <v>0</v>
      </c>
      <c r="AQ28" s="18"/>
      <c r="AR28" s="23"/>
      <c r="AS28" s="23"/>
      <c r="AT28" s="23"/>
      <c r="AU28" s="23"/>
      <c r="AV28" s="23"/>
      <c r="AW28" s="23"/>
      <c r="AX28" s="23"/>
      <c r="AY28" s="23"/>
      <c r="AZ28" s="23"/>
      <c r="BA28" s="23"/>
      <c r="BB28" s="23"/>
      <c r="BC28" s="23"/>
      <c r="BD28" s="23"/>
      <c r="BE28" s="23"/>
      <c r="BF28" s="23"/>
      <c r="BG28" s="30" t="s">
        <v>60</v>
      </c>
      <c r="BH28" s="31"/>
      <c r="BI28" s="17">
        <f>VLOOKUP(BG25,METVALUE,2,FALSE)</f>
        <v>10</v>
      </c>
      <c r="BJ28" s="18"/>
      <c r="BK28" s="17">
        <v>0.25</v>
      </c>
      <c r="BL28" s="18"/>
      <c r="BM28" s="17">
        <f>BB3*BI28</f>
        <v>1861.5232953280488</v>
      </c>
      <c r="BN28" s="18"/>
      <c r="BO28" s="17">
        <f>BK28*BM28</f>
        <v>465.3808238320122</v>
      </c>
      <c r="BP28" s="18"/>
      <c r="BQ28" s="23"/>
      <c r="BR28" s="23"/>
      <c r="BS28" s="23"/>
      <c r="BT28" s="23"/>
      <c r="BU28" s="23"/>
      <c r="BV28" s="23"/>
      <c r="BW28" s="23"/>
      <c r="BX28" s="23"/>
      <c r="BY28" s="23"/>
      <c r="BZ28" s="23"/>
      <c r="CA28" s="23"/>
      <c r="CB28" s="23"/>
      <c r="CC28" s="23"/>
      <c r="CD28" s="23"/>
      <c r="CE28" s="23"/>
      <c r="CF28" s="30" t="s">
        <v>60</v>
      </c>
      <c r="CG28" s="31"/>
      <c r="CH28" s="17">
        <f>VLOOKUP(CF25,METVALUE,2,FALSE)</f>
        <v>10</v>
      </c>
      <c r="CI28" s="18"/>
      <c r="CJ28" s="17">
        <v>0</v>
      </c>
      <c r="CK28" s="18"/>
      <c r="CL28" s="17">
        <f>CA3*CH28</f>
        <v>1861.5232953280488</v>
      </c>
      <c r="CM28" s="18"/>
      <c r="CN28" s="17">
        <f>CJ28*CL28</f>
        <v>0</v>
      </c>
      <c r="CO28" s="18"/>
      <c r="CP28" s="23"/>
      <c r="CQ28" s="23"/>
      <c r="CR28" s="23"/>
      <c r="CS28" s="23"/>
      <c r="CT28" s="23"/>
      <c r="CU28" s="23"/>
      <c r="CV28" s="23"/>
      <c r="CW28" s="23"/>
      <c r="CX28" s="23"/>
      <c r="CY28" s="23"/>
      <c r="CZ28" s="23"/>
      <c r="DA28" s="23"/>
      <c r="DB28" s="23"/>
      <c r="DC28" s="23"/>
      <c r="DD28" s="23"/>
      <c r="DE28" s="30" t="s">
        <v>60</v>
      </c>
      <c r="DF28" s="31"/>
      <c r="DG28" s="17">
        <f>VLOOKUP(DE25,METVALUE,2,FALSE)</f>
        <v>10</v>
      </c>
      <c r="DH28" s="18"/>
      <c r="DI28" s="17">
        <v>0</v>
      </c>
      <c r="DJ28" s="18"/>
      <c r="DK28" s="17">
        <f>CZ3*DG28</f>
        <v>1861.5232953280488</v>
      </c>
      <c r="DL28" s="18"/>
      <c r="DM28" s="17">
        <f>DI28*DK28</f>
        <v>0</v>
      </c>
      <c r="DN28" s="18"/>
      <c r="DO28" s="23"/>
      <c r="DP28" s="23"/>
      <c r="DQ28" s="23"/>
      <c r="DR28" s="23"/>
      <c r="DS28" s="23"/>
      <c r="DT28" s="23"/>
      <c r="DU28" s="23"/>
      <c r="DV28" s="23"/>
      <c r="DW28" s="23"/>
      <c r="DX28" s="23"/>
      <c r="DY28" s="23"/>
      <c r="DZ28" s="23"/>
      <c r="EA28" s="23"/>
      <c r="EB28" s="23"/>
      <c r="EC28" s="23"/>
      <c r="ED28" s="30" t="s">
        <v>60</v>
      </c>
      <c r="EE28" s="31"/>
      <c r="EF28" s="17">
        <f>VLOOKUP(ED25,METVALUE,2,FALSE)</f>
        <v>10</v>
      </c>
      <c r="EG28" s="18"/>
      <c r="EH28" s="17">
        <v>0.25</v>
      </c>
      <c r="EI28" s="18"/>
      <c r="EJ28" s="17">
        <f>DY3*EF28</f>
        <v>1861.5232953280488</v>
      </c>
      <c r="EK28" s="18"/>
      <c r="EL28" s="17">
        <f>EH28*EJ28</f>
        <v>465.3808238320122</v>
      </c>
      <c r="EM28" s="18"/>
      <c r="EN28" s="23"/>
      <c r="EO28" s="23"/>
      <c r="EP28" s="23"/>
      <c r="EQ28" s="23"/>
      <c r="ER28" s="23"/>
      <c r="ES28" s="23"/>
      <c r="ET28" s="23"/>
      <c r="EU28" s="23"/>
      <c r="EV28" s="23"/>
      <c r="EW28" s="23"/>
      <c r="EX28" s="23"/>
      <c r="EY28" s="23"/>
      <c r="EZ28" s="23"/>
      <c r="FA28" s="23"/>
      <c r="FB28" s="23"/>
      <c r="FC28" s="30" t="s">
        <v>60</v>
      </c>
      <c r="FD28" s="31"/>
      <c r="FE28" s="17">
        <f>VLOOKUP(FC25,METVALUE,2,FALSE)</f>
        <v>10</v>
      </c>
      <c r="FF28" s="18"/>
      <c r="FG28" s="17">
        <v>0</v>
      </c>
      <c r="FH28" s="18"/>
      <c r="FI28" s="17">
        <f>EX3*FE28</f>
        <v>1861.5232953280488</v>
      </c>
      <c r="FJ28" s="18"/>
      <c r="FK28" s="17">
        <f>FG28*FI28</f>
        <v>0</v>
      </c>
      <c r="FL28" s="18"/>
      <c r="FM28" s="23"/>
      <c r="FN28" s="23"/>
      <c r="FO28" s="23"/>
      <c r="FP28" s="23"/>
      <c r="FQ28" s="23"/>
      <c r="FR28" s="23"/>
      <c r="FS28" s="23"/>
    </row>
    <row r="29" spans="1:175" ht="16" x14ac:dyDescent="0.35">
      <c r="A29" s="23"/>
      <c r="B29" s="23"/>
      <c r="C29" s="23"/>
      <c r="D29" s="23"/>
      <c r="E29" s="23"/>
      <c r="F29" s="23"/>
      <c r="G29" s="23"/>
      <c r="H29" s="23"/>
      <c r="I29" s="32"/>
      <c r="J29" s="33"/>
      <c r="K29" s="19"/>
      <c r="L29" s="20"/>
      <c r="M29" s="19"/>
      <c r="N29" s="20"/>
      <c r="O29" s="19"/>
      <c r="P29" s="20"/>
      <c r="Q29" s="19"/>
      <c r="R29" s="20"/>
      <c r="S29" s="23"/>
      <c r="T29" s="23"/>
      <c r="U29" s="23"/>
      <c r="V29" s="23"/>
      <c r="W29" s="23"/>
      <c r="X29" s="23"/>
      <c r="Y29" s="23"/>
      <c r="Z29" s="23"/>
      <c r="AA29" s="23"/>
      <c r="AB29" s="23"/>
      <c r="AC29" s="23"/>
      <c r="AD29" s="23"/>
      <c r="AE29" s="23"/>
      <c r="AF29" s="23"/>
      <c r="AG29" s="23"/>
      <c r="AH29" s="32"/>
      <c r="AI29" s="33"/>
      <c r="AJ29" s="19"/>
      <c r="AK29" s="20"/>
      <c r="AL29" s="19"/>
      <c r="AM29" s="20"/>
      <c r="AN29" s="19"/>
      <c r="AO29" s="20"/>
      <c r="AP29" s="19"/>
      <c r="AQ29" s="20"/>
      <c r="AR29" s="23"/>
      <c r="AS29" s="23"/>
      <c r="AT29" s="23"/>
      <c r="AU29" s="23"/>
      <c r="AV29" s="23"/>
      <c r="AW29" s="23"/>
      <c r="AX29" s="23"/>
      <c r="AY29" s="23"/>
      <c r="AZ29" s="23"/>
      <c r="BA29" s="23"/>
      <c r="BB29" s="23"/>
      <c r="BC29" s="23"/>
      <c r="BD29" s="23"/>
      <c r="BE29" s="23"/>
      <c r="BF29" s="23"/>
      <c r="BG29" s="32"/>
      <c r="BH29" s="33"/>
      <c r="BI29" s="19"/>
      <c r="BJ29" s="20"/>
      <c r="BK29" s="19"/>
      <c r="BL29" s="20"/>
      <c r="BM29" s="19"/>
      <c r="BN29" s="20"/>
      <c r="BO29" s="19"/>
      <c r="BP29" s="20"/>
      <c r="BQ29" s="23"/>
      <c r="BR29" s="23"/>
      <c r="BS29" s="23"/>
      <c r="BT29" s="23"/>
      <c r="BU29" s="23"/>
      <c r="BV29" s="23"/>
      <c r="BW29" s="23"/>
      <c r="BX29" s="23"/>
      <c r="BY29" s="23"/>
      <c r="BZ29" s="23"/>
      <c r="CA29" s="23"/>
      <c r="CB29" s="23"/>
      <c r="CC29" s="23"/>
      <c r="CD29" s="23"/>
      <c r="CE29" s="23"/>
      <c r="CF29" s="32"/>
      <c r="CG29" s="33"/>
      <c r="CH29" s="19"/>
      <c r="CI29" s="20"/>
      <c r="CJ29" s="19"/>
      <c r="CK29" s="20"/>
      <c r="CL29" s="19"/>
      <c r="CM29" s="20"/>
      <c r="CN29" s="19"/>
      <c r="CO29" s="20"/>
      <c r="CP29" s="23"/>
      <c r="CQ29" s="23"/>
      <c r="CR29" s="23"/>
      <c r="CS29" s="23"/>
      <c r="CT29" s="23"/>
      <c r="CU29" s="23"/>
      <c r="CV29" s="23"/>
      <c r="CW29" s="23"/>
      <c r="CX29" s="23"/>
      <c r="CY29" s="23"/>
      <c r="CZ29" s="23"/>
      <c r="DA29" s="23"/>
      <c r="DB29" s="23"/>
      <c r="DC29" s="23"/>
      <c r="DD29" s="23"/>
      <c r="DE29" s="32"/>
      <c r="DF29" s="33"/>
      <c r="DG29" s="19"/>
      <c r="DH29" s="20"/>
      <c r="DI29" s="19"/>
      <c r="DJ29" s="20"/>
      <c r="DK29" s="19"/>
      <c r="DL29" s="20"/>
      <c r="DM29" s="19"/>
      <c r="DN29" s="20"/>
      <c r="DO29" s="23"/>
      <c r="DP29" s="23"/>
      <c r="DQ29" s="23"/>
      <c r="DR29" s="23"/>
      <c r="DS29" s="23"/>
      <c r="DT29" s="23"/>
      <c r="DU29" s="23"/>
      <c r="DV29" s="23"/>
      <c r="DW29" s="23"/>
      <c r="DX29" s="23"/>
      <c r="DY29" s="23"/>
      <c r="DZ29" s="23"/>
      <c r="EA29" s="23"/>
      <c r="EB29" s="23"/>
      <c r="EC29" s="23"/>
      <c r="ED29" s="32"/>
      <c r="EE29" s="33"/>
      <c r="EF29" s="19"/>
      <c r="EG29" s="20"/>
      <c r="EH29" s="19"/>
      <c r="EI29" s="20"/>
      <c r="EJ29" s="19"/>
      <c r="EK29" s="20"/>
      <c r="EL29" s="19"/>
      <c r="EM29" s="20"/>
      <c r="EN29" s="23"/>
      <c r="EO29" s="23"/>
      <c r="EP29" s="23"/>
      <c r="EQ29" s="23"/>
      <c r="ER29" s="23"/>
      <c r="ES29" s="23"/>
      <c r="ET29" s="23"/>
      <c r="EU29" s="23"/>
      <c r="EV29" s="23"/>
      <c r="EW29" s="23"/>
      <c r="EX29" s="23"/>
      <c r="EY29" s="23"/>
      <c r="EZ29" s="23"/>
      <c r="FA29" s="23"/>
      <c r="FB29" s="23"/>
      <c r="FC29" s="32"/>
      <c r="FD29" s="33"/>
      <c r="FE29" s="19"/>
      <c r="FF29" s="20"/>
      <c r="FG29" s="19"/>
      <c r="FH29" s="20"/>
      <c r="FI29" s="19"/>
      <c r="FJ29" s="20"/>
      <c r="FK29" s="19"/>
      <c r="FL29" s="20"/>
      <c r="FM29" s="23"/>
      <c r="FN29" s="23"/>
      <c r="FO29" s="23"/>
      <c r="FP29" s="23"/>
      <c r="FQ29" s="23"/>
      <c r="FR29" s="23"/>
      <c r="FS29" s="23"/>
    </row>
    <row r="30" spans="1:175" ht="16.5" thickBot="1" x14ac:dyDescent="0.4">
      <c r="A30" s="23"/>
      <c r="B30" s="23"/>
      <c r="C30" s="23"/>
      <c r="D30" s="23"/>
      <c r="E30" s="23"/>
      <c r="F30" s="23"/>
      <c r="G30" s="23"/>
      <c r="H30" s="23"/>
      <c r="I30" s="34"/>
      <c r="J30" s="35"/>
      <c r="K30" s="21"/>
      <c r="L30" s="22"/>
      <c r="M30" s="21"/>
      <c r="N30" s="22"/>
      <c r="O30" s="21"/>
      <c r="P30" s="22"/>
      <c r="Q30" s="21"/>
      <c r="R30" s="22"/>
      <c r="S30" s="23"/>
      <c r="T30" s="23"/>
      <c r="U30" s="23"/>
      <c r="V30" s="23"/>
      <c r="W30" s="23"/>
      <c r="X30" s="23"/>
      <c r="Y30" s="23"/>
      <c r="Z30" s="23"/>
      <c r="AA30" s="23"/>
      <c r="AB30" s="23"/>
      <c r="AC30" s="23"/>
      <c r="AD30" s="23"/>
      <c r="AE30" s="23"/>
      <c r="AF30" s="23"/>
      <c r="AG30" s="23"/>
      <c r="AH30" s="34"/>
      <c r="AI30" s="35"/>
      <c r="AJ30" s="21"/>
      <c r="AK30" s="22"/>
      <c r="AL30" s="21"/>
      <c r="AM30" s="22"/>
      <c r="AN30" s="21"/>
      <c r="AO30" s="22"/>
      <c r="AP30" s="21"/>
      <c r="AQ30" s="22"/>
      <c r="AR30" s="23"/>
      <c r="AS30" s="23"/>
      <c r="AT30" s="23"/>
      <c r="AU30" s="23"/>
      <c r="AV30" s="23"/>
      <c r="AW30" s="23"/>
      <c r="AX30" s="23"/>
      <c r="AY30" s="23"/>
      <c r="AZ30" s="23"/>
      <c r="BA30" s="23"/>
      <c r="BB30" s="23"/>
      <c r="BC30" s="23"/>
      <c r="BD30" s="23"/>
      <c r="BE30" s="23"/>
      <c r="BF30" s="23"/>
      <c r="BG30" s="34"/>
      <c r="BH30" s="35"/>
      <c r="BI30" s="21"/>
      <c r="BJ30" s="22"/>
      <c r="BK30" s="21"/>
      <c r="BL30" s="22"/>
      <c r="BM30" s="21"/>
      <c r="BN30" s="22"/>
      <c r="BO30" s="21"/>
      <c r="BP30" s="22"/>
      <c r="BQ30" s="23"/>
      <c r="BR30" s="23"/>
      <c r="BS30" s="23"/>
      <c r="BT30" s="23"/>
      <c r="BU30" s="23"/>
      <c r="BV30" s="23"/>
      <c r="BW30" s="23"/>
      <c r="BX30" s="23"/>
      <c r="BY30" s="23"/>
      <c r="BZ30" s="23"/>
      <c r="CA30" s="23"/>
      <c r="CB30" s="23"/>
      <c r="CC30" s="23"/>
      <c r="CD30" s="23"/>
      <c r="CE30" s="23"/>
      <c r="CF30" s="34"/>
      <c r="CG30" s="35"/>
      <c r="CH30" s="21"/>
      <c r="CI30" s="22"/>
      <c r="CJ30" s="21"/>
      <c r="CK30" s="22"/>
      <c r="CL30" s="21"/>
      <c r="CM30" s="22"/>
      <c r="CN30" s="21"/>
      <c r="CO30" s="22"/>
      <c r="CP30" s="23"/>
      <c r="CQ30" s="23"/>
      <c r="CR30" s="23"/>
      <c r="CS30" s="23"/>
      <c r="CT30" s="23"/>
      <c r="CU30" s="23"/>
      <c r="CV30" s="23"/>
      <c r="CW30" s="23"/>
      <c r="CX30" s="23"/>
      <c r="CY30" s="23"/>
      <c r="CZ30" s="23"/>
      <c r="DA30" s="23"/>
      <c r="DB30" s="23"/>
      <c r="DC30" s="23"/>
      <c r="DD30" s="23"/>
      <c r="DE30" s="34"/>
      <c r="DF30" s="35"/>
      <c r="DG30" s="21"/>
      <c r="DH30" s="22"/>
      <c r="DI30" s="21"/>
      <c r="DJ30" s="22"/>
      <c r="DK30" s="21"/>
      <c r="DL30" s="22"/>
      <c r="DM30" s="21"/>
      <c r="DN30" s="22"/>
      <c r="DO30" s="23"/>
      <c r="DP30" s="23"/>
      <c r="DQ30" s="23"/>
      <c r="DR30" s="23"/>
      <c r="DS30" s="23"/>
      <c r="DT30" s="23"/>
      <c r="DU30" s="23"/>
      <c r="DV30" s="23"/>
      <c r="DW30" s="23"/>
      <c r="DX30" s="23"/>
      <c r="DY30" s="23"/>
      <c r="DZ30" s="23"/>
      <c r="EA30" s="23"/>
      <c r="EB30" s="23"/>
      <c r="EC30" s="23"/>
      <c r="ED30" s="34"/>
      <c r="EE30" s="35"/>
      <c r="EF30" s="21"/>
      <c r="EG30" s="22"/>
      <c r="EH30" s="21"/>
      <c r="EI30" s="22"/>
      <c r="EJ30" s="21"/>
      <c r="EK30" s="22"/>
      <c r="EL30" s="21"/>
      <c r="EM30" s="22"/>
      <c r="EN30" s="23"/>
      <c r="EO30" s="23"/>
      <c r="EP30" s="23"/>
      <c r="EQ30" s="23"/>
      <c r="ER30" s="23"/>
      <c r="ES30" s="23"/>
      <c r="ET30" s="23"/>
      <c r="EU30" s="23"/>
      <c r="EV30" s="23"/>
      <c r="EW30" s="23"/>
      <c r="EX30" s="23"/>
      <c r="EY30" s="23"/>
      <c r="EZ30" s="23"/>
      <c r="FA30" s="23"/>
      <c r="FB30" s="23"/>
      <c r="FC30" s="34"/>
      <c r="FD30" s="35"/>
      <c r="FE30" s="21"/>
      <c r="FF30" s="22"/>
      <c r="FG30" s="21"/>
      <c r="FH30" s="22"/>
      <c r="FI30" s="21"/>
      <c r="FJ30" s="22"/>
      <c r="FK30" s="21"/>
      <c r="FL30" s="22"/>
      <c r="FM30" s="23"/>
      <c r="FN30" s="23"/>
      <c r="FO30" s="23"/>
      <c r="FP30" s="23"/>
      <c r="FQ30" s="23"/>
      <c r="FR30" s="23"/>
      <c r="FS30" s="23"/>
    </row>
    <row r="31" spans="1:175" x14ac:dyDescent="0.3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row>
    <row r="32" spans="1:175" ht="15" thickBot="1" x14ac:dyDescent="0.4">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row>
    <row r="33" spans="1:175" ht="18.5" x14ac:dyDescent="0.35">
      <c r="A33" s="23"/>
      <c r="B33" s="23"/>
      <c r="C33" s="88" t="s">
        <v>61</v>
      </c>
      <c r="D33" s="89"/>
      <c r="E33" s="89"/>
      <c r="F33" s="90"/>
      <c r="G33" s="36"/>
      <c r="H33" s="36"/>
      <c r="I33" s="23"/>
      <c r="J33" s="23"/>
      <c r="K33" s="23"/>
      <c r="L33" s="23"/>
      <c r="M33" s="23"/>
      <c r="N33" s="23"/>
      <c r="O33" s="23"/>
      <c r="P33" s="23"/>
      <c r="Q33" s="23"/>
      <c r="R33" s="23"/>
      <c r="S33" s="23"/>
      <c r="T33" s="23"/>
      <c r="U33" s="23"/>
      <c r="V33" s="23"/>
      <c r="W33" s="23"/>
      <c r="X33" s="23"/>
      <c r="Y33" s="23"/>
      <c r="Z33" s="23"/>
      <c r="AA33" s="23"/>
      <c r="AB33" s="88" t="s">
        <v>62</v>
      </c>
      <c r="AC33" s="89"/>
      <c r="AD33" s="89"/>
      <c r="AE33" s="90"/>
      <c r="AF33" s="36"/>
      <c r="AG33" s="36"/>
      <c r="AH33" s="23"/>
      <c r="AI33" s="23"/>
      <c r="AJ33" s="23"/>
      <c r="AK33" s="23"/>
      <c r="AL33" s="23"/>
      <c r="AM33" s="23"/>
      <c r="AN33" s="23"/>
      <c r="AO33" s="23"/>
      <c r="AP33" s="23"/>
      <c r="AQ33" s="23"/>
      <c r="AR33" s="23"/>
      <c r="AS33" s="23"/>
      <c r="AT33" s="23"/>
      <c r="AU33" s="23"/>
      <c r="AV33" s="23"/>
      <c r="AW33" s="23"/>
      <c r="AX33" s="23"/>
      <c r="AY33" s="23"/>
      <c r="AZ33" s="23"/>
      <c r="BA33" s="88" t="s">
        <v>63</v>
      </c>
      <c r="BB33" s="89"/>
      <c r="BC33" s="89"/>
      <c r="BD33" s="90"/>
      <c r="BE33" s="36"/>
      <c r="BF33" s="36"/>
      <c r="BG33" s="23"/>
      <c r="BH33" s="23"/>
      <c r="BI33" s="23"/>
      <c r="BJ33" s="23"/>
      <c r="BK33" s="23"/>
      <c r="BL33" s="23"/>
      <c r="BM33" s="23"/>
      <c r="BN33" s="23"/>
      <c r="BO33" s="23"/>
      <c r="BP33" s="23"/>
      <c r="BQ33" s="23"/>
      <c r="BR33" s="23"/>
      <c r="BS33" s="23"/>
      <c r="BT33" s="23"/>
      <c r="BU33" s="23"/>
      <c r="BV33" s="23"/>
      <c r="BW33" s="23"/>
      <c r="BX33" s="23"/>
      <c r="BY33" s="23"/>
      <c r="BZ33" s="88" t="s">
        <v>64</v>
      </c>
      <c r="CA33" s="89"/>
      <c r="CB33" s="89"/>
      <c r="CC33" s="90"/>
      <c r="CD33" s="36"/>
      <c r="CE33" s="36"/>
      <c r="CF33" s="23"/>
      <c r="CG33" s="23"/>
      <c r="CH33" s="23"/>
      <c r="CI33" s="23"/>
      <c r="CJ33" s="23"/>
      <c r="CK33" s="23"/>
      <c r="CL33" s="23"/>
      <c r="CM33" s="23"/>
      <c r="CN33" s="23"/>
      <c r="CO33" s="23"/>
      <c r="CP33" s="23"/>
      <c r="CQ33" s="23"/>
      <c r="CR33" s="23"/>
      <c r="CS33" s="23"/>
      <c r="CT33" s="23"/>
      <c r="CU33" s="23"/>
      <c r="CV33" s="23"/>
      <c r="CW33" s="23"/>
      <c r="CX33" s="23"/>
      <c r="CY33" s="88" t="s">
        <v>65</v>
      </c>
      <c r="CZ33" s="89"/>
      <c r="DA33" s="89"/>
      <c r="DB33" s="90"/>
      <c r="DC33" s="36"/>
      <c r="DD33" s="36"/>
      <c r="DE33" s="23"/>
      <c r="DF33" s="23"/>
      <c r="DG33" s="23"/>
      <c r="DH33" s="23"/>
      <c r="DI33" s="23"/>
      <c r="DJ33" s="23"/>
      <c r="DK33" s="23"/>
      <c r="DL33" s="23"/>
      <c r="DM33" s="23"/>
      <c r="DN33" s="23"/>
      <c r="DO33" s="23"/>
      <c r="DP33" s="23"/>
      <c r="DQ33" s="23"/>
      <c r="DR33" s="23"/>
      <c r="DS33" s="23"/>
      <c r="DT33" s="23"/>
      <c r="DU33" s="23"/>
      <c r="DV33" s="23"/>
      <c r="DW33" s="23"/>
      <c r="DX33" s="88" t="s">
        <v>66</v>
      </c>
      <c r="DY33" s="89"/>
      <c r="DZ33" s="89"/>
      <c r="EA33" s="90"/>
      <c r="EB33" s="36"/>
      <c r="EC33" s="36"/>
      <c r="ED33" s="23"/>
      <c r="EE33" s="23"/>
      <c r="EF33" s="23"/>
      <c r="EG33" s="23"/>
      <c r="EH33" s="23"/>
      <c r="EI33" s="23"/>
      <c r="EJ33" s="23"/>
      <c r="EK33" s="23"/>
      <c r="EL33" s="23"/>
      <c r="EM33" s="23"/>
      <c r="EN33" s="23"/>
      <c r="EO33" s="23"/>
      <c r="EP33" s="23"/>
      <c r="EQ33" s="23"/>
      <c r="ER33" s="23"/>
      <c r="ES33" s="23"/>
      <c r="ET33" s="23"/>
      <c r="EU33" s="23"/>
      <c r="EV33" s="23"/>
      <c r="EW33" s="88" t="s">
        <v>67</v>
      </c>
      <c r="EX33" s="89"/>
      <c r="EY33" s="89"/>
      <c r="EZ33" s="90"/>
      <c r="FA33" s="36"/>
      <c r="FB33" s="36"/>
      <c r="FC33" s="23"/>
      <c r="FD33" s="23"/>
      <c r="FE33" s="23"/>
      <c r="FF33" s="23"/>
      <c r="FG33" s="23"/>
      <c r="FH33" s="23"/>
      <c r="FI33" s="23"/>
      <c r="FJ33" s="23"/>
      <c r="FK33" s="23"/>
      <c r="FL33" s="23"/>
      <c r="FM33" s="23"/>
      <c r="FN33" s="23"/>
      <c r="FO33" s="23"/>
      <c r="FP33" s="23"/>
      <c r="FQ33" s="23"/>
      <c r="FR33" s="23"/>
      <c r="FS33" s="23"/>
    </row>
    <row r="34" spans="1:175" ht="19" thickBot="1" x14ac:dyDescent="0.4">
      <c r="A34" s="23"/>
      <c r="B34" s="23"/>
      <c r="C34" s="91"/>
      <c r="D34" s="92"/>
      <c r="E34" s="92"/>
      <c r="F34" s="93"/>
      <c r="G34" s="36"/>
      <c r="H34" s="36"/>
      <c r="I34" s="23"/>
      <c r="J34" s="23"/>
      <c r="K34" s="23"/>
      <c r="L34" s="23"/>
      <c r="M34" s="23"/>
      <c r="N34" s="23"/>
      <c r="O34" s="23"/>
      <c r="P34" s="23"/>
      <c r="Q34" s="23"/>
      <c r="R34" s="23"/>
      <c r="S34" s="23"/>
      <c r="T34" s="23"/>
      <c r="U34" s="23"/>
      <c r="V34" s="23"/>
      <c r="W34" s="23"/>
      <c r="X34" s="23"/>
      <c r="Y34" s="23"/>
      <c r="Z34" s="23"/>
      <c r="AA34" s="23"/>
      <c r="AB34" s="91"/>
      <c r="AC34" s="92"/>
      <c r="AD34" s="92"/>
      <c r="AE34" s="93"/>
      <c r="AF34" s="36"/>
      <c r="AG34" s="36"/>
      <c r="AH34" s="23"/>
      <c r="AI34" s="23"/>
      <c r="AJ34" s="23"/>
      <c r="AK34" s="23"/>
      <c r="AL34" s="23"/>
      <c r="AM34" s="23"/>
      <c r="AN34" s="23"/>
      <c r="AO34" s="23"/>
      <c r="AP34" s="23"/>
      <c r="AQ34" s="23"/>
      <c r="AR34" s="23"/>
      <c r="AS34" s="23"/>
      <c r="AT34" s="23"/>
      <c r="AU34" s="23"/>
      <c r="AV34" s="23"/>
      <c r="AW34" s="23"/>
      <c r="AX34" s="23"/>
      <c r="AY34" s="23"/>
      <c r="AZ34" s="23"/>
      <c r="BA34" s="91"/>
      <c r="BB34" s="92"/>
      <c r="BC34" s="92"/>
      <c r="BD34" s="93"/>
      <c r="BE34" s="36"/>
      <c r="BF34" s="36"/>
      <c r="BG34" s="23"/>
      <c r="BH34" s="23"/>
      <c r="BI34" s="23"/>
      <c r="BJ34" s="23"/>
      <c r="BK34" s="23"/>
      <c r="BL34" s="23"/>
      <c r="BM34" s="23"/>
      <c r="BN34" s="23"/>
      <c r="BO34" s="23"/>
      <c r="BP34" s="23"/>
      <c r="BQ34" s="23"/>
      <c r="BR34" s="23"/>
      <c r="BS34" s="23"/>
      <c r="BT34" s="23"/>
      <c r="BU34" s="23"/>
      <c r="BV34" s="23"/>
      <c r="BW34" s="23"/>
      <c r="BX34" s="23"/>
      <c r="BY34" s="23"/>
      <c r="BZ34" s="91"/>
      <c r="CA34" s="92"/>
      <c r="CB34" s="92"/>
      <c r="CC34" s="93"/>
      <c r="CD34" s="36"/>
      <c r="CE34" s="36"/>
      <c r="CF34" s="23"/>
      <c r="CG34" s="23"/>
      <c r="CH34" s="23"/>
      <c r="CI34" s="23"/>
      <c r="CJ34" s="23"/>
      <c r="CK34" s="23"/>
      <c r="CL34" s="23"/>
      <c r="CM34" s="23"/>
      <c r="CN34" s="23"/>
      <c r="CO34" s="23"/>
      <c r="CP34" s="23"/>
      <c r="CQ34" s="23"/>
      <c r="CR34" s="23"/>
      <c r="CS34" s="23"/>
      <c r="CT34" s="23"/>
      <c r="CU34" s="23"/>
      <c r="CV34" s="23"/>
      <c r="CW34" s="23"/>
      <c r="CX34" s="23"/>
      <c r="CY34" s="91"/>
      <c r="CZ34" s="92"/>
      <c r="DA34" s="92"/>
      <c r="DB34" s="93"/>
      <c r="DC34" s="36"/>
      <c r="DD34" s="36"/>
      <c r="DE34" s="23"/>
      <c r="DF34" s="23"/>
      <c r="DG34" s="23"/>
      <c r="DH34" s="23"/>
      <c r="DI34" s="23"/>
      <c r="DJ34" s="23"/>
      <c r="DK34" s="23"/>
      <c r="DL34" s="23"/>
      <c r="DM34" s="23"/>
      <c r="DN34" s="23"/>
      <c r="DO34" s="23"/>
      <c r="DP34" s="23"/>
      <c r="DQ34" s="23"/>
      <c r="DR34" s="23"/>
      <c r="DS34" s="23"/>
      <c r="DT34" s="23"/>
      <c r="DU34" s="23"/>
      <c r="DV34" s="23"/>
      <c r="DW34" s="23"/>
      <c r="DX34" s="91"/>
      <c r="DY34" s="92"/>
      <c r="DZ34" s="92"/>
      <c r="EA34" s="93"/>
      <c r="EB34" s="36"/>
      <c r="EC34" s="36"/>
      <c r="ED34" s="23"/>
      <c r="EE34" s="23"/>
      <c r="EF34" s="23"/>
      <c r="EG34" s="23"/>
      <c r="EH34" s="23"/>
      <c r="EI34" s="23"/>
      <c r="EJ34" s="23"/>
      <c r="EK34" s="23"/>
      <c r="EL34" s="23"/>
      <c r="EM34" s="23"/>
      <c r="EN34" s="23"/>
      <c r="EO34" s="23"/>
      <c r="EP34" s="23"/>
      <c r="EQ34" s="23"/>
      <c r="ER34" s="23"/>
      <c r="ES34" s="23"/>
      <c r="ET34" s="23"/>
      <c r="EU34" s="23"/>
      <c r="EV34" s="23"/>
      <c r="EW34" s="91"/>
      <c r="EX34" s="92"/>
      <c r="EY34" s="92"/>
      <c r="EZ34" s="93"/>
      <c r="FA34" s="36"/>
      <c r="FB34" s="36"/>
      <c r="FC34" s="23"/>
      <c r="FD34" s="23"/>
      <c r="FE34" s="23"/>
      <c r="FF34" s="23"/>
      <c r="FG34" s="23"/>
      <c r="FH34" s="23"/>
      <c r="FI34" s="23"/>
      <c r="FJ34" s="23"/>
      <c r="FK34" s="23"/>
      <c r="FL34" s="23"/>
      <c r="FM34" s="23"/>
      <c r="FN34" s="23"/>
      <c r="FO34" s="23"/>
      <c r="FP34" s="23"/>
      <c r="FQ34" s="23"/>
      <c r="FR34" s="23"/>
      <c r="FS34" s="23"/>
    </row>
    <row r="35" spans="1:175" ht="14.5" customHeight="1" x14ac:dyDescent="0.35">
      <c r="A35" s="23"/>
      <c r="B35" s="23"/>
      <c r="C35" s="94" t="s">
        <v>68</v>
      </c>
      <c r="D35" s="94">
        <f>F11+F15+F19</f>
        <v>1110</v>
      </c>
      <c r="E35" s="94" t="s">
        <v>69</v>
      </c>
      <c r="F35" s="94">
        <f>D39-D35</f>
        <v>3292.5025934508349</v>
      </c>
      <c r="G35" s="23"/>
      <c r="H35" s="23"/>
      <c r="I35" s="23"/>
      <c r="J35" s="23"/>
      <c r="K35" s="23"/>
      <c r="L35" s="23"/>
      <c r="M35" s="23"/>
      <c r="N35" s="23"/>
      <c r="O35" s="23"/>
      <c r="P35" s="23"/>
      <c r="Q35" s="23"/>
      <c r="R35" s="23"/>
      <c r="S35" s="23"/>
      <c r="T35" s="23"/>
      <c r="U35" s="23"/>
      <c r="V35" s="23"/>
      <c r="W35" s="23"/>
      <c r="X35" s="23"/>
      <c r="Y35" s="23"/>
      <c r="Z35" s="23"/>
      <c r="AA35" s="23"/>
      <c r="AB35" s="94" t="s">
        <v>68</v>
      </c>
      <c r="AC35" s="94">
        <f>AE11+AE15+AE19</f>
        <v>1165</v>
      </c>
      <c r="AD35" s="94" t="s">
        <v>69</v>
      </c>
      <c r="AE35" s="94">
        <f>AC39-AC35</f>
        <v>3251.464018165796</v>
      </c>
      <c r="AF35" s="23"/>
      <c r="AG35" s="23"/>
      <c r="AH35" s="23"/>
      <c r="AI35" s="23"/>
      <c r="AJ35" s="23"/>
      <c r="AK35" s="23"/>
      <c r="AL35" s="23"/>
      <c r="AM35" s="23"/>
      <c r="AN35" s="23"/>
      <c r="AO35" s="23"/>
      <c r="AP35" s="23"/>
      <c r="AQ35" s="23"/>
      <c r="AR35" s="23"/>
      <c r="AS35" s="23"/>
      <c r="AT35" s="23"/>
      <c r="AU35" s="23"/>
      <c r="AV35" s="23"/>
      <c r="AW35" s="23"/>
      <c r="AX35" s="23"/>
      <c r="AY35" s="23"/>
      <c r="AZ35" s="23"/>
      <c r="BA35" s="94" t="s">
        <v>68</v>
      </c>
      <c r="BB35" s="94">
        <f>BD11+BD15+BD19</f>
        <v>1270</v>
      </c>
      <c r="BC35" s="94" t="s">
        <v>69</v>
      </c>
      <c r="BD35" s="94">
        <f>BB39-BB35</f>
        <v>3946.9190351568577</v>
      </c>
      <c r="BE35" s="23"/>
      <c r="BF35" s="23"/>
      <c r="BG35" s="23"/>
      <c r="BH35" s="23"/>
      <c r="BI35" s="23"/>
      <c r="BJ35" s="23"/>
      <c r="BK35" s="23"/>
      <c r="BL35" s="23"/>
      <c r="BM35" s="23"/>
      <c r="BN35" s="23"/>
      <c r="BO35" s="23"/>
      <c r="BP35" s="23"/>
      <c r="BQ35" s="23"/>
      <c r="BR35" s="23"/>
      <c r="BS35" s="23"/>
      <c r="BT35" s="23"/>
      <c r="BU35" s="23"/>
      <c r="BV35" s="23"/>
      <c r="BW35" s="23"/>
      <c r="BX35" s="23"/>
      <c r="BY35" s="23"/>
      <c r="BZ35" s="94" t="s">
        <v>68</v>
      </c>
      <c r="CA35" s="94">
        <f>CC11+CC15+CC19</f>
        <v>1170</v>
      </c>
      <c r="CB35" s="94" t="s">
        <v>69</v>
      </c>
      <c r="CC35" s="94">
        <f>CA39-CA35</f>
        <v>3153.3878533993939</v>
      </c>
      <c r="CD35" s="23"/>
      <c r="CE35" s="23"/>
      <c r="CF35" s="23"/>
      <c r="CG35" s="23"/>
      <c r="CH35" s="23"/>
      <c r="CI35" s="23"/>
      <c r="CJ35" s="23"/>
      <c r="CK35" s="23"/>
      <c r="CL35" s="23"/>
      <c r="CM35" s="23"/>
      <c r="CN35" s="23"/>
      <c r="CO35" s="23"/>
      <c r="CP35" s="23"/>
      <c r="CQ35" s="23"/>
      <c r="CR35" s="23"/>
      <c r="CS35" s="23"/>
      <c r="CT35" s="23"/>
      <c r="CU35" s="23"/>
      <c r="CV35" s="23"/>
      <c r="CW35" s="23"/>
      <c r="CX35" s="23"/>
      <c r="CY35" s="94" t="s">
        <v>68</v>
      </c>
      <c r="CZ35" s="94">
        <f>DB11+DB15+DB19</f>
        <v>1120</v>
      </c>
      <c r="DA35" s="94" t="s">
        <v>69</v>
      </c>
      <c r="DB35" s="94">
        <f>CZ39-CZ35</f>
        <v>6754.2435392376465</v>
      </c>
      <c r="DC35" s="23"/>
      <c r="DD35" s="23"/>
      <c r="DE35" s="23"/>
      <c r="DF35" s="23"/>
      <c r="DG35" s="23"/>
      <c r="DH35" s="23"/>
      <c r="DI35" s="23"/>
      <c r="DJ35" s="23"/>
      <c r="DK35" s="23"/>
      <c r="DL35" s="23"/>
      <c r="DM35" s="23"/>
      <c r="DN35" s="23"/>
      <c r="DO35" s="23"/>
      <c r="DP35" s="23"/>
      <c r="DQ35" s="23"/>
      <c r="DR35" s="23"/>
      <c r="DS35" s="23"/>
      <c r="DT35" s="23"/>
      <c r="DU35" s="23"/>
      <c r="DV35" s="23"/>
      <c r="DW35" s="23"/>
      <c r="DX35" s="94" t="s">
        <v>68</v>
      </c>
      <c r="DY35" s="94">
        <f>EA11+EA15+EA19</f>
        <v>1110</v>
      </c>
      <c r="DZ35" s="94" t="s">
        <v>69</v>
      </c>
      <c r="EA35" s="94">
        <f>DY39-DY35</f>
        <v>5149.3720805405646</v>
      </c>
      <c r="EB35" s="23"/>
      <c r="EC35" s="23"/>
      <c r="ED35" s="23"/>
      <c r="EE35" s="23"/>
      <c r="EF35" s="23"/>
      <c r="EG35" s="23"/>
      <c r="EH35" s="23"/>
      <c r="EI35" s="23"/>
      <c r="EJ35" s="23"/>
      <c r="EK35" s="23"/>
      <c r="EL35" s="23"/>
      <c r="EM35" s="23"/>
      <c r="EN35" s="23"/>
      <c r="EO35" s="23"/>
      <c r="EP35" s="23"/>
      <c r="EQ35" s="23"/>
      <c r="ER35" s="23"/>
      <c r="ES35" s="23"/>
      <c r="ET35" s="23"/>
      <c r="EU35" s="23"/>
      <c r="EV35" s="23"/>
      <c r="EW35" s="94" t="s">
        <v>68</v>
      </c>
      <c r="EX35" s="94">
        <f>EZ11+EZ15+EZ19</f>
        <v>1110</v>
      </c>
      <c r="EY35" s="94" t="s">
        <v>69</v>
      </c>
      <c r="EZ35" s="94">
        <f>EX39-EX35</f>
        <v>4060.3809527736557</v>
      </c>
      <c r="FA35" s="23"/>
      <c r="FB35" s="23"/>
      <c r="FC35" s="23"/>
      <c r="FD35" s="23"/>
      <c r="FE35" s="23"/>
      <c r="FF35" s="23"/>
      <c r="FG35" s="23"/>
      <c r="FH35" s="23"/>
      <c r="FI35" s="23"/>
      <c r="FJ35" s="23"/>
      <c r="FK35" s="23"/>
      <c r="FL35" s="23"/>
      <c r="FM35" s="23"/>
      <c r="FN35" s="23"/>
      <c r="FO35" s="23"/>
      <c r="FP35" s="23"/>
      <c r="FQ35" s="23"/>
      <c r="FR35" s="23"/>
      <c r="FS35" s="23"/>
    </row>
    <row r="36" spans="1:175" ht="14.5" customHeight="1" x14ac:dyDescent="0.35">
      <c r="A36" s="23"/>
      <c r="B36" s="23"/>
      <c r="C36" s="94"/>
      <c r="D36" s="94"/>
      <c r="E36" s="94"/>
      <c r="F36" s="94"/>
      <c r="G36" s="23"/>
      <c r="H36" s="37"/>
      <c r="I36" s="37"/>
      <c r="J36" s="37"/>
      <c r="K36" s="37"/>
      <c r="L36" s="37"/>
      <c r="M36" s="37"/>
      <c r="N36" s="37"/>
      <c r="O36" s="23"/>
      <c r="P36" s="23"/>
      <c r="Q36" s="23"/>
      <c r="R36" s="23"/>
      <c r="S36" s="23"/>
      <c r="T36" s="23"/>
      <c r="U36" s="23"/>
      <c r="V36" s="23"/>
      <c r="W36" s="23"/>
      <c r="X36" s="23"/>
      <c r="Y36" s="23"/>
      <c r="Z36" s="23"/>
      <c r="AA36" s="23"/>
      <c r="AB36" s="94"/>
      <c r="AC36" s="94"/>
      <c r="AD36" s="94"/>
      <c r="AE36" s="94"/>
      <c r="AF36" s="23"/>
      <c r="AG36" s="37"/>
      <c r="AH36" s="37"/>
      <c r="AI36" s="37"/>
      <c r="AJ36" s="37"/>
      <c r="AK36" s="37"/>
      <c r="AL36" s="37"/>
      <c r="AM36" s="37"/>
      <c r="AN36" s="23"/>
      <c r="AO36" s="23"/>
      <c r="AP36" s="23"/>
      <c r="AQ36" s="23"/>
      <c r="AR36" s="23"/>
      <c r="AS36" s="23"/>
      <c r="AT36" s="23"/>
      <c r="AU36" s="23"/>
      <c r="AV36" s="23"/>
      <c r="AW36" s="23"/>
      <c r="AX36" s="23"/>
      <c r="AY36" s="23"/>
      <c r="AZ36" s="23"/>
      <c r="BA36" s="94"/>
      <c r="BB36" s="94"/>
      <c r="BC36" s="94"/>
      <c r="BD36" s="94"/>
      <c r="BE36" s="23"/>
      <c r="BF36" s="37"/>
      <c r="BG36" s="37"/>
      <c r="BH36" s="37"/>
      <c r="BI36" s="37"/>
      <c r="BJ36" s="37"/>
      <c r="BK36" s="37"/>
      <c r="BL36" s="37"/>
      <c r="BM36" s="23"/>
      <c r="BN36" s="23"/>
      <c r="BO36" s="23"/>
      <c r="BP36" s="23"/>
      <c r="BQ36" s="23"/>
      <c r="BR36" s="23"/>
      <c r="BS36" s="23"/>
      <c r="BT36" s="23"/>
      <c r="BU36" s="23"/>
      <c r="BV36" s="23"/>
      <c r="BW36" s="23"/>
      <c r="BX36" s="23"/>
      <c r="BY36" s="23"/>
      <c r="BZ36" s="94"/>
      <c r="CA36" s="94"/>
      <c r="CB36" s="94"/>
      <c r="CC36" s="94"/>
      <c r="CD36" s="23"/>
      <c r="CE36" s="37"/>
      <c r="CF36" s="37"/>
      <c r="CG36" s="37"/>
      <c r="CH36" s="37"/>
      <c r="CI36" s="37"/>
      <c r="CJ36" s="37"/>
      <c r="CK36" s="37"/>
      <c r="CL36" s="23"/>
      <c r="CM36" s="23"/>
      <c r="CN36" s="23"/>
      <c r="CO36" s="23"/>
      <c r="CP36" s="23"/>
      <c r="CQ36" s="23"/>
      <c r="CR36" s="23"/>
      <c r="CS36" s="23"/>
      <c r="CT36" s="23"/>
      <c r="CU36" s="23"/>
      <c r="CV36" s="23"/>
      <c r="CW36" s="23"/>
      <c r="CX36" s="23"/>
      <c r="CY36" s="94"/>
      <c r="CZ36" s="94"/>
      <c r="DA36" s="94"/>
      <c r="DB36" s="94"/>
      <c r="DC36" s="23"/>
      <c r="DD36" s="37"/>
      <c r="DE36" s="37"/>
      <c r="DF36" s="37"/>
      <c r="DG36" s="37"/>
      <c r="DH36" s="37"/>
      <c r="DI36" s="37"/>
      <c r="DJ36" s="37"/>
      <c r="DK36" s="23"/>
      <c r="DL36" s="23"/>
      <c r="DM36" s="23"/>
      <c r="DN36" s="23"/>
      <c r="DO36" s="23"/>
      <c r="DP36" s="23"/>
      <c r="DQ36" s="23"/>
      <c r="DR36" s="23"/>
      <c r="DS36" s="23"/>
      <c r="DT36" s="23"/>
      <c r="DU36" s="23"/>
      <c r="DV36" s="23"/>
      <c r="DW36" s="23"/>
      <c r="DX36" s="94"/>
      <c r="DY36" s="94"/>
      <c r="DZ36" s="94"/>
      <c r="EA36" s="94"/>
      <c r="EB36" s="23"/>
      <c r="EC36" s="37"/>
      <c r="ED36" s="37"/>
      <c r="EE36" s="37"/>
      <c r="EF36" s="37"/>
      <c r="EG36" s="37"/>
      <c r="EH36" s="37"/>
      <c r="EI36" s="37"/>
      <c r="EJ36" s="23"/>
      <c r="EK36" s="23"/>
      <c r="EL36" s="23"/>
      <c r="EM36" s="23"/>
      <c r="EN36" s="23"/>
      <c r="EO36" s="23"/>
      <c r="EP36" s="23"/>
      <c r="EQ36" s="23"/>
      <c r="ER36" s="23"/>
      <c r="ES36" s="23"/>
      <c r="ET36" s="23"/>
      <c r="EU36" s="23"/>
      <c r="EV36" s="23"/>
      <c r="EW36" s="94"/>
      <c r="EX36" s="94"/>
      <c r="EY36" s="94"/>
      <c r="EZ36" s="94"/>
      <c r="FA36" s="23"/>
      <c r="FB36" s="37"/>
      <c r="FC36" s="37"/>
      <c r="FD36" s="37"/>
      <c r="FE36" s="37"/>
      <c r="FF36" s="37"/>
      <c r="FG36" s="37"/>
      <c r="FH36" s="37"/>
      <c r="FI36" s="23"/>
      <c r="FJ36" s="23"/>
      <c r="FK36" s="23"/>
      <c r="FL36" s="23"/>
      <c r="FM36" s="23"/>
      <c r="FN36" s="23"/>
      <c r="FO36" s="23"/>
      <c r="FP36" s="23"/>
      <c r="FQ36" s="23"/>
      <c r="FR36" s="23"/>
      <c r="FS36" s="23"/>
    </row>
    <row r="37" spans="1:175" ht="14.5" customHeight="1" x14ac:dyDescent="0.35">
      <c r="A37" s="23"/>
      <c r="B37" s="23"/>
      <c r="C37" s="94"/>
      <c r="D37" s="94"/>
      <c r="E37" s="94"/>
      <c r="F37" s="94"/>
      <c r="G37" s="23"/>
      <c r="H37" s="37"/>
      <c r="I37" s="37"/>
      <c r="J37" s="37"/>
      <c r="K37" s="37"/>
      <c r="L37" s="37"/>
      <c r="M37" s="37"/>
      <c r="N37" s="37"/>
      <c r="O37" s="23"/>
      <c r="P37" s="23"/>
      <c r="Q37" s="23"/>
      <c r="R37" s="23"/>
      <c r="S37" s="23"/>
      <c r="T37" s="23"/>
      <c r="U37" s="23"/>
      <c r="V37" s="23"/>
      <c r="W37" s="23"/>
      <c r="X37" s="23"/>
      <c r="Y37" s="23"/>
      <c r="Z37" s="23"/>
      <c r="AA37" s="23"/>
      <c r="AB37" s="94"/>
      <c r="AC37" s="94"/>
      <c r="AD37" s="94"/>
      <c r="AE37" s="94"/>
      <c r="AF37" s="23"/>
      <c r="AG37" s="37"/>
      <c r="AH37" s="37"/>
      <c r="AI37" s="37"/>
      <c r="AJ37" s="37"/>
      <c r="AK37" s="37"/>
      <c r="AL37" s="37"/>
      <c r="AM37" s="37"/>
      <c r="AN37" s="23"/>
      <c r="AO37" s="23"/>
      <c r="AP37" s="23"/>
      <c r="AQ37" s="23"/>
      <c r="AR37" s="23"/>
      <c r="AS37" s="23"/>
      <c r="AT37" s="23"/>
      <c r="AU37" s="23"/>
      <c r="AV37" s="23"/>
      <c r="AW37" s="23"/>
      <c r="AX37" s="23"/>
      <c r="AY37" s="23"/>
      <c r="AZ37" s="23"/>
      <c r="BA37" s="94"/>
      <c r="BB37" s="94"/>
      <c r="BC37" s="94"/>
      <c r="BD37" s="94"/>
      <c r="BE37" s="23"/>
      <c r="BF37" s="37"/>
      <c r="BG37" s="37"/>
      <c r="BH37" s="37"/>
      <c r="BI37" s="37"/>
      <c r="BJ37" s="37"/>
      <c r="BK37" s="37"/>
      <c r="BL37" s="37"/>
      <c r="BM37" s="23"/>
      <c r="BN37" s="23"/>
      <c r="BO37" s="23"/>
      <c r="BP37" s="23"/>
      <c r="BQ37" s="23"/>
      <c r="BR37" s="23"/>
      <c r="BS37" s="23"/>
      <c r="BT37" s="23"/>
      <c r="BU37" s="23"/>
      <c r="BV37" s="23"/>
      <c r="BW37" s="23"/>
      <c r="BX37" s="23"/>
      <c r="BY37" s="23"/>
      <c r="BZ37" s="94"/>
      <c r="CA37" s="94"/>
      <c r="CB37" s="94"/>
      <c r="CC37" s="94"/>
      <c r="CD37" s="23"/>
      <c r="CE37" s="37"/>
      <c r="CF37" s="37"/>
      <c r="CG37" s="37"/>
      <c r="CH37" s="37"/>
      <c r="CI37" s="37"/>
      <c r="CJ37" s="37"/>
      <c r="CK37" s="37"/>
      <c r="CL37" s="23"/>
      <c r="CM37" s="23"/>
      <c r="CN37" s="23"/>
      <c r="CO37" s="23"/>
      <c r="CP37" s="23"/>
      <c r="CQ37" s="23"/>
      <c r="CR37" s="23"/>
      <c r="CS37" s="23"/>
      <c r="CT37" s="23"/>
      <c r="CU37" s="23"/>
      <c r="CV37" s="23"/>
      <c r="CW37" s="23"/>
      <c r="CX37" s="23"/>
      <c r="CY37" s="94"/>
      <c r="CZ37" s="94"/>
      <c r="DA37" s="94"/>
      <c r="DB37" s="94"/>
      <c r="DC37" s="23"/>
      <c r="DD37" s="37"/>
      <c r="DE37" s="37"/>
      <c r="DF37" s="37"/>
      <c r="DG37" s="37"/>
      <c r="DH37" s="37"/>
      <c r="DI37" s="37"/>
      <c r="DJ37" s="37"/>
      <c r="DK37" s="23"/>
      <c r="DL37" s="23"/>
      <c r="DM37" s="23"/>
      <c r="DN37" s="23"/>
      <c r="DO37" s="23"/>
      <c r="DP37" s="23"/>
      <c r="DQ37" s="23"/>
      <c r="DR37" s="23"/>
      <c r="DS37" s="23"/>
      <c r="DT37" s="23"/>
      <c r="DU37" s="23"/>
      <c r="DV37" s="23"/>
      <c r="DW37" s="23"/>
      <c r="DX37" s="94"/>
      <c r="DY37" s="94"/>
      <c r="DZ37" s="94"/>
      <c r="EA37" s="94"/>
      <c r="EB37" s="23"/>
      <c r="EC37" s="37"/>
      <c r="ED37" s="37"/>
      <c r="EE37" s="37"/>
      <c r="EF37" s="37"/>
      <c r="EG37" s="37"/>
      <c r="EH37" s="37"/>
      <c r="EI37" s="37"/>
      <c r="EJ37" s="23"/>
      <c r="EK37" s="23"/>
      <c r="EL37" s="23"/>
      <c r="EM37" s="23"/>
      <c r="EN37" s="23"/>
      <c r="EO37" s="23"/>
      <c r="EP37" s="23"/>
      <c r="EQ37" s="23"/>
      <c r="ER37" s="23"/>
      <c r="ES37" s="23"/>
      <c r="ET37" s="23"/>
      <c r="EU37" s="23"/>
      <c r="EV37" s="23"/>
      <c r="EW37" s="94"/>
      <c r="EX37" s="94"/>
      <c r="EY37" s="94"/>
      <c r="EZ37" s="94"/>
      <c r="FA37" s="23"/>
      <c r="FB37" s="37"/>
      <c r="FC37" s="37"/>
      <c r="FD37" s="37"/>
      <c r="FE37" s="37"/>
      <c r="FF37" s="37"/>
      <c r="FG37" s="37"/>
      <c r="FH37" s="37"/>
      <c r="FI37" s="23"/>
      <c r="FJ37" s="23"/>
      <c r="FK37" s="23"/>
      <c r="FL37" s="23"/>
      <c r="FM37" s="23"/>
      <c r="FN37" s="23"/>
      <c r="FO37" s="23"/>
      <c r="FP37" s="23"/>
      <c r="FQ37" s="23"/>
      <c r="FR37" s="23"/>
      <c r="FS37" s="23"/>
    </row>
    <row r="38" spans="1:175" ht="15" customHeight="1" thickBot="1" x14ac:dyDescent="0.4">
      <c r="A38" s="23"/>
      <c r="B38" s="23"/>
      <c r="C38" s="95"/>
      <c r="D38" s="95"/>
      <c r="E38" s="95"/>
      <c r="F38" s="95"/>
      <c r="G38" s="23"/>
      <c r="H38" s="37"/>
      <c r="I38" s="37"/>
      <c r="J38" s="37"/>
      <c r="K38" s="37"/>
      <c r="L38" s="37"/>
      <c r="M38" s="37"/>
      <c r="N38" s="37"/>
      <c r="O38" s="23"/>
      <c r="P38" s="23"/>
      <c r="Q38" s="23"/>
      <c r="R38" s="23"/>
      <c r="S38" s="23"/>
      <c r="T38" s="23"/>
      <c r="U38" s="23"/>
      <c r="V38" s="23"/>
      <c r="W38" s="23"/>
      <c r="X38" s="23"/>
      <c r="Y38" s="23"/>
      <c r="Z38" s="23"/>
      <c r="AA38" s="23"/>
      <c r="AB38" s="95"/>
      <c r="AC38" s="95"/>
      <c r="AD38" s="95"/>
      <c r="AE38" s="95"/>
      <c r="AF38" s="23"/>
      <c r="AG38" s="37"/>
      <c r="AH38" s="37"/>
      <c r="AI38" s="37"/>
      <c r="AJ38" s="37"/>
      <c r="AK38" s="37"/>
      <c r="AL38" s="37"/>
      <c r="AM38" s="37"/>
      <c r="AN38" s="23"/>
      <c r="AO38" s="23"/>
      <c r="AP38" s="23"/>
      <c r="AQ38" s="23"/>
      <c r="AR38" s="23"/>
      <c r="AS38" s="23"/>
      <c r="AT38" s="23"/>
      <c r="AU38" s="23"/>
      <c r="AV38" s="23"/>
      <c r="AW38" s="23"/>
      <c r="AX38" s="23"/>
      <c r="AY38" s="23"/>
      <c r="AZ38" s="23"/>
      <c r="BA38" s="95"/>
      <c r="BB38" s="95"/>
      <c r="BC38" s="95"/>
      <c r="BD38" s="95"/>
      <c r="BE38" s="23"/>
      <c r="BF38" s="37"/>
      <c r="BG38" s="37"/>
      <c r="BH38" s="37"/>
      <c r="BI38" s="37"/>
      <c r="BJ38" s="37"/>
      <c r="BK38" s="37"/>
      <c r="BL38" s="37"/>
      <c r="BM38" s="23"/>
      <c r="BN38" s="23"/>
      <c r="BO38" s="23"/>
      <c r="BP38" s="23"/>
      <c r="BQ38" s="23"/>
      <c r="BR38" s="23"/>
      <c r="BS38" s="23"/>
      <c r="BT38" s="23"/>
      <c r="BU38" s="23"/>
      <c r="BV38" s="23"/>
      <c r="BW38" s="23"/>
      <c r="BX38" s="23"/>
      <c r="BY38" s="23"/>
      <c r="BZ38" s="95"/>
      <c r="CA38" s="95"/>
      <c r="CB38" s="95"/>
      <c r="CC38" s="95"/>
      <c r="CD38" s="23"/>
      <c r="CE38" s="37"/>
      <c r="CF38" s="37"/>
      <c r="CG38" s="37"/>
      <c r="CH38" s="37"/>
      <c r="CI38" s="37"/>
      <c r="CJ38" s="37"/>
      <c r="CK38" s="37"/>
      <c r="CL38" s="23"/>
      <c r="CM38" s="23"/>
      <c r="CN38" s="23"/>
      <c r="CO38" s="23"/>
      <c r="CP38" s="23"/>
      <c r="CQ38" s="23"/>
      <c r="CR38" s="23"/>
      <c r="CS38" s="23"/>
      <c r="CT38" s="23"/>
      <c r="CU38" s="23"/>
      <c r="CV38" s="23"/>
      <c r="CW38" s="23"/>
      <c r="CX38" s="23"/>
      <c r="CY38" s="95"/>
      <c r="CZ38" s="95"/>
      <c r="DA38" s="95"/>
      <c r="DB38" s="95"/>
      <c r="DC38" s="23"/>
      <c r="DD38" s="37"/>
      <c r="DE38" s="37"/>
      <c r="DF38" s="37"/>
      <c r="DG38" s="37"/>
      <c r="DH38" s="37"/>
      <c r="DI38" s="37"/>
      <c r="DJ38" s="37"/>
      <c r="DK38" s="23"/>
      <c r="DL38" s="23"/>
      <c r="DM38" s="23"/>
      <c r="DN38" s="23"/>
      <c r="DO38" s="23"/>
      <c r="DP38" s="23"/>
      <c r="DQ38" s="23"/>
      <c r="DR38" s="23"/>
      <c r="DS38" s="23"/>
      <c r="DT38" s="23"/>
      <c r="DU38" s="23"/>
      <c r="DV38" s="23"/>
      <c r="DW38" s="23"/>
      <c r="DX38" s="95"/>
      <c r="DY38" s="95"/>
      <c r="DZ38" s="95"/>
      <c r="EA38" s="95"/>
      <c r="EB38" s="23"/>
      <c r="EC38" s="37"/>
      <c r="ED38" s="37"/>
      <c r="EE38" s="37"/>
      <c r="EF38" s="37"/>
      <c r="EG38" s="37"/>
      <c r="EH38" s="37"/>
      <c r="EI38" s="37"/>
      <c r="EJ38" s="23"/>
      <c r="EK38" s="23"/>
      <c r="EL38" s="23"/>
      <c r="EM38" s="23"/>
      <c r="EN38" s="23"/>
      <c r="EO38" s="23"/>
      <c r="EP38" s="23"/>
      <c r="EQ38" s="23"/>
      <c r="ER38" s="23"/>
      <c r="ES38" s="23"/>
      <c r="ET38" s="23"/>
      <c r="EU38" s="23"/>
      <c r="EV38" s="23"/>
      <c r="EW38" s="95"/>
      <c r="EX38" s="95"/>
      <c r="EY38" s="95"/>
      <c r="EZ38" s="95"/>
      <c r="FA38" s="23"/>
      <c r="FB38" s="37"/>
      <c r="FC38" s="37"/>
      <c r="FD38" s="37"/>
      <c r="FE38" s="37"/>
      <c r="FF38" s="37"/>
      <c r="FG38" s="37"/>
      <c r="FH38" s="37"/>
      <c r="FI38" s="23"/>
      <c r="FJ38" s="23"/>
      <c r="FK38" s="23"/>
      <c r="FL38" s="23"/>
      <c r="FM38" s="23"/>
      <c r="FN38" s="23"/>
      <c r="FO38" s="23"/>
      <c r="FP38" s="23"/>
      <c r="FQ38" s="23"/>
      <c r="FR38" s="23"/>
      <c r="FS38" s="23"/>
    </row>
    <row r="39" spans="1:175" ht="14.5" customHeight="1" x14ac:dyDescent="0.35">
      <c r="A39" s="23"/>
      <c r="B39" s="23"/>
      <c r="C39" s="94" t="s">
        <v>70</v>
      </c>
      <c r="D39" s="94">
        <f>SUM(Q13:Q28)</f>
        <v>4402.5025934508349</v>
      </c>
      <c r="E39" s="94" t="s">
        <v>71</v>
      </c>
      <c r="F39" s="94" t="str">
        <f>IF(F35&lt;0,"Bad shape","Fit shape")</f>
        <v>Fit shape</v>
      </c>
      <c r="G39" s="23"/>
      <c r="H39" s="37"/>
      <c r="I39" s="37"/>
      <c r="J39" s="37"/>
      <c r="K39" s="37"/>
      <c r="L39" s="37"/>
      <c r="M39" s="37"/>
      <c r="N39" s="37"/>
      <c r="O39" s="23"/>
      <c r="P39" s="23"/>
      <c r="Q39" s="23"/>
      <c r="R39" s="23"/>
      <c r="S39" s="23"/>
      <c r="T39" s="23"/>
      <c r="U39" s="23"/>
      <c r="V39" s="23"/>
      <c r="W39" s="23"/>
      <c r="X39" s="23"/>
      <c r="Y39" s="23"/>
      <c r="Z39" s="23"/>
      <c r="AA39" s="23"/>
      <c r="AB39" s="94" t="s">
        <v>70</v>
      </c>
      <c r="AC39" s="94">
        <f>SUM(AP13:AP28)</f>
        <v>4416.464018165796</v>
      </c>
      <c r="AD39" s="94" t="s">
        <v>71</v>
      </c>
      <c r="AE39" s="94" t="str">
        <f>IF(AE35&lt;0,"Bad shape","Fit shape")</f>
        <v>Fit shape</v>
      </c>
      <c r="AF39" s="23"/>
      <c r="AG39" s="37"/>
      <c r="AH39" s="37"/>
      <c r="AI39" s="37"/>
      <c r="AJ39" s="37"/>
      <c r="AK39" s="37"/>
      <c r="AL39" s="37"/>
      <c r="AM39" s="37"/>
      <c r="AN39" s="23"/>
      <c r="AO39" s="23"/>
      <c r="AP39" s="23"/>
      <c r="AQ39" s="23"/>
      <c r="AR39" s="23"/>
      <c r="AS39" s="23"/>
      <c r="AT39" s="23"/>
      <c r="AU39" s="23"/>
      <c r="AV39" s="23"/>
      <c r="AW39" s="23"/>
      <c r="AX39" s="23"/>
      <c r="AY39" s="23"/>
      <c r="AZ39" s="23"/>
      <c r="BA39" s="94" t="s">
        <v>70</v>
      </c>
      <c r="BB39" s="94">
        <f>SUM(BO13:BO28)</f>
        <v>5216.9190351568577</v>
      </c>
      <c r="BC39" s="94" t="s">
        <v>71</v>
      </c>
      <c r="BD39" s="94" t="str">
        <f>IF(BD35&lt;0,"Bad shape","Fit shape")</f>
        <v>Fit shape</v>
      </c>
      <c r="BE39" s="23"/>
      <c r="BF39" s="37"/>
      <c r="BG39" s="37"/>
      <c r="BH39" s="37"/>
      <c r="BI39" s="37"/>
      <c r="BJ39" s="37"/>
      <c r="BK39" s="37"/>
      <c r="BL39" s="37"/>
      <c r="BM39" s="23"/>
      <c r="BN39" s="23"/>
      <c r="BO39" s="23"/>
      <c r="BP39" s="23"/>
      <c r="BQ39" s="23"/>
      <c r="BR39" s="23"/>
      <c r="BS39" s="23"/>
      <c r="BT39" s="23"/>
      <c r="BU39" s="23"/>
      <c r="BV39" s="23"/>
      <c r="BW39" s="23"/>
      <c r="BX39" s="23"/>
      <c r="BY39" s="23"/>
      <c r="BZ39" s="94" t="s">
        <v>70</v>
      </c>
      <c r="CA39" s="94">
        <f>SUM(CN13:CN28)</f>
        <v>4323.3878533993939</v>
      </c>
      <c r="CB39" s="94" t="s">
        <v>71</v>
      </c>
      <c r="CC39" s="94" t="str">
        <f>IF(CC35&lt;0,"Bad shape","Fit shape")</f>
        <v>Fit shape</v>
      </c>
      <c r="CD39" s="23"/>
      <c r="CE39" s="37"/>
      <c r="CF39" s="37"/>
      <c r="CG39" s="37"/>
      <c r="CH39" s="37"/>
      <c r="CI39" s="37"/>
      <c r="CJ39" s="37"/>
      <c r="CK39" s="37"/>
      <c r="CL39" s="23"/>
      <c r="CM39" s="23"/>
      <c r="CN39" s="23"/>
      <c r="CO39" s="23"/>
      <c r="CP39" s="23"/>
      <c r="CQ39" s="23"/>
      <c r="CR39" s="23"/>
      <c r="CS39" s="23"/>
      <c r="CT39" s="23"/>
      <c r="CU39" s="23"/>
      <c r="CV39" s="23"/>
      <c r="CW39" s="23"/>
      <c r="CX39" s="23"/>
      <c r="CY39" s="94" t="s">
        <v>70</v>
      </c>
      <c r="CZ39" s="94">
        <f>SUM(DM13:DM28)</f>
        <v>7874.2435392376465</v>
      </c>
      <c r="DA39" s="94" t="s">
        <v>71</v>
      </c>
      <c r="DB39" s="94" t="str">
        <f>IF(DB35&lt;0,"Bad shape","Fit shape")</f>
        <v>Fit shape</v>
      </c>
      <c r="DC39" s="23"/>
      <c r="DD39" s="37"/>
      <c r="DE39" s="37"/>
      <c r="DF39" s="37"/>
      <c r="DG39" s="37"/>
      <c r="DH39" s="37"/>
      <c r="DI39" s="37"/>
      <c r="DJ39" s="37"/>
      <c r="DK39" s="23"/>
      <c r="DL39" s="23"/>
      <c r="DM39" s="23"/>
      <c r="DN39" s="23"/>
      <c r="DO39" s="23"/>
      <c r="DP39" s="23"/>
      <c r="DQ39" s="23"/>
      <c r="DR39" s="23"/>
      <c r="DS39" s="23"/>
      <c r="DT39" s="23"/>
      <c r="DU39" s="23"/>
      <c r="DV39" s="23"/>
      <c r="DW39" s="23"/>
      <c r="DX39" s="94" t="s">
        <v>70</v>
      </c>
      <c r="DY39" s="94">
        <f>SUM(EL13:EL28)</f>
        <v>6259.3720805405646</v>
      </c>
      <c r="DZ39" s="94" t="s">
        <v>71</v>
      </c>
      <c r="EA39" s="94" t="str">
        <f>IF(EA35&lt;0,"Bad shape","Fit shape")</f>
        <v>Fit shape</v>
      </c>
      <c r="EB39" s="23"/>
      <c r="EC39" s="37"/>
      <c r="ED39" s="37"/>
      <c r="EE39" s="37"/>
      <c r="EF39" s="37"/>
      <c r="EG39" s="37"/>
      <c r="EH39" s="37"/>
      <c r="EI39" s="37"/>
      <c r="EJ39" s="23"/>
      <c r="EK39" s="23"/>
      <c r="EL39" s="23"/>
      <c r="EM39" s="23"/>
      <c r="EN39" s="23"/>
      <c r="EO39" s="23"/>
      <c r="EP39" s="23"/>
      <c r="EQ39" s="23"/>
      <c r="ER39" s="23"/>
      <c r="ES39" s="23"/>
      <c r="ET39" s="23"/>
      <c r="EU39" s="23"/>
      <c r="EV39" s="23"/>
      <c r="EW39" s="94" t="s">
        <v>70</v>
      </c>
      <c r="EX39" s="94">
        <f>SUM(FK13:FK28)</f>
        <v>5170.3809527736557</v>
      </c>
      <c r="EY39" s="94" t="s">
        <v>71</v>
      </c>
      <c r="EZ39" s="94" t="str">
        <f>IF(EZ35&lt;0,"Bad shape","Fit shape")</f>
        <v>Fit shape</v>
      </c>
      <c r="FA39" s="23"/>
      <c r="FB39" s="37"/>
      <c r="FC39" s="37"/>
      <c r="FD39" s="37"/>
      <c r="FE39" s="37"/>
      <c r="FF39" s="37"/>
      <c r="FG39" s="37"/>
      <c r="FH39" s="37"/>
      <c r="FI39" s="23"/>
      <c r="FJ39" s="23"/>
      <c r="FK39" s="23"/>
      <c r="FL39" s="23"/>
      <c r="FM39" s="23"/>
      <c r="FN39" s="23"/>
      <c r="FO39" s="23"/>
      <c r="FP39" s="23"/>
      <c r="FQ39" s="23"/>
      <c r="FR39" s="23"/>
      <c r="FS39" s="23"/>
    </row>
    <row r="40" spans="1:175" ht="14.5" customHeight="1" x14ac:dyDescent="0.35">
      <c r="A40" s="23"/>
      <c r="B40" s="23"/>
      <c r="C40" s="94"/>
      <c r="D40" s="94"/>
      <c r="E40" s="94"/>
      <c r="F40" s="94"/>
      <c r="G40" s="23"/>
      <c r="H40" s="37"/>
      <c r="I40" s="37"/>
      <c r="J40" s="37"/>
      <c r="K40" s="37"/>
      <c r="L40" s="37"/>
      <c r="M40" s="37"/>
      <c r="N40" s="37"/>
      <c r="O40" s="23"/>
      <c r="P40" s="23"/>
      <c r="Q40" s="23"/>
      <c r="R40" s="23"/>
      <c r="S40" s="23"/>
      <c r="T40" s="23"/>
      <c r="U40" s="23"/>
      <c r="V40" s="23"/>
      <c r="W40" s="23"/>
      <c r="X40" s="23"/>
      <c r="Y40" s="23"/>
      <c r="Z40" s="23"/>
      <c r="AA40" s="23"/>
      <c r="AB40" s="94"/>
      <c r="AC40" s="94"/>
      <c r="AD40" s="94"/>
      <c r="AE40" s="94"/>
      <c r="AF40" s="23"/>
      <c r="AG40" s="37"/>
      <c r="AH40" s="37"/>
      <c r="AI40" s="37"/>
      <c r="AJ40" s="37"/>
      <c r="AK40" s="37"/>
      <c r="AL40" s="37"/>
      <c r="AM40" s="37"/>
      <c r="AN40" s="23"/>
      <c r="AO40" s="23"/>
      <c r="AP40" s="23"/>
      <c r="AQ40" s="23"/>
      <c r="AR40" s="23"/>
      <c r="AS40" s="23"/>
      <c r="AT40" s="23"/>
      <c r="AU40" s="23"/>
      <c r="AV40" s="23"/>
      <c r="AW40" s="23"/>
      <c r="AX40" s="23"/>
      <c r="AY40" s="23"/>
      <c r="AZ40" s="23"/>
      <c r="BA40" s="94"/>
      <c r="BB40" s="94"/>
      <c r="BC40" s="94"/>
      <c r="BD40" s="94"/>
      <c r="BE40" s="23"/>
      <c r="BF40" s="37"/>
      <c r="BG40" s="37"/>
      <c r="BH40" s="37"/>
      <c r="BI40" s="37"/>
      <c r="BJ40" s="37"/>
      <c r="BK40" s="37"/>
      <c r="BL40" s="37"/>
      <c r="BM40" s="23"/>
      <c r="BN40" s="23"/>
      <c r="BO40" s="23"/>
      <c r="BP40" s="23"/>
      <c r="BQ40" s="23"/>
      <c r="BR40" s="23"/>
      <c r="BS40" s="23"/>
      <c r="BT40" s="23"/>
      <c r="BU40" s="23"/>
      <c r="BV40" s="23"/>
      <c r="BW40" s="23"/>
      <c r="BX40" s="23"/>
      <c r="BY40" s="23"/>
      <c r="BZ40" s="94"/>
      <c r="CA40" s="94"/>
      <c r="CB40" s="94"/>
      <c r="CC40" s="94"/>
      <c r="CD40" s="23"/>
      <c r="CE40" s="37"/>
      <c r="CF40" s="37"/>
      <c r="CG40" s="37"/>
      <c r="CH40" s="37"/>
      <c r="CI40" s="37"/>
      <c r="CJ40" s="37"/>
      <c r="CK40" s="37"/>
      <c r="CL40" s="23"/>
      <c r="CM40" s="23"/>
      <c r="CN40" s="23"/>
      <c r="CO40" s="23"/>
      <c r="CP40" s="23"/>
      <c r="CQ40" s="23"/>
      <c r="CR40" s="23"/>
      <c r="CS40" s="23"/>
      <c r="CT40" s="23"/>
      <c r="CU40" s="23"/>
      <c r="CV40" s="23"/>
      <c r="CW40" s="23"/>
      <c r="CX40" s="23"/>
      <c r="CY40" s="94"/>
      <c r="CZ40" s="94"/>
      <c r="DA40" s="94"/>
      <c r="DB40" s="94"/>
      <c r="DC40" s="23"/>
      <c r="DD40" s="37"/>
      <c r="DE40" s="37"/>
      <c r="DF40" s="37"/>
      <c r="DG40" s="37"/>
      <c r="DH40" s="37"/>
      <c r="DI40" s="37"/>
      <c r="DJ40" s="37"/>
      <c r="DK40" s="23"/>
      <c r="DL40" s="23"/>
      <c r="DM40" s="23"/>
      <c r="DN40" s="23"/>
      <c r="DO40" s="23"/>
      <c r="DP40" s="23"/>
      <c r="DQ40" s="23"/>
      <c r="DR40" s="23"/>
      <c r="DS40" s="23"/>
      <c r="DT40" s="23"/>
      <c r="DU40" s="23"/>
      <c r="DV40" s="23"/>
      <c r="DW40" s="23"/>
      <c r="DX40" s="94"/>
      <c r="DY40" s="94"/>
      <c r="DZ40" s="94"/>
      <c r="EA40" s="94"/>
      <c r="EB40" s="23"/>
      <c r="EC40" s="37"/>
      <c r="ED40" s="37"/>
      <c r="EE40" s="37"/>
      <c r="EF40" s="37"/>
      <c r="EG40" s="37"/>
      <c r="EH40" s="37"/>
      <c r="EI40" s="37"/>
      <c r="EJ40" s="23"/>
      <c r="EK40" s="23"/>
      <c r="EL40" s="23"/>
      <c r="EM40" s="23"/>
      <c r="EN40" s="23"/>
      <c r="EO40" s="23"/>
      <c r="EP40" s="23"/>
      <c r="EQ40" s="23"/>
      <c r="ER40" s="23"/>
      <c r="ES40" s="23"/>
      <c r="ET40" s="23"/>
      <c r="EU40" s="23"/>
      <c r="EV40" s="23"/>
      <c r="EW40" s="94"/>
      <c r="EX40" s="94"/>
      <c r="EY40" s="94"/>
      <c r="EZ40" s="94"/>
      <c r="FA40" s="23"/>
      <c r="FB40" s="37"/>
      <c r="FC40" s="37"/>
      <c r="FD40" s="37"/>
      <c r="FE40" s="37"/>
      <c r="FF40" s="37"/>
      <c r="FG40" s="37"/>
      <c r="FH40" s="37"/>
      <c r="FI40" s="23"/>
      <c r="FJ40" s="23"/>
      <c r="FK40" s="23"/>
      <c r="FL40" s="23"/>
      <c r="FM40" s="23"/>
      <c r="FN40" s="23"/>
      <c r="FO40" s="23"/>
      <c r="FP40" s="23"/>
      <c r="FQ40" s="23"/>
      <c r="FR40" s="23"/>
      <c r="FS40" s="23"/>
    </row>
    <row r="41" spans="1:175" ht="14.5" customHeight="1" x14ac:dyDescent="0.35">
      <c r="A41" s="23"/>
      <c r="B41" s="23"/>
      <c r="C41" s="94"/>
      <c r="D41" s="94"/>
      <c r="E41" s="94"/>
      <c r="F41" s="94"/>
      <c r="G41" s="23"/>
      <c r="H41" s="37"/>
      <c r="I41" s="37"/>
      <c r="J41" s="37"/>
      <c r="K41" s="37"/>
      <c r="L41" s="37"/>
      <c r="M41" s="37"/>
      <c r="N41" s="37"/>
      <c r="O41" s="37"/>
      <c r="P41" s="37"/>
      <c r="Q41" s="23"/>
      <c r="R41" s="23"/>
      <c r="S41" s="23"/>
      <c r="T41" s="23"/>
      <c r="U41" s="23"/>
      <c r="V41" s="23"/>
      <c r="W41" s="23"/>
      <c r="X41" s="23"/>
      <c r="Y41" s="23"/>
      <c r="Z41" s="23"/>
      <c r="AA41" s="23"/>
      <c r="AB41" s="94"/>
      <c r="AC41" s="94"/>
      <c r="AD41" s="94"/>
      <c r="AE41" s="94"/>
      <c r="AF41" s="23"/>
      <c r="AG41" s="37"/>
      <c r="AH41" s="37"/>
      <c r="AI41" s="37"/>
      <c r="AJ41" s="37"/>
      <c r="AK41" s="37"/>
      <c r="AL41" s="37"/>
      <c r="AM41" s="37"/>
      <c r="AN41" s="37"/>
      <c r="AO41" s="37"/>
      <c r="AP41" s="23"/>
      <c r="AQ41" s="23"/>
      <c r="AR41" s="23"/>
      <c r="AS41" s="23"/>
      <c r="AT41" s="23"/>
      <c r="AU41" s="23"/>
      <c r="AV41" s="23"/>
      <c r="AW41" s="23"/>
      <c r="AX41" s="23"/>
      <c r="AY41" s="23"/>
      <c r="AZ41" s="23"/>
      <c r="BA41" s="94"/>
      <c r="BB41" s="94"/>
      <c r="BC41" s="94"/>
      <c r="BD41" s="94"/>
      <c r="BE41" s="23"/>
      <c r="BF41" s="37"/>
      <c r="BG41" s="37"/>
      <c r="BH41" s="37"/>
      <c r="BI41" s="37"/>
      <c r="BJ41" s="37"/>
      <c r="BK41" s="37"/>
      <c r="BL41" s="37"/>
      <c r="BM41" s="37"/>
      <c r="BN41" s="37"/>
      <c r="BO41" s="23"/>
      <c r="BP41" s="23"/>
      <c r="BQ41" s="23"/>
      <c r="BR41" s="23"/>
      <c r="BS41" s="23"/>
      <c r="BT41" s="23"/>
      <c r="BU41" s="23"/>
      <c r="BV41" s="23"/>
      <c r="BW41" s="23"/>
      <c r="BX41" s="23"/>
      <c r="BY41" s="23"/>
      <c r="BZ41" s="94"/>
      <c r="CA41" s="94"/>
      <c r="CB41" s="94"/>
      <c r="CC41" s="94"/>
      <c r="CD41" s="23"/>
      <c r="CE41" s="37"/>
      <c r="CF41" s="37"/>
      <c r="CG41" s="37"/>
      <c r="CH41" s="37"/>
      <c r="CI41" s="37"/>
      <c r="CJ41" s="37"/>
      <c r="CK41" s="37"/>
      <c r="CL41" s="37"/>
      <c r="CM41" s="37"/>
      <c r="CN41" s="23"/>
      <c r="CO41" s="23"/>
      <c r="CP41" s="23"/>
      <c r="CQ41" s="23"/>
      <c r="CR41" s="23"/>
      <c r="CS41" s="23"/>
      <c r="CT41" s="23"/>
      <c r="CU41" s="23"/>
      <c r="CV41" s="23"/>
      <c r="CW41" s="23"/>
      <c r="CX41" s="23"/>
      <c r="CY41" s="94"/>
      <c r="CZ41" s="94"/>
      <c r="DA41" s="94"/>
      <c r="DB41" s="94"/>
      <c r="DC41" s="23"/>
      <c r="DD41" s="37"/>
      <c r="DE41" s="37"/>
      <c r="DF41" s="37"/>
      <c r="DG41" s="37"/>
      <c r="DH41" s="37"/>
      <c r="DI41" s="37"/>
      <c r="DJ41" s="37"/>
      <c r="DK41" s="37"/>
      <c r="DL41" s="37"/>
      <c r="DM41" s="23"/>
      <c r="DN41" s="23"/>
      <c r="DO41" s="23"/>
      <c r="DP41" s="23"/>
      <c r="DQ41" s="23"/>
      <c r="DR41" s="23"/>
      <c r="DS41" s="23"/>
      <c r="DT41" s="23"/>
      <c r="DU41" s="23"/>
      <c r="DV41" s="23"/>
      <c r="DW41" s="23"/>
      <c r="DX41" s="94"/>
      <c r="DY41" s="94"/>
      <c r="DZ41" s="94"/>
      <c r="EA41" s="94"/>
      <c r="EB41" s="23"/>
      <c r="EC41" s="37"/>
      <c r="ED41" s="37"/>
      <c r="EE41" s="37"/>
      <c r="EF41" s="37"/>
      <c r="EG41" s="37"/>
      <c r="EH41" s="37"/>
      <c r="EI41" s="37"/>
      <c r="EJ41" s="37"/>
      <c r="EK41" s="37"/>
      <c r="EL41" s="23"/>
      <c r="EM41" s="23"/>
      <c r="EN41" s="23"/>
      <c r="EO41" s="23"/>
      <c r="EP41" s="23"/>
      <c r="EQ41" s="23"/>
      <c r="ER41" s="23"/>
      <c r="ES41" s="23"/>
      <c r="ET41" s="23"/>
      <c r="EU41" s="23"/>
      <c r="EV41" s="23"/>
      <c r="EW41" s="94"/>
      <c r="EX41" s="94"/>
      <c r="EY41" s="94"/>
      <c r="EZ41" s="94"/>
      <c r="FA41" s="23"/>
      <c r="FB41" s="37"/>
      <c r="FC41" s="37"/>
      <c r="FD41" s="37"/>
      <c r="FE41" s="37"/>
      <c r="FF41" s="37"/>
      <c r="FG41" s="37"/>
      <c r="FH41" s="37"/>
      <c r="FI41" s="37"/>
      <c r="FJ41" s="37"/>
      <c r="FK41" s="23"/>
      <c r="FL41" s="23"/>
      <c r="FM41" s="23"/>
      <c r="FN41" s="23"/>
      <c r="FO41" s="23"/>
      <c r="FP41" s="23"/>
      <c r="FQ41" s="23"/>
      <c r="FR41" s="23"/>
      <c r="FS41" s="23"/>
    </row>
    <row r="42" spans="1:175" ht="15" customHeight="1" thickBot="1" x14ac:dyDescent="0.4">
      <c r="A42" s="23"/>
      <c r="B42" s="23"/>
      <c r="C42" s="95"/>
      <c r="D42" s="95"/>
      <c r="E42" s="95"/>
      <c r="F42" s="95"/>
      <c r="G42" s="23"/>
      <c r="H42" s="37"/>
      <c r="I42" s="37"/>
      <c r="J42" s="37"/>
      <c r="K42" s="37"/>
      <c r="L42" s="37"/>
      <c r="M42" s="37"/>
      <c r="N42" s="37"/>
      <c r="O42" s="37"/>
      <c r="P42" s="37"/>
      <c r="Q42" s="23"/>
      <c r="R42" s="23"/>
      <c r="S42" s="23"/>
      <c r="T42" s="23"/>
      <c r="U42" s="23"/>
      <c r="V42" s="23"/>
      <c r="W42" s="23"/>
      <c r="X42" s="23"/>
      <c r="Y42" s="23"/>
      <c r="Z42" s="23"/>
      <c r="AA42" s="23"/>
      <c r="AB42" s="95"/>
      <c r="AC42" s="95"/>
      <c r="AD42" s="95"/>
      <c r="AE42" s="95"/>
      <c r="AF42" s="23"/>
      <c r="AG42" s="37"/>
      <c r="AH42" s="37"/>
      <c r="AI42" s="37"/>
      <c r="AJ42" s="37"/>
      <c r="AK42" s="37"/>
      <c r="AL42" s="37"/>
      <c r="AM42" s="37"/>
      <c r="AN42" s="37"/>
      <c r="AO42" s="37"/>
      <c r="AP42" s="23"/>
      <c r="AQ42" s="23"/>
      <c r="AR42" s="23"/>
      <c r="AS42" s="23"/>
      <c r="AT42" s="23"/>
      <c r="AU42" s="23"/>
      <c r="AV42" s="23"/>
      <c r="AW42" s="23"/>
      <c r="AX42" s="23"/>
      <c r="AY42" s="23"/>
      <c r="AZ42" s="23"/>
      <c r="BA42" s="95"/>
      <c r="BB42" s="95"/>
      <c r="BC42" s="95"/>
      <c r="BD42" s="95"/>
      <c r="BE42" s="23"/>
      <c r="BF42" s="37"/>
      <c r="BG42" s="37"/>
      <c r="BH42" s="37"/>
      <c r="BI42" s="37"/>
      <c r="BJ42" s="37"/>
      <c r="BK42" s="37"/>
      <c r="BL42" s="37"/>
      <c r="BM42" s="37"/>
      <c r="BN42" s="37"/>
      <c r="BO42" s="23"/>
      <c r="BP42" s="23"/>
      <c r="BQ42" s="23"/>
      <c r="BR42" s="23"/>
      <c r="BS42" s="23"/>
      <c r="BT42" s="23"/>
      <c r="BU42" s="23"/>
      <c r="BV42" s="23"/>
      <c r="BW42" s="23"/>
      <c r="BX42" s="23"/>
      <c r="BY42" s="23"/>
      <c r="BZ42" s="95"/>
      <c r="CA42" s="95"/>
      <c r="CB42" s="95"/>
      <c r="CC42" s="95"/>
      <c r="CD42" s="23"/>
      <c r="CE42" s="37"/>
      <c r="CF42" s="37"/>
      <c r="CG42" s="37"/>
      <c r="CH42" s="37"/>
      <c r="CI42" s="37"/>
      <c r="CJ42" s="37"/>
      <c r="CK42" s="37"/>
      <c r="CL42" s="37"/>
      <c r="CM42" s="37"/>
      <c r="CN42" s="23"/>
      <c r="CO42" s="23"/>
      <c r="CP42" s="23"/>
      <c r="CQ42" s="23"/>
      <c r="CR42" s="23"/>
      <c r="CS42" s="23"/>
      <c r="CT42" s="23"/>
      <c r="CU42" s="23"/>
      <c r="CV42" s="23"/>
      <c r="CW42" s="23"/>
      <c r="CX42" s="23"/>
      <c r="CY42" s="95"/>
      <c r="CZ42" s="95"/>
      <c r="DA42" s="95"/>
      <c r="DB42" s="95"/>
      <c r="DC42" s="23"/>
      <c r="DD42" s="37"/>
      <c r="DE42" s="37"/>
      <c r="DF42" s="37"/>
      <c r="DG42" s="37"/>
      <c r="DH42" s="37"/>
      <c r="DI42" s="37"/>
      <c r="DJ42" s="37"/>
      <c r="DK42" s="37"/>
      <c r="DL42" s="37"/>
      <c r="DM42" s="23"/>
      <c r="DN42" s="23"/>
      <c r="DO42" s="23"/>
      <c r="DP42" s="23"/>
      <c r="DQ42" s="23"/>
      <c r="DR42" s="23"/>
      <c r="DS42" s="23"/>
      <c r="DT42" s="23"/>
      <c r="DU42" s="23"/>
      <c r="DV42" s="23"/>
      <c r="DW42" s="23"/>
      <c r="DX42" s="95"/>
      <c r="DY42" s="95"/>
      <c r="DZ42" s="95"/>
      <c r="EA42" s="95"/>
      <c r="EB42" s="23"/>
      <c r="EC42" s="37"/>
      <c r="ED42" s="37"/>
      <c r="EE42" s="37"/>
      <c r="EF42" s="37"/>
      <c r="EG42" s="37"/>
      <c r="EH42" s="37"/>
      <c r="EI42" s="37"/>
      <c r="EJ42" s="37"/>
      <c r="EK42" s="37"/>
      <c r="EL42" s="23"/>
      <c r="EM42" s="23"/>
      <c r="EN42" s="23"/>
      <c r="EO42" s="23"/>
      <c r="EP42" s="23"/>
      <c r="EQ42" s="23"/>
      <c r="ER42" s="23"/>
      <c r="ES42" s="23"/>
      <c r="ET42" s="23"/>
      <c r="EU42" s="23"/>
      <c r="EV42" s="23"/>
      <c r="EW42" s="95"/>
      <c r="EX42" s="95"/>
      <c r="EY42" s="95"/>
      <c r="EZ42" s="95"/>
      <c r="FA42" s="23"/>
      <c r="FB42" s="37"/>
      <c r="FC42" s="37"/>
      <c r="FD42" s="37"/>
      <c r="FE42" s="37"/>
      <c r="FF42" s="37"/>
      <c r="FG42" s="37"/>
      <c r="FH42" s="37"/>
      <c r="FI42" s="37"/>
      <c r="FJ42" s="37"/>
      <c r="FK42" s="23"/>
      <c r="FL42" s="23"/>
      <c r="FM42" s="23"/>
      <c r="FN42" s="23"/>
      <c r="FO42" s="23"/>
      <c r="FP42" s="23"/>
      <c r="FQ42" s="23"/>
      <c r="FR42" s="23"/>
      <c r="FS42" s="23"/>
    </row>
    <row r="43" spans="1:175" x14ac:dyDescent="0.35">
      <c r="A43" s="23"/>
      <c r="B43" s="23"/>
      <c r="C43" s="23"/>
      <c r="D43" s="23"/>
      <c r="E43" s="23"/>
      <c r="F43" s="23"/>
      <c r="G43" s="23"/>
      <c r="H43" s="37"/>
      <c r="I43" s="37"/>
      <c r="J43" s="37"/>
      <c r="K43" s="37"/>
      <c r="L43" s="37"/>
      <c r="M43" s="37"/>
      <c r="N43" s="37"/>
      <c r="O43" s="37"/>
      <c r="P43" s="37"/>
      <c r="Q43" s="23"/>
      <c r="R43" s="23"/>
      <c r="S43" s="23"/>
      <c r="T43" s="23"/>
      <c r="U43" s="23"/>
      <c r="V43" s="23"/>
      <c r="W43" s="23"/>
      <c r="X43" s="23"/>
      <c r="Y43" s="23"/>
      <c r="Z43" s="23"/>
      <c r="AA43" s="23"/>
      <c r="AB43" s="23"/>
      <c r="AC43" s="23"/>
      <c r="AD43" s="23"/>
      <c r="AE43" s="23"/>
      <c r="AF43" s="23"/>
      <c r="AG43" s="37"/>
      <c r="AH43" s="37"/>
      <c r="AI43" s="37"/>
      <c r="AJ43" s="37"/>
      <c r="AK43" s="37"/>
      <c r="AL43" s="37"/>
      <c r="AM43" s="37"/>
      <c r="AN43" s="37"/>
      <c r="AO43" s="37"/>
      <c r="AP43" s="23"/>
      <c r="AQ43" s="23"/>
      <c r="AR43" s="23"/>
      <c r="AS43" s="23"/>
      <c r="AT43" s="23"/>
      <c r="AU43" s="23"/>
      <c r="AV43" s="23"/>
      <c r="AW43" s="23"/>
      <c r="AX43" s="23"/>
      <c r="AY43" s="23"/>
      <c r="AZ43" s="23"/>
      <c r="BA43" s="23"/>
      <c r="BB43" s="23"/>
      <c r="BC43" s="23"/>
      <c r="BD43" s="23"/>
      <c r="BE43" s="23"/>
      <c r="BF43" s="37"/>
      <c r="BG43" s="37"/>
      <c r="BH43" s="37"/>
      <c r="BI43" s="37"/>
      <c r="BJ43" s="37"/>
      <c r="BK43" s="37"/>
      <c r="BL43" s="37"/>
      <c r="BM43" s="37"/>
      <c r="BN43" s="37"/>
      <c r="BO43" s="23"/>
      <c r="BP43" s="23"/>
      <c r="BQ43" s="23"/>
      <c r="BR43" s="23"/>
      <c r="BS43" s="23"/>
      <c r="BT43" s="23"/>
      <c r="BU43" s="23"/>
      <c r="BV43" s="23"/>
      <c r="BW43" s="23"/>
      <c r="BX43" s="23"/>
      <c r="BY43" s="23"/>
      <c r="BZ43" s="23"/>
      <c r="CA43" s="23"/>
      <c r="CB43" s="23"/>
      <c r="CC43" s="23"/>
      <c r="CD43" s="23"/>
      <c r="CE43" s="37"/>
      <c r="CF43" s="37"/>
      <c r="CG43" s="37"/>
      <c r="CH43" s="37"/>
      <c r="CI43" s="37"/>
      <c r="CJ43" s="37"/>
      <c r="CK43" s="37"/>
      <c r="CL43" s="37"/>
      <c r="CM43" s="37"/>
      <c r="CN43" s="23"/>
      <c r="CO43" s="23"/>
      <c r="CP43" s="23"/>
      <c r="CQ43" s="23"/>
      <c r="CR43" s="23"/>
      <c r="CS43" s="23"/>
      <c r="CT43" s="23"/>
      <c r="CU43" s="23"/>
      <c r="CV43" s="23"/>
      <c r="CW43" s="23"/>
      <c r="CX43" s="23"/>
      <c r="CY43" s="23"/>
      <c r="CZ43" s="23"/>
      <c r="DA43" s="23"/>
      <c r="DB43" s="23"/>
      <c r="DC43" s="23"/>
      <c r="DD43" s="37"/>
      <c r="DE43" s="37"/>
      <c r="DF43" s="37"/>
      <c r="DG43" s="37"/>
      <c r="DH43" s="37"/>
      <c r="DI43" s="37"/>
      <c r="DJ43" s="37"/>
      <c r="DK43" s="37"/>
      <c r="DL43" s="37"/>
      <c r="DM43" s="23"/>
      <c r="DN43" s="23"/>
      <c r="DO43" s="23"/>
      <c r="DP43" s="23"/>
      <c r="DQ43" s="23"/>
      <c r="DR43" s="23"/>
      <c r="DS43" s="23"/>
      <c r="DT43" s="23"/>
      <c r="DU43" s="23"/>
      <c r="DV43" s="23"/>
      <c r="DW43" s="23"/>
      <c r="DX43" s="23"/>
      <c r="DY43" s="23"/>
      <c r="DZ43" s="23"/>
      <c r="EA43" s="23"/>
      <c r="EB43" s="23"/>
      <c r="EC43" s="37"/>
      <c r="ED43" s="37"/>
      <c r="EE43" s="37"/>
      <c r="EF43" s="37"/>
      <c r="EG43" s="37"/>
      <c r="EH43" s="37"/>
      <c r="EI43" s="37"/>
      <c r="EJ43" s="37"/>
      <c r="EK43" s="37"/>
      <c r="EL43" s="23"/>
      <c r="EM43" s="23"/>
      <c r="EN43" s="23"/>
      <c r="EO43" s="23"/>
      <c r="EP43" s="23"/>
      <c r="EQ43" s="23"/>
      <c r="ER43" s="23"/>
      <c r="ES43" s="23"/>
      <c r="ET43" s="23"/>
      <c r="EU43" s="23"/>
      <c r="EV43" s="23"/>
      <c r="EW43" s="23"/>
      <c r="EX43" s="23"/>
      <c r="EY43" s="23"/>
      <c r="EZ43" s="23"/>
      <c r="FA43" s="23"/>
      <c r="FB43" s="37"/>
      <c r="FC43" s="37"/>
      <c r="FD43" s="37"/>
      <c r="FE43" s="37"/>
      <c r="FF43" s="37"/>
      <c r="FG43" s="37"/>
      <c r="FH43" s="37"/>
      <c r="FI43" s="37"/>
      <c r="FJ43" s="37"/>
      <c r="FK43" s="23"/>
      <c r="FL43" s="23"/>
      <c r="FM43" s="23"/>
      <c r="FN43" s="23"/>
      <c r="FO43" s="23"/>
      <c r="FP43" s="23"/>
      <c r="FQ43" s="23"/>
      <c r="FR43" s="23"/>
      <c r="FS43" s="23"/>
    </row>
    <row r="44" spans="1:175" x14ac:dyDescent="0.35">
      <c r="A44" s="23"/>
      <c r="B44" s="23"/>
      <c r="C44" s="23"/>
      <c r="D44" s="23"/>
      <c r="E44" s="23"/>
      <c r="F44" s="23"/>
      <c r="G44" s="23"/>
      <c r="H44" s="37"/>
      <c r="I44" s="37"/>
      <c r="J44" s="37"/>
      <c r="K44" s="37"/>
      <c r="L44" s="37"/>
      <c r="M44" s="37"/>
      <c r="N44" s="37"/>
      <c r="O44" s="37"/>
      <c r="P44" s="37"/>
      <c r="Q44" s="23"/>
      <c r="R44" s="23"/>
      <c r="S44" s="23"/>
      <c r="T44" s="23"/>
      <c r="U44" s="23"/>
      <c r="V44" s="23"/>
      <c r="W44" s="23"/>
      <c r="X44" s="23"/>
      <c r="Y44" s="23"/>
      <c r="Z44" s="23"/>
      <c r="AA44" s="23"/>
      <c r="AB44" s="23"/>
      <c r="AC44" s="23"/>
      <c r="AD44" s="23"/>
      <c r="AE44" s="23"/>
      <c r="AF44" s="23"/>
      <c r="AG44" s="37"/>
      <c r="AH44" s="37"/>
      <c r="AI44" s="37"/>
      <c r="AJ44" s="37"/>
      <c r="AK44" s="37"/>
      <c r="AL44" s="37"/>
      <c r="AM44" s="37"/>
      <c r="AN44" s="37"/>
      <c r="AO44" s="37"/>
      <c r="AP44" s="23"/>
      <c r="AQ44" s="23"/>
      <c r="AR44" s="23"/>
      <c r="AS44" s="23"/>
      <c r="AT44" s="23"/>
      <c r="AU44" s="23"/>
      <c r="AV44" s="23"/>
      <c r="AW44" s="23"/>
      <c r="AX44" s="23"/>
      <c r="AY44" s="23"/>
      <c r="AZ44" s="23"/>
      <c r="BA44" s="23"/>
      <c r="BB44" s="23"/>
      <c r="BC44" s="23"/>
      <c r="BD44" s="23"/>
      <c r="BE44" s="23"/>
      <c r="BF44" s="37"/>
      <c r="BG44" s="37"/>
      <c r="BH44" s="37"/>
      <c r="BI44" s="37"/>
      <c r="BJ44" s="37"/>
      <c r="BK44" s="37"/>
      <c r="BL44" s="37"/>
      <c r="BM44" s="37"/>
      <c r="BN44" s="37"/>
      <c r="BO44" s="23"/>
      <c r="BP44" s="23"/>
      <c r="BQ44" s="23"/>
      <c r="BR44" s="23"/>
      <c r="BS44" s="23"/>
      <c r="BT44" s="23"/>
      <c r="BU44" s="23"/>
      <c r="BV44" s="23"/>
      <c r="BW44" s="23"/>
      <c r="BX44" s="23"/>
      <c r="BY44" s="23"/>
      <c r="BZ44" s="23"/>
      <c r="CA44" s="23"/>
      <c r="CB44" s="23"/>
      <c r="CC44" s="23"/>
      <c r="CD44" s="23"/>
      <c r="CE44" s="37"/>
      <c r="CF44" s="37"/>
      <c r="CG44" s="37"/>
      <c r="CH44" s="37"/>
      <c r="CI44" s="37"/>
      <c r="CJ44" s="37"/>
      <c r="CK44" s="37"/>
      <c r="CL44" s="37"/>
      <c r="CM44" s="37"/>
      <c r="CN44" s="23"/>
      <c r="CO44" s="23"/>
      <c r="CP44" s="23"/>
      <c r="CQ44" s="23"/>
      <c r="CR44" s="23"/>
      <c r="CS44" s="23"/>
      <c r="CT44" s="23"/>
      <c r="CU44" s="23"/>
      <c r="CV44" s="23"/>
      <c r="CW44" s="23"/>
      <c r="CX44" s="23"/>
      <c r="CY44" s="23"/>
      <c r="CZ44" s="23"/>
      <c r="DA44" s="23"/>
      <c r="DB44" s="23"/>
      <c r="DC44" s="23"/>
      <c r="DD44" s="37"/>
      <c r="DE44" s="37"/>
      <c r="DF44" s="37"/>
      <c r="DG44" s="37"/>
      <c r="DH44" s="37"/>
      <c r="DI44" s="37"/>
      <c r="DJ44" s="37"/>
      <c r="DK44" s="37"/>
      <c r="DL44" s="37"/>
      <c r="DM44" s="23"/>
      <c r="DN44" s="23"/>
      <c r="DO44" s="23"/>
      <c r="DP44" s="23"/>
      <c r="DQ44" s="23"/>
      <c r="DR44" s="23"/>
      <c r="DS44" s="23"/>
      <c r="DT44" s="23"/>
      <c r="DU44" s="23"/>
      <c r="DV44" s="23"/>
      <c r="DW44" s="23"/>
      <c r="DX44" s="23"/>
      <c r="DY44" s="23"/>
      <c r="DZ44" s="23"/>
      <c r="EA44" s="23"/>
      <c r="EB44" s="23"/>
      <c r="EC44" s="37"/>
      <c r="ED44" s="37"/>
      <c r="EE44" s="37"/>
      <c r="EF44" s="37"/>
      <c r="EG44" s="37"/>
      <c r="EH44" s="37"/>
      <c r="EI44" s="37"/>
      <c r="EJ44" s="37"/>
      <c r="EK44" s="37"/>
      <c r="EL44" s="23"/>
      <c r="EM44" s="23"/>
      <c r="EN44" s="23"/>
      <c r="EO44" s="23"/>
      <c r="EP44" s="23"/>
      <c r="EQ44" s="23"/>
      <c r="ER44" s="23"/>
      <c r="ES44" s="23"/>
      <c r="ET44" s="23"/>
      <c r="EU44" s="23"/>
      <c r="EV44" s="23"/>
      <c r="EW44" s="23"/>
      <c r="EX44" s="23"/>
      <c r="EY44" s="23"/>
      <c r="EZ44" s="23"/>
      <c r="FA44" s="23"/>
      <c r="FB44" s="37"/>
      <c r="FC44" s="37"/>
      <c r="FD44" s="37"/>
      <c r="FE44" s="37"/>
      <c r="FF44" s="37"/>
      <c r="FG44" s="37"/>
      <c r="FH44" s="37"/>
      <c r="FI44" s="37"/>
      <c r="FJ44" s="37"/>
      <c r="FK44" s="23"/>
      <c r="FL44" s="23"/>
      <c r="FM44" s="23"/>
      <c r="FN44" s="23"/>
      <c r="FO44" s="23"/>
      <c r="FP44" s="23"/>
      <c r="FQ44" s="23"/>
      <c r="FR44" s="23"/>
      <c r="FS44" s="23"/>
    </row>
    <row r="45" spans="1:175" x14ac:dyDescent="0.35">
      <c r="A45" s="23"/>
      <c r="B45" s="23"/>
      <c r="C45" s="23"/>
      <c r="D45" s="23"/>
      <c r="E45" s="23"/>
      <c r="F45" s="23"/>
      <c r="G45" s="23"/>
      <c r="H45" s="37"/>
      <c r="I45" s="37"/>
      <c r="J45" s="37"/>
      <c r="K45" s="37"/>
      <c r="L45" s="37"/>
      <c r="M45" s="37"/>
      <c r="N45" s="37"/>
      <c r="O45" s="37"/>
      <c r="P45" s="37"/>
      <c r="Q45" s="23"/>
      <c r="R45" s="23"/>
      <c r="S45" s="23"/>
      <c r="T45" s="23"/>
      <c r="U45" s="23"/>
      <c r="V45" s="23"/>
      <c r="W45" s="23"/>
      <c r="X45" s="23"/>
      <c r="Y45" s="23"/>
      <c r="Z45" s="23"/>
      <c r="AA45" s="23"/>
      <c r="AB45" s="23"/>
      <c r="AC45" s="23"/>
      <c r="AD45" s="23"/>
      <c r="AE45" s="23"/>
      <c r="AF45" s="23"/>
      <c r="AG45" s="37"/>
      <c r="AH45" s="37"/>
      <c r="AI45" s="37"/>
      <c r="AJ45" s="37"/>
      <c r="AK45" s="37"/>
      <c r="AL45" s="37"/>
      <c r="AM45" s="37"/>
      <c r="AN45" s="37"/>
      <c r="AO45" s="37"/>
      <c r="AP45" s="23"/>
      <c r="AQ45" s="23"/>
      <c r="AR45" s="23"/>
      <c r="AS45" s="23"/>
      <c r="AT45" s="23"/>
      <c r="AU45" s="23"/>
      <c r="AV45" s="23"/>
      <c r="AW45" s="23"/>
      <c r="AX45" s="23"/>
      <c r="AY45" s="23"/>
      <c r="AZ45" s="23"/>
      <c r="BA45" s="23"/>
      <c r="BB45" s="23"/>
      <c r="BC45" s="23"/>
      <c r="BD45" s="23"/>
      <c r="BE45" s="23"/>
      <c r="BF45" s="37"/>
      <c r="BG45" s="37"/>
      <c r="BH45" s="37"/>
      <c r="BI45" s="37"/>
      <c r="BJ45" s="37"/>
      <c r="BK45" s="37"/>
      <c r="BL45" s="37"/>
      <c r="BM45" s="37"/>
      <c r="BN45" s="37"/>
      <c r="BO45" s="23"/>
      <c r="BP45" s="23"/>
      <c r="BQ45" s="23"/>
      <c r="BR45" s="23"/>
      <c r="BS45" s="23"/>
      <c r="BT45" s="23"/>
      <c r="BU45" s="23"/>
      <c r="BV45" s="23"/>
      <c r="BW45" s="23"/>
      <c r="BX45" s="23"/>
      <c r="BY45" s="23"/>
      <c r="BZ45" s="23"/>
      <c r="CA45" s="23"/>
      <c r="CB45" s="23"/>
      <c r="CC45" s="23"/>
      <c r="CD45" s="23"/>
      <c r="CE45" s="37"/>
      <c r="CF45" s="37"/>
      <c r="CG45" s="37"/>
      <c r="CH45" s="37"/>
      <c r="CI45" s="37"/>
      <c r="CJ45" s="37"/>
      <c r="CK45" s="37"/>
      <c r="CL45" s="37"/>
      <c r="CM45" s="37"/>
      <c r="CN45" s="23"/>
      <c r="CO45" s="23"/>
      <c r="CP45" s="23"/>
      <c r="CQ45" s="23"/>
      <c r="CR45" s="23"/>
      <c r="CS45" s="23"/>
      <c r="CT45" s="23"/>
      <c r="CU45" s="23"/>
      <c r="CV45" s="23"/>
      <c r="CW45" s="23"/>
      <c r="CX45" s="23"/>
      <c r="CY45" s="23"/>
      <c r="CZ45" s="23"/>
      <c r="DA45" s="23"/>
      <c r="DB45" s="23"/>
      <c r="DC45" s="23"/>
      <c r="DD45" s="37"/>
      <c r="DE45" s="37"/>
      <c r="DF45" s="37"/>
      <c r="DG45" s="37"/>
      <c r="DH45" s="37"/>
      <c r="DI45" s="37"/>
      <c r="DJ45" s="37"/>
      <c r="DK45" s="37"/>
      <c r="DL45" s="37"/>
      <c r="DM45" s="23"/>
      <c r="DN45" s="23"/>
      <c r="DO45" s="23"/>
      <c r="DP45" s="23"/>
      <c r="DQ45" s="23"/>
      <c r="DR45" s="23"/>
      <c r="DS45" s="23"/>
      <c r="DT45" s="23"/>
      <c r="DU45" s="23"/>
      <c r="DV45" s="23"/>
      <c r="DW45" s="23"/>
      <c r="DX45" s="23"/>
      <c r="DY45" s="23"/>
      <c r="DZ45" s="23"/>
      <c r="EA45" s="23"/>
      <c r="EB45" s="23"/>
      <c r="EC45" s="37"/>
      <c r="ED45" s="37"/>
      <c r="EE45" s="37"/>
      <c r="EF45" s="37"/>
      <c r="EG45" s="37"/>
      <c r="EH45" s="37"/>
      <c r="EI45" s="37"/>
      <c r="EJ45" s="37"/>
      <c r="EK45" s="37"/>
      <c r="EL45" s="23"/>
      <c r="EM45" s="23"/>
      <c r="EN45" s="23"/>
      <c r="EO45" s="23"/>
      <c r="EP45" s="23"/>
      <c r="EQ45" s="23"/>
      <c r="ER45" s="23"/>
      <c r="ES45" s="23"/>
      <c r="ET45" s="23"/>
      <c r="EU45" s="23"/>
      <c r="EV45" s="23"/>
      <c r="EW45" s="23"/>
      <c r="EX45" s="23"/>
      <c r="EY45" s="23"/>
      <c r="EZ45" s="23"/>
      <c r="FA45" s="23"/>
      <c r="FB45" s="37"/>
      <c r="FC45" s="37"/>
      <c r="FD45" s="37"/>
      <c r="FE45" s="37"/>
      <c r="FF45" s="37"/>
      <c r="FG45" s="37"/>
      <c r="FH45" s="37"/>
      <c r="FI45" s="37"/>
      <c r="FJ45" s="37"/>
      <c r="FK45" s="23"/>
      <c r="FL45" s="23"/>
      <c r="FM45" s="23"/>
      <c r="FN45" s="23"/>
      <c r="FO45" s="23"/>
      <c r="FP45" s="23"/>
      <c r="FQ45" s="23"/>
      <c r="FR45" s="23"/>
      <c r="FS45" s="23"/>
    </row>
    <row r="46" spans="1:175" x14ac:dyDescent="0.35">
      <c r="A46" s="23"/>
      <c r="B46" s="23"/>
      <c r="C46" s="23"/>
      <c r="D46" s="23"/>
      <c r="E46" s="23"/>
      <c r="F46" s="23"/>
      <c r="G46" s="23"/>
      <c r="H46" s="37"/>
      <c r="I46" s="37"/>
      <c r="J46" s="37"/>
      <c r="K46" s="37"/>
      <c r="L46" s="37"/>
      <c r="M46" s="37"/>
      <c r="N46" s="37"/>
      <c r="O46" s="37"/>
      <c r="P46" s="37"/>
      <c r="Q46" s="23"/>
      <c r="R46" s="23"/>
      <c r="S46" s="23"/>
      <c r="T46" s="23"/>
      <c r="U46" s="23"/>
      <c r="V46" s="23"/>
      <c r="W46" s="23"/>
      <c r="X46" s="23"/>
      <c r="Y46" s="23"/>
      <c r="Z46" s="23"/>
      <c r="AA46" s="23"/>
      <c r="AB46" s="23"/>
      <c r="AC46" s="23"/>
      <c r="AD46" s="23"/>
      <c r="AE46" s="23"/>
      <c r="AF46" s="23"/>
      <c r="AG46" s="37"/>
      <c r="AH46" s="37"/>
      <c r="AI46" s="37"/>
      <c r="AJ46" s="37"/>
      <c r="AK46" s="37"/>
      <c r="AL46" s="37"/>
      <c r="AM46" s="37"/>
      <c r="AN46" s="37"/>
      <c r="AO46" s="37"/>
      <c r="AP46" s="23"/>
      <c r="AQ46" s="23"/>
      <c r="AR46" s="23"/>
      <c r="AS46" s="23"/>
      <c r="AT46" s="23"/>
      <c r="AU46" s="23"/>
      <c r="AV46" s="23"/>
      <c r="AW46" s="23"/>
      <c r="AX46" s="23"/>
      <c r="AY46" s="23"/>
      <c r="AZ46" s="23"/>
      <c r="BA46" s="23"/>
      <c r="BB46" s="23"/>
      <c r="BC46" s="23"/>
      <c r="BD46" s="23"/>
      <c r="BE46" s="23"/>
      <c r="BF46" s="37"/>
      <c r="BG46" s="37"/>
      <c r="BH46" s="37"/>
      <c r="BI46" s="37"/>
      <c r="BJ46" s="37"/>
      <c r="BK46" s="37"/>
      <c r="BL46" s="37"/>
      <c r="BM46" s="37"/>
      <c r="BN46" s="37"/>
      <c r="BO46" s="23"/>
      <c r="BP46" s="23"/>
      <c r="BQ46" s="23"/>
      <c r="BR46" s="23"/>
      <c r="BS46" s="23"/>
      <c r="BT46" s="23"/>
      <c r="BU46" s="23"/>
      <c r="BV46" s="23"/>
      <c r="BW46" s="23"/>
      <c r="BX46" s="23"/>
      <c r="BY46" s="23"/>
      <c r="BZ46" s="23"/>
      <c r="CA46" s="23"/>
      <c r="CB46" s="23"/>
      <c r="CC46" s="23"/>
      <c r="CD46" s="23"/>
      <c r="CE46" s="37"/>
      <c r="CF46" s="37"/>
      <c r="CG46" s="37"/>
      <c r="CH46" s="37"/>
      <c r="CI46" s="37"/>
      <c r="CJ46" s="37"/>
      <c r="CK46" s="37"/>
      <c r="CL46" s="37"/>
      <c r="CM46" s="37"/>
      <c r="CN46" s="23"/>
      <c r="CO46" s="23"/>
      <c r="CP46" s="23"/>
      <c r="CQ46" s="23"/>
      <c r="CR46" s="23"/>
      <c r="CS46" s="23"/>
      <c r="CT46" s="23"/>
      <c r="CU46" s="23"/>
      <c r="CV46" s="23"/>
      <c r="CW46" s="23"/>
      <c r="CX46" s="23"/>
      <c r="CY46" s="23"/>
      <c r="CZ46" s="23"/>
      <c r="DA46" s="23"/>
      <c r="DB46" s="23"/>
      <c r="DC46" s="23"/>
      <c r="DD46" s="37"/>
      <c r="DE46" s="37"/>
      <c r="DF46" s="37"/>
      <c r="DG46" s="37"/>
      <c r="DH46" s="37"/>
      <c r="DI46" s="37"/>
      <c r="DJ46" s="37"/>
      <c r="DK46" s="37"/>
      <c r="DL46" s="37"/>
      <c r="DM46" s="23"/>
      <c r="DN46" s="23"/>
      <c r="DO46" s="23"/>
      <c r="DP46" s="23"/>
      <c r="DQ46" s="23"/>
      <c r="DR46" s="23"/>
      <c r="DS46" s="23"/>
      <c r="DT46" s="23"/>
      <c r="DU46" s="23"/>
      <c r="DV46" s="23"/>
      <c r="DW46" s="23"/>
      <c r="DX46" s="23"/>
      <c r="DY46" s="23"/>
      <c r="DZ46" s="23"/>
      <c r="EA46" s="23"/>
      <c r="EB46" s="23"/>
      <c r="EC46" s="37"/>
      <c r="ED46" s="37"/>
      <c r="EE46" s="37"/>
      <c r="EF46" s="37"/>
      <c r="EG46" s="37"/>
      <c r="EH46" s="37"/>
      <c r="EI46" s="37"/>
      <c r="EJ46" s="37"/>
      <c r="EK46" s="37"/>
      <c r="EL46" s="23"/>
      <c r="EM46" s="23"/>
      <c r="EN46" s="23"/>
      <c r="EO46" s="23"/>
      <c r="EP46" s="23"/>
      <c r="EQ46" s="23"/>
      <c r="ER46" s="23"/>
      <c r="ES46" s="23"/>
      <c r="ET46" s="23"/>
      <c r="EU46" s="23"/>
      <c r="EV46" s="23"/>
      <c r="EW46" s="23"/>
      <c r="EX46" s="23"/>
      <c r="EY46" s="23"/>
      <c r="EZ46" s="23"/>
      <c r="FA46" s="23"/>
      <c r="FB46" s="37"/>
      <c r="FC46" s="37"/>
      <c r="FD46" s="37"/>
      <c r="FE46" s="37"/>
      <c r="FF46" s="37"/>
      <c r="FG46" s="37"/>
      <c r="FH46" s="37"/>
      <c r="FI46" s="37"/>
      <c r="FJ46" s="37"/>
      <c r="FK46" s="23"/>
      <c r="FL46" s="23"/>
      <c r="FM46" s="23"/>
      <c r="FN46" s="23"/>
      <c r="FO46" s="23"/>
      <c r="FP46" s="23"/>
      <c r="FQ46" s="23"/>
      <c r="FR46" s="23"/>
      <c r="FS46" s="23"/>
    </row>
    <row r="47" spans="1:175" x14ac:dyDescent="0.35">
      <c r="A47" s="23"/>
      <c r="B47" s="23"/>
      <c r="C47" s="23"/>
      <c r="D47" s="23"/>
      <c r="E47" s="23"/>
      <c r="F47" s="23"/>
      <c r="G47" s="23"/>
      <c r="H47" s="37"/>
      <c r="I47" s="37"/>
      <c r="J47" s="37"/>
      <c r="K47" s="37"/>
      <c r="L47" s="37"/>
      <c r="M47" s="37"/>
      <c r="N47" s="37"/>
      <c r="O47" s="37"/>
      <c r="P47" s="37"/>
      <c r="Q47" s="23"/>
      <c r="R47" s="23"/>
      <c r="S47" s="23"/>
      <c r="T47" s="23"/>
      <c r="U47" s="23"/>
      <c r="V47" s="23"/>
      <c r="W47" s="23"/>
      <c r="X47" s="23"/>
      <c r="Y47" s="23"/>
      <c r="Z47" s="23"/>
      <c r="AA47" s="23"/>
      <c r="AB47" s="23"/>
      <c r="AC47" s="23"/>
      <c r="AD47" s="23"/>
      <c r="AE47" s="23"/>
      <c r="AF47" s="23"/>
      <c r="AG47" s="37"/>
      <c r="AH47" s="37"/>
      <c r="AI47" s="37"/>
      <c r="AJ47" s="37"/>
      <c r="AK47" s="37"/>
      <c r="AL47" s="37"/>
      <c r="AM47" s="37"/>
      <c r="AN47" s="37"/>
      <c r="AO47" s="37"/>
      <c r="AP47" s="23"/>
      <c r="AQ47" s="23"/>
      <c r="AR47" s="23"/>
      <c r="AS47" s="23"/>
      <c r="AT47" s="23"/>
      <c r="AU47" s="23"/>
      <c r="AV47" s="23"/>
      <c r="AW47" s="23"/>
      <c r="AX47" s="23"/>
      <c r="AY47" s="23"/>
      <c r="AZ47" s="23"/>
      <c r="BA47" s="23"/>
      <c r="BB47" s="23"/>
      <c r="BC47" s="23"/>
      <c r="BD47" s="23"/>
      <c r="BE47" s="23"/>
      <c r="BF47" s="37"/>
      <c r="BG47" s="37"/>
      <c r="BH47" s="37"/>
      <c r="BI47" s="37"/>
      <c r="BJ47" s="37"/>
      <c r="BK47" s="37"/>
      <c r="BL47" s="37"/>
      <c r="BM47" s="37"/>
      <c r="BN47" s="37"/>
      <c r="BO47" s="23"/>
      <c r="BP47" s="23"/>
      <c r="BQ47" s="23"/>
      <c r="BR47" s="23"/>
      <c r="BS47" s="23"/>
      <c r="BT47" s="23"/>
      <c r="BU47" s="23"/>
      <c r="BV47" s="23"/>
      <c r="BW47" s="23"/>
      <c r="BX47" s="23"/>
      <c r="BY47" s="23"/>
      <c r="BZ47" s="23"/>
      <c r="CA47" s="23"/>
      <c r="CB47" s="23"/>
      <c r="CC47" s="23"/>
      <c r="CD47" s="23"/>
      <c r="CE47" s="37"/>
      <c r="CF47" s="37"/>
      <c r="CG47" s="37"/>
      <c r="CH47" s="37"/>
      <c r="CI47" s="37"/>
      <c r="CJ47" s="37"/>
      <c r="CK47" s="37"/>
      <c r="CL47" s="37"/>
      <c r="CM47" s="37"/>
      <c r="CN47" s="23"/>
      <c r="CO47" s="23"/>
      <c r="CP47" s="23"/>
      <c r="CQ47" s="23"/>
      <c r="CR47" s="23"/>
      <c r="CS47" s="23"/>
      <c r="CT47" s="23"/>
      <c r="CU47" s="23"/>
      <c r="CV47" s="23"/>
      <c r="CW47" s="23"/>
      <c r="CX47" s="23"/>
      <c r="CY47" s="23"/>
      <c r="CZ47" s="23"/>
      <c r="DA47" s="23"/>
      <c r="DB47" s="23"/>
      <c r="DC47" s="23"/>
      <c r="DD47" s="37"/>
      <c r="DE47" s="37"/>
      <c r="DF47" s="37"/>
      <c r="DG47" s="37"/>
      <c r="DH47" s="37"/>
      <c r="DI47" s="37"/>
      <c r="DJ47" s="37"/>
      <c r="DK47" s="37"/>
      <c r="DL47" s="37"/>
      <c r="DM47" s="23"/>
      <c r="DN47" s="23"/>
      <c r="DO47" s="23"/>
      <c r="DP47" s="23"/>
      <c r="DQ47" s="23"/>
      <c r="DR47" s="23"/>
      <c r="DS47" s="23"/>
      <c r="DT47" s="23"/>
      <c r="DU47" s="23"/>
      <c r="DV47" s="23"/>
      <c r="DW47" s="23"/>
      <c r="DX47" s="23"/>
      <c r="DY47" s="23"/>
      <c r="DZ47" s="23"/>
      <c r="EA47" s="23"/>
      <c r="EB47" s="23"/>
      <c r="EC47" s="37"/>
      <c r="ED47" s="37"/>
      <c r="EE47" s="37"/>
      <c r="EF47" s="37"/>
      <c r="EG47" s="37"/>
      <c r="EH47" s="37"/>
      <c r="EI47" s="37"/>
      <c r="EJ47" s="37"/>
      <c r="EK47" s="37"/>
      <c r="EL47" s="23"/>
      <c r="EM47" s="23"/>
      <c r="EN47" s="23"/>
      <c r="EO47" s="23"/>
      <c r="EP47" s="23"/>
      <c r="EQ47" s="23"/>
      <c r="ER47" s="23"/>
      <c r="ES47" s="23"/>
      <c r="ET47" s="23"/>
      <c r="EU47" s="23"/>
      <c r="EV47" s="23"/>
      <c r="EW47" s="23"/>
      <c r="EX47" s="23"/>
      <c r="EY47" s="23"/>
      <c r="EZ47" s="23"/>
      <c r="FA47" s="23"/>
      <c r="FB47" s="37"/>
      <c r="FC47" s="37"/>
      <c r="FD47" s="37"/>
      <c r="FE47" s="37"/>
      <c r="FF47" s="37"/>
      <c r="FG47" s="37"/>
      <c r="FH47" s="37"/>
      <c r="FI47" s="37"/>
      <c r="FJ47" s="37"/>
      <c r="FK47" s="23"/>
      <c r="FL47" s="23"/>
      <c r="FM47" s="23"/>
      <c r="FN47" s="23"/>
      <c r="FO47" s="23"/>
      <c r="FP47" s="23"/>
      <c r="FQ47" s="23"/>
      <c r="FR47" s="23"/>
      <c r="FS47" s="23"/>
    </row>
    <row r="48" spans="1:175" x14ac:dyDescent="0.35">
      <c r="A48" s="23"/>
      <c r="B48" s="23"/>
      <c r="C48" s="23"/>
      <c r="D48" s="23"/>
      <c r="E48" s="23"/>
      <c r="F48" s="23"/>
      <c r="G48" s="23"/>
      <c r="H48" s="37"/>
      <c r="I48" s="37"/>
      <c r="J48" s="37"/>
      <c r="K48" s="37"/>
      <c r="L48" s="37"/>
      <c r="M48" s="37"/>
      <c r="N48" s="37"/>
      <c r="O48" s="37"/>
      <c r="P48" s="37"/>
      <c r="Q48" s="23"/>
      <c r="R48" s="23"/>
      <c r="S48" s="23"/>
      <c r="T48" s="23"/>
      <c r="U48" s="23"/>
      <c r="V48" s="23"/>
      <c r="W48" s="23"/>
      <c r="X48" s="23"/>
      <c r="Y48" s="23"/>
      <c r="Z48" s="23"/>
      <c r="AA48" s="23"/>
      <c r="AB48" s="23"/>
      <c r="AC48" s="23"/>
      <c r="AD48" s="23"/>
      <c r="AE48" s="23"/>
      <c r="AF48" s="23"/>
      <c r="AG48" s="37"/>
      <c r="AH48" s="37"/>
      <c r="AI48" s="37"/>
      <c r="AJ48" s="37"/>
      <c r="AK48" s="37"/>
      <c r="AL48" s="37"/>
      <c r="AM48" s="37"/>
      <c r="AN48" s="37"/>
      <c r="AO48" s="37"/>
      <c r="AP48" s="23"/>
      <c r="AQ48" s="23"/>
      <c r="AR48" s="23"/>
      <c r="AS48" s="23"/>
      <c r="AT48" s="23"/>
      <c r="AU48" s="23"/>
      <c r="AV48" s="23"/>
      <c r="AW48" s="23"/>
      <c r="AX48" s="23"/>
      <c r="AY48" s="23"/>
      <c r="AZ48" s="23"/>
      <c r="BA48" s="23"/>
      <c r="BB48" s="23"/>
      <c r="BC48" s="23"/>
      <c r="BD48" s="23"/>
      <c r="BE48" s="23"/>
      <c r="BF48" s="37"/>
      <c r="BG48" s="37"/>
      <c r="BH48" s="37"/>
      <c r="BI48" s="37"/>
      <c r="BJ48" s="37"/>
      <c r="BK48" s="37"/>
      <c r="BL48" s="37"/>
      <c r="BM48" s="37"/>
      <c r="BN48" s="37"/>
      <c r="BO48" s="23"/>
      <c r="BP48" s="23"/>
      <c r="BQ48" s="23"/>
      <c r="BR48" s="23"/>
      <c r="BS48" s="23"/>
      <c r="BT48" s="23"/>
      <c r="BU48" s="23"/>
      <c r="BV48" s="23"/>
      <c r="BW48" s="23"/>
      <c r="BX48" s="23"/>
      <c r="BY48" s="23"/>
      <c r="BZ48" s="23"/>
      <c r="CA48" s="23"/>
      <c r="CB48" s="23"/>
      <c r="CC48" s="23"/>
      <c r="CD48" s="23"/>
      <c r="CE48" s="37"/>
      <c r="CF48" s="37"/>
      <c r="CG48" s="37"/>
      <c r="CH48" s="37"/>
      <c r="CI48" s="37"/>
      <c r="CJ48" s="37"/>
      <c r="CK48" s="37"/>
      <c r="CL48" s="37"/>
      <c r="CM48" s="37"/>
      <c r="CN48" s="23"/>
      <c r="CO48" s="23"/>
      <c r="CP48" s="23"/>
      <c r="CQ48" s="23"/>
      <c r="CR48" s="23"/>
      <c r="CS48" s="23"/>
      <c r="CT48" s="23"/>
      <c r="CU48" s="23"/>
      <c r="CV48" s="23"/>
      <c r="CW48" s="23"/>
      <c r="CX48" s="23"/>
      <c r="CY48" s="23"/>
      <c r="CZ48" s="23"/>
      <c r="DA48" s="23"/>
      <c r="DB48" s="23"/>
      <c r="DC48" s="23"/>
      <c r="DD48" s="37"/>
      <c r="DE48" s="37"/>
      <c r="DF48" s="37"/>
      <c r="DG48" s="37"/>
      <c r="DH48" s="37"/>
      <c r="DI48" s="37"/>
      <c r="DJ48" s="37"/>
      <c r="DK48" s="37"/>
      <c r="DL48" s="37"/>
      <c r="DM48" s="23"/>
      <c r="DN48" s="23"/>
      <c r="DO48" s="23"/>
      <c r="DP48" s="23"/>
      <c r="DQ48" s="23"/>
      <c r="DR48" s="23"/>
      <c r="DS48" s="23"/>
      <c r="DT48" s="23"/>
      <c r="DU48" s="23"/>
      <c r="DV48" s="23"/>
      <c r="DW48" s="23"/>
      <c r="DX48" s="23"/>
      <c r="DY48" s="23"/>
      <c r="DZ48" s="23"/>
      <c r="EA48" s="23"/>
      <c r="EB48" s="23"/>
      <c r="EC48" s="37"/>
      <c r="ED48" s="37"/>
      <c r="EE48" s="37"/>
      <c r="EF48" s="37"/>
      <c r="EG48" s="37"/>
      <c r="EH48" s="37"/>
      <c r="EI48" s="37"/>
      <c r="EJ48" s="37"/>
      <c r="EK48" s="37"/>
      <c r="EL48" s="23"/>
      <c r="EM48" s="23"/>
      <c r="EN48" s="23"/>
      <c r="EO48" s="23"/>
      <c r="EP48" s="23"/>
      <c r="EQ48" s="23"/>
      <c r="ER48" s="23"/>
      <c r="ES48" s="23"/>
      <c r="ET48" s="23"/>
      <c r="EU48" s="23"/>
      <c r="EV48" s="2"/>
      <c r="EW48" s="2"/>
      <c r="EX48" s="2"/>
      <c r="EY48" s="2"/>
      <c r="EZ48" s="2"/>
      <c r="FA48" s="2"/>
      <c r="FB48" s="2"/>
      <c r="FC48" s="2"/>
      <c r="FD48" s="2"/>
      <c r="FE48" s="2"/>
      <c r="FF48" s="2"/>
      <c r="FG48" s="2"/>
      <c r="FH48" s="2"/>
      <c r="FI48" s="2"/>
      <c r="FJ48" s="2"/>
      <c r="FK48" s="2"/>
      <c r="FL48" s="2"/>
      <c r="FM48" s="2"/>
      <c r="FN48" s="2"/>
      <c r="FO48" s="2"/>
      <c r="FP48" s="2"/>
      <c r="FQ48" s="2"/>
      <c r="FR48" s="2"/>
      <c r="FS48" s="23"/>
    </row>
    <row r="49" spans="1:175" ht="15" thickBot="1" x14ac:dyDescent="0.4">
      <c r="A49" s="23"/>
      <c r="B49" s="23"/>
      <c r="C49" s="23"/>
      <c r="D49" s="23"/>
      <c r="E49" s="23"/>
      <c r="F49" s="23"/>
      <c r="G49" s="23"/>
      <c r="H49" s="37"/>
      <c r="I49" s="37"/>
      <c r="J49" s="37"/>
      <c r="K49" s="37"/>
      <c r="L49" s="37"/>
      <c r="M49" s="37"/>
      <c r="N49" s="37"/>
      <c r="O49" s="23"/>
      <c r="P49" s="23"/>
      <c r="Q49" s="23"/>
      <c r="R49" s="23"/>
      <c r="S49" s="23"/>
      <c r="T49" s="23"/>
      <c r="U49" s="23"/>
      <c r="V49" s="23"/>
      <c r="W49" s="23"/>
      <c r="X49" s="23"/>
      <c r="Y49" s="23"/>
      <c r="Z49" s="23"/>
      <c r="AA49" s="23"/>
      <c r="AB49" s="23"/>
      <c r="AC49" s="23"/>
      <c r="AD49" s="23"/>
      <c r="AE49" s="23"/>
      <c r="AF49" s="23"/>
      <c r="AG49" s="37"/>
      <c r="AH49" s="37"/>
      <c r="AI49" s="37"/>
      <c r="AJ49" s="37"/>
      <c r="AK49" s="37"/>
      <c r="AL49" s="37"/>
      <c r="AM49" s="37"/>
      <c r="AN49" s="23"/>
      <c r="AO49" s="23"/>
      <c r="AP49" s="23"/>
      <c r="AQ49" s="23"/>
      <c r="AR49" s="23"/>
      <c r="AS49" s="23"/>
      <c r="AT49" s="23"/>
      <c r="AU49" s="23"/>
      <c r="AV49" s="23"/>
      <c r="AW49" s="23"/>
      <c r="AX49" s="23"/>
      <c r="AY49" s="23"/>
      <c r="AZ49" s="23"/>
      <c r="BA49" s="23"/>
      <c r="BB49" s="23"/>
      <c r="BC49" s="23"/>
      <c r="BD49" s="23"/>
      <c r="BE49" s="23"/>
      <c r="BF49" s="37"/>
      <c r="BG49" s="37"/>
      <c r="BH49" s="37"/>
      <c r="BI49" s="37"/>
      <c r="BJ49" s="37"/>
      <c r="BK49" s="37"/>
      <c r="BL49" s="37"/>
      <c r="BM49" s="23"/>
      <c r="BN49" s="23"/>
      <c r="BO49" s="23"/>
      <c r="BP49" s="23"/>
      <c r="BQ49" s="23"/>
      <c r="BR49" s="23"/>
      <c r="BS49" s="23"/>
      <c r="BT49" s="23"/>
      <c r="BU49" s="23"/>
      <c r="BV49" s="23"/>
      <c r="BW49" s="23"/>
      <c r="BX49" s="23"/>
      <c r="BY49" s="23"/>
      <c r="BZ49" s="23"/>
      <c r="CA49" s="23"/>
      <c r="CB49" s="23"/>
      <c r="CC49" s="23"/>
      <c r="CD49" s="23"/>
      <c r="CE49" s="37"/>
      <c r="CF49" s="37"/>
      <c r="CG49" s="37"/>
      <c r="CH49" s="37"/>
      <c r="CI49" s="37"/>
      <c r="CJ49" s="37"/>
      <c r="CK49" s="37"/>
      <c r="CL49" s="23"/>
      <c r="CM49" s="23"/>
      <c r="CN49" s="23"/>
      <c r="CO49" s="23"/>
      <c r="CP49" s="23"/>
      <c r="CQ49" s="23"/>
      <c r="CR49" s="23"/>
      <c r="CS49" s="23"/>
      <c r="CT49" s="23"/>
      <c r="CU49" s="23"/>
      <c r="CV49" s="23"/>
      <c r="CW49" s="23"/>
      <c r="CX49" s="23"/>
      <c r="CY49" s="23"/>
      <c r="CZ49" s="23"/>
      <c r="DA49" s="23"/>
      <c r="DB49" s="23"/>
      <c r="DC49" s="23"/>
      <c r="DD49" s="37"/>
      <c r="DE49" s="37"/>
      <c r="DF49" s="37"/>
      <c r="DG49" s="37"/>
      <c r="DH49" s="37"/>
      <c r="DI49" s="37"/>
      <c r="DJ49" s="37"/>
      <c r="DK49" s="23"/>
      <c r="DL49" s="23"/>
      <c r="DM49" s="23"/>
      <c r="DN49" s="23"/>
      <c r="DO49" s="23"/>
      <c r="DP49" s="23"/>
      <c r="DQ49" s="23"/>
      <c r="DR49" s="23"/>
      <c r="DS49" s="23"/>
      <c r="DT49" s="23"/>
      <c r="DU49" s="23"/>
      <c r="DV49" s="23"/>
      <c r="DW49" s="23"/>
      <c r="DX49" s="23"/>
      <c r="DY49" s="23"/>
      <c r="DZ49" s="23"/>
      <c r="EA49" s="23"/>
      <c r="EB49" s="23"/>
      <c r="EC49" s="37"/>
      <c r="ED49" s="37"/>
      <c r="EE49" s="37"/>
      <c r="EF49" s="37"/>
      <c r="EG49" s="37"/>
      <c r="EH49" s="37"/>
      <c r="EI49" s="37"/>
      <c r="EJ49" s="23"/>
      <c r="EK49" s="23"/>
      <c r="EL49" s="23"/>
      <c r="EM49" s="23"/>
      <c r="EN49" s="23"/>
      <c r="EO49" s="23"/>
      <c r="EP49" s="23"/>
      <c r="EQ49" s="23"/>
      <c r="ER49" s="23"/>
      <c r="ES49" s="23"/>
      <c r="ET49" s="23"/>
      <c r="EU49" s="23"/>
      <c r="EV49" s="2"/>
      <c r="EW49" s="2"/>
      <c r="EX49" s="2"/>
      <c r="EY49" s="2"/>
      <c r="EZ49" s="2"/>
      <c r="FA49" s="2"/>
      <c r="FB49" s="2"/>
      <c r="FC49" s="2"/>
      <c r="FD49" s="2"/>
      <c r="FE49" s="2"/>
      <c r="FF49" s="2"/>
      <c r="FG49" s="2"/>
      <c r="FH49" s="2"/>
      <c r="FI49" s="2"/>
      <c r="FJ49" s="2"/>
      <c r="FK49" s="2"/>
      <c r="FL49" s="2"/>
      <c r="FM49" s="2"/>
      <c r="FN49" s="2"/>
      <c r="FO49" s="2"/>
      <c r="FP49" s="2"/>
      <c r="FQ49" s="2"/>
      <c r="FR49" s="2"/>
      <c r="FS49" s="23"/>
    </row>
    <row r="50" spans="1:175" ht="14.5" customHeight="1" x14ac:dyDescent="0.35">
      <c r="A50" s="23"/>
      <c r="B50" s="23"/>
      <c r="C50" s="23"/>
      <c r="D50" s="23"/>
      <c r="E50" s="88" t="s">
        <v>72</v>
      </c>
      <c r="F50" s="89"/>
      <c r="G50" s="89"/>
      <c r="H50" s="90"/>
      <c r="I50" s="37"/>
      <c r="J50" s="37"/>
      <c r="K50" s="37"/>
      <c r="L50" s="37"/>
      <c r="M50" s="37"/>
      <c r="N50" s="37"/>
      <c r="O50" s="23"/>
      <c r="P50" s="23"/>
      <c r="Q50" s="23"/>
      <c r="R50" s="23"/>
      <c r="S50" s="23"/>
      <c r="T50" s="23"/>
      <c r="U50" s="23"/>
      <c r="V50" s="23"/>
      <c r="W50" s="23"/>
      <c r="X50" s="23"/>
      <c r="Y50" s="23"/>
      <c r="Z50" s="23"/>
      <c r="AA50" s="23"/>
      <c r="AB50" s="23"/>
      <c r="AC50" s="23"/>
      <c r="AD50" s="38"/>
      <c r="AE50" s="38"/>
      <c r="AF50" s="38"/>
      <c r="AG50" s="38"/>
      <c r="AH50" s="37"/>
      <c r="AI50" s="37"/>
      <c r="AJ50" s="37"/>
      <c r="AK50" s="37"/>
      <c r="AL50" s="37"/>
      <c r="AM50" s="37"/>
      <c r="AN50" s="23"/>
      <c r="AO50" s="23"/>
      <c r="AP50" s="23"/>
      <c r="AQ50" s="23"/>
      <c r="AR50" s="23"/>
      <c r="AS50" s="23"/>
      <c r="AT50" s="23"/>
      <c r="AU50" s="23"/>
      <c r="AV50" s="23"/>
      <c r="AW50" s="23"/>
      <c r="AX50" s="23"/>
      <c r="AY50" s="23"/>
      <c r="AZ50" s="23"/>
      <c r="BA50" s="23"/>
      <c r="BB50" s="23"/>
      <c r="BC50" s="119"/>
      <c r="BD50" s="119"/>
      <c r="BE50" s="119"/>
      <c r="BF50" s="119"/>
      <c r="BG50" s="37"/>
      <c r="BH50" s="37"/>
      <c r="BI50" s="37"/>
      <c r="BJ50" s="37"/>
      <c r="BK50" s="37"/>
      <c r="BL50" s="37"/>
      <c r="BM50" s="23"/>
      <c r="BN50" s="23"/>
      <c r="BO50" s="23"/>
      <c r="BP50" s="23"/>
      <c r="BQ50" s="23"/>
      <c r="BR50" s="23"/>
      <c r="BS50" s="23"/>
      <c r="BT50" s="23"/>
      <c r="BU50" s="23"/>
      <c r="BV50" s="23"/>
      <c r="BW50" s="23"/>
      <c r="BX50" s="23"/>
      <c r="BY50" s="23"/>
      <c r="BZ50" s="23"/>
      <c r="CA50" s="23"/>
      <c r="CB50" s="96" t="s">
        <v>72</v>
      </c>
      <c r="CC50" s="97"/>
      <c r="CD50" s="97"/>
      <c r="CE50" s="98"/>
      <c r="CF50" s="37"/>
      <c r="CG50" s="37"/>
      <c r="CH50" s="37"/>
      <c r="CI50" s="37"/>
      <c r="CJ50" s="37"/>
      <c r="CK50" s="37"/>
      <c r="CL50" s="23"/>
      <c r="CM50" s="23"/>
      <c r="CN50" s="23"/>
      <c r="CO50" s="23"/>
      <c r="CP50" s="23"/>
      <c r="CQ50" s="23"/>
      <c r="CR50" s="23"/>
      <c r="CS50" s="23"/>
      <c r="CT50" s="23"/>
      <c r="CU50" s="23"/>
      <c r="CV50" s="23"/>
      <c r="CW50" s="23"/>
      <c r="CX50" s="23"/>
      <c r="CY50" s="23"/>
      <c r="CZ50" s="23"/>
      <c r="DA50" s="96" t="s">
        <v>72</v>
      </c>
      <c r="DB50" s="97"/>
      <c r="DC50" s="97"/>
      <c r="DD50" s="98"/>
      <c r="DE50" s="37"/>
      <c r="DF50" s="37"/>
      <c r="DG50" s="37"/>
      <c r="DH50" s="37"/>
      <c r="DI50" s="37"/>
      <c r="DJ50" s="37"/>
      <c r="DK50" s="23"/>
      <c r="DL50" s="23"/>
      <c r="DM50" s="23"/>
      <c r="DN50" s="23"/>
      <c r="DO50" s="23"/>
      <c r="DP50" s="23"/>
      <c r="DQ50" s="23"/>
      <c r="DR50" s="23"/>
      <c r="DS50" s="23"/>
      <c r="DT50" s="23"/>
      <c r="DU50" s="23"/>
      <c r="DV50" s="23"/>
      <c r="DW50" s="23"/>
      <c r="DX50" s="23"/>
      <c r="DY50" s="23"/>
      <c r="DZ50" s="96" t="s">
        <v>72</v>
      </c>
      <c r="EA50" s="97"/>
      <c r="EB50" s="97"/>
      <c r="EC50" s="98"/>
      <c r="ED50" s="37"/>
      <c r="EE50" s="37"/>
      <c r="EF50" s="37"/>
      <c r="EG50" s="37"/>
      <c r="EH50" s="37"/>
      <c r="EI50" s="37"/>
      <c r="EJ50" s="23"/>
      <c r="EK50" s="23"/>
      <c r="EL50" s="23"/>
      <c r="EM50" s="23"/>
      <c r="EN50" s="23"/>
      <c r="EO50" s="23"/>
      <c r="EP50" s="23"/>
      <c r="EQ50" s="23"/>
      <c r="ER50" s="23"/>
      <c r="ES50" s="23"/>
      <c r="ET50" s="23"/>
      <c r="EU50" s="23"/>
      <c r="EV50" s="2"/>
      <c r="EW50" s="2"/>
      <c r="EX50" s="2"/>
      <c r="EY50" s="2"/>
      <c r="EZ50" s="2"/>
      <c r="FA50" s="2"/>
      <c r="FB50" s="2"/>
      <c r="FC50" s="2"/>
      <c r="FD50" s="2"/>
      <c r="FE50" s="2"/>
      <c r="FF50" s="2"/>
      <c r="FG50" s="2"/>
      <c r="FH50" s="2"/>
      <c r="FI50" s="2"/>
      <c r="FJ50" s="2"/>
      <c r="FK50" s="2"/>
      <c r="FL50" s="2"/>
      <c r="FM50" s="2"/>
      <c r="FN50" s="2"/>
      <c r="FO50" s="2"/>
      <c r="FP50" s="2"/>
      <c r="FQ50" s="2"/>
      <c r="FR50" s="2"/>
      <c r="FS50" s="23"/>
    </row>
    <row r="51" spans="1:175" ht="15" customHeight="1" thickBot="1" x14ac:dyDescent="0.4">
      <c r="A51" s="23"/>
      <c r="B51" s="23"/>
      <c r="C51" s="23"/>
      <c r="D51" s="23"/>
      <c r="E51" s="91"/>
      <c r="F51" s="92"/>
      <c r="G51" s="92"/>
      <c r="H51" s="93"/>
      <c r="I51" s="37"/>
      <c r="J51" s="37"/>
      <c r="K51" s="37"/>
      <c r="L51" s="37"/>
      <c r="M51" s="37"/>
      <c r="N51" s="37"/>
      <c r="O51" s="23"/>
      <c r="P51" s="23"/>
      <c r="Q51" s="23"/>
      <c r="R51" s="23"/>
      <c r="S51" s="23"/>
      <c r="T51" s="23"/>
      <c r="U51" s="23"/>
      <c r="V51" s="23"/>
      <c r="W51" s="23"/>
      <c r="X51" s="23"/>
      <c r="Y51" s="23"/>
      <c r="Z51" s="23"/>
      <c r="AA51" s="23"/>
      <c r="AB51" s="23"/>
      <c r="AC51" s="23"/>
      <c r="AD51" s="38"/>
      <c r="AE51" s="38"/>
      <c r="AF51" s="38"/>
      <c r="AG51" s="38"/>
      <c r="AH51" s="37"/>
      <c r="AI51" s="37"/>
      <c r="AJ51" s="37"/>
      <c r="AK51" s="37"/>
      <c r="AL51" s="37"/>
      <c r="AM51" s="37"/>
      <c r="AN51" s="23"/>
      <c r="AO51" s="23"/>
      <c r="AP51" s="23"/>
      <c r="AQ51" s="23"/>
      <c r="AR51" s="23"/>
      <c r="AS51" s="23"/>
      <c r="AT51" s="23"/>
      <c r="AU51" s="23"/>
      <c r="AV51" s="23"/>
      <c r="AW51" s="23"/>
      <c r="AX51" s="23"/>
      <c r="AY51" s="23"/>
      <c r="AZ51" s="23"/>
      <c r="BA51" s="23"/>
      <c r="BB51" s="23"/>
      <c r="BC51" s="119"/>
      <c r="BD51" s="119"/>
      <c r="BE51" s="119"/>
      <c r="BF51" s="119"/>
      <c r="BG51" s="37"/>
      <c r="BH51" s="37"/>
      <c r="BI51" s="37"/>
      <c r="BJ51" s="37"/>
      <c r="BK51" s="37"/>
      <c r="BL51" s="37"/>
      <c r="BM51" s="23"/>
      <c r="BN51" s="23"/>
      <c r="BO51" s="23"/>
      <c r="BP51" s="23"/>
      <c r="BQ51" s="23"/>
      <c r="BR51" s="23"/>
      <c r="BS51" s="23"/>
      <c r="BT51" s="23"/>
      <c r="BU51" s="23"/>
      <c r="BV51" s="23"/>
      <c r="BW51" s="23"/>
      <c r="BX51" s="23"/>
      <c r="BY51" s="23"/>
      <c r="BZ51" s="23"/>
      <c r="CA51" s="23"/>
      <c r="CB51" s="99"/>
      <c r="CC51" s="100"/>
      <c r="CD51" s="100"/>
      <c r="CE51" s="101"/>
      <c r="CF51" s="37"/>
      <c r="CG51" s="37"/>
      <c r="CH51" s="37"/>
      <c r="CI51" s="37"/>
      <c r="CJ51" s="37"/>
      <c r="CK51" s="37"/>
      <c r="CL51" s="23"/>
      <c r="CM51" s="23"/>
      <c r="CN51" s="23"/>
      <c r="CO51" s="23"/>
      <c r="CP51" s="23"/>
      <c r="CQ51" s="23"/>
      <c r="CR51" s="23"/>
      <c r="CS51" s="23"/>
      <c r="CT51" s="23"/>
      <c r="CU51" s="23"/>
      <c r="CV51" s="23"/>
      <c r="CW51" s="23"/>
      <c r="CX51" s="23"/>
      <c r="CY51" s="23"/>
      <c r="CZ51" s="23"/>
      <c r="DA51" s="99"/>
      <c r="DB51" s="100"/>
      <c r="DC51" s="100"/>
      <c r="DD51" s="101"/>
      <c r="DE51" s="37"/>
      <c r="DF51" s="37"/>
      <c r="DG51" s="37"/>
      <c r="DH51" s="37"/>
      <c r="DI51" s="37"/>
      <c r="DJ51" s="37"/>
      <c r="DK51" s="23"/>
      <c r="DL51" s="23"/>
      <c r="DM51" s="23"/>
      <c r="DN51" s="23"/>
      <c r="DO51" s="23"/>
      <c r="DP51" s="23"/>
      <c r="DQ51" s="23"/>
      <c r="DR51" s="23"/>
      <c r="DS51" s="23"/>
      <c r="DT51" s="23"/>
      <c r="DU51" s="23"/>
      <c r="DV51" s="23"/>
      <c r="DW51" s="23"/>
      <c r="DX51" s="23"/>
      <c r="DY51" s="23"/>
      <c r="DZ51" s="99"/>
      <c r="EA51" s="100"/>
      <c r="EB51" s="100"/>
      <c r="EC51" s="101"/>
      <c r="ED51" s="37"/>
      <c r="EE51" s="37"/>
      <c r="EF51" s="37"/>
      <c r="EG51" s="37"/>
      <c r="EH51" s="37"/>
      <c r="EI51" s="37"/>
      <c r="EJ51" s="23"/>
      <c r="EK51" s="23"/>
      <c r="EL51" s="23"/>
      <c r="EM51" s="23"/>
      <c r="EN51" s="23"/>
      <c r="EO51" s="23"/>
      <c r="EP51" s="23"/>
      <c r="EQ51" s="23"/>
      <c r="ER51" s="23"/>
      <c r="ES51" s="23"/>
      <c r="ET51" s="23"/>
      <c r="EU51" s="23"/>
      <c r="EV51" s="2"/>
      <c r="EW51" s="2"/>
      <c r="EX51" s="2"/>
      <c r="EY51" s="2"/>
      <c r="EZ51" s="2"/>
      <c r="FA51" s="2"/>
      <c r="FB51" s="2"/>
      <c r="FC51" s="2"/>
      <c r="FD51" s="2"/>
      <c r="FE51" s="2"/>
      <c r="FF51" s="2"/>
      <c r="FG51" s="2"/>
      <c r="FH51" s="2"/>
      <c r="FI51" s="2"/>
      <c r="FJ51" s="2"/>
      <c r="FK51" s="2"/>
      <c r="FL51" s="2"/>
      <c r="FM51" s="2"/>
      <c r="FN51" s="2"/>
      <c r="FO51" s="2"/>
      <c r="FP51" s="2"/>
      <c r="FQ51" s="2"/>
      <c r="FR51" s="2"/>
      <c r="FS51" s="23"/>
    </row>
    <row r="52" spans="1:175" ht="14.5" customHeight="1" x14ac:dyDescent="0.35">
      <c r="A52" s="23"/>
      <c r="B52" s="23"/>
      <c r="C52" s="23"/>
      <c r="D52" s="23"/>
      <c r="E52" s="94" t="s">
        <v>68</v>
      </c>
      <c r="F52" s="107">
        <f>SUM(D35+AC35+BB35+CA35+CZ35+DY35+EX35)</f>
        <v>8055</v>
      </c>
      <c r="G52" s="120"/>
      <c r="H52" s="120"/>
      <c r="I52" s="23"/>
      <c r="J52" s="23"/>
      <c r="K52" s="23"/>
      <c r="L52" s="23"/>
      <c r="M52" s="23"/>
      <c r="N52" s="23"/>
      <c r="O52" s="23"/>
      <c r="P52" s="23"/>
      <c r="Q52" s="23"/>
      <c r="R52" s="23"/>
      <c r="S52" s="23"/>
      <c r="T52" s="23"/>
      <c r="U52" s="23"/>
      <c r="V52" s="23"/>
      <c r="W52" s="23"/>
      <c r="X52" s="23"/>
      <c r="Y52" s="23"/>
      <c r="Z52" s="23"/>
      <c r="AA52" s="23"/>
      <c r="AB52" s="23"/>
      <c r="AC52" s="23"/>
      <c r="AD52" s="39"/>
      <c r="AE52" s="39"/>
      <c r="AF52" s="39"/>
      <c r="AG52" s="39"/>
      <c r="AH52" s="23"/>
      <c r="AI52" s="23"/>
      <c r="AJ52" s="23"/>
      <c r="AK52" s="23"/>
      <c r="AL52" s="23"/>
      <c r="AM52" s="23"/>
      <c r="AN52" s="23"/>
      <c r="AO52" s="23"/>
      <c r="AP52" s="23"/>
      <c r="AQ52" s="23"/>
      <c r="AR52" s="23"/>
      <c r="AS52" s="23"/>
      <c r="AT52" s="23"/>
      <c r="AU52" s="23"/>
      <c r="AV52" s="23"/>
      <c r="AW52" s="23"/>
      <c r="AX52" s="23"/>
      <c r="AY52" s="23"/>
      <c r="AZ52" s="23"/>
      <c r="BA52" s="23"/>
      <c r="BB52" s="23"/>
      <c r="BC52" s="79"/>
      <c r="BD52" s="79"/>
      <c r="BE52" s="79"/>
      <c r="BF52" s="79"/>
      <c r="BG52" s="23"/>
      <c r="BH52" s="23"/>
      <c r="BI52" s="23"/>
      <c r="BJ52" s="23"/>
      <c r="BK52" s="23"/>
      <c r="BL52" s="23"/>
      <c r="BM52" s="23"/>
      <c r="BN52" s="23"/>
      <c r="BO52" s="23"/>
      <c r="BP52" s="23"/>
      <c r="BQ52" s="23"/>
      <c r="BR52" s="23"/>
      <c r="BS52" s="23"/>
      <c r="BT52" s="23"/>
      <c r="BU52" s="23"/>
      <c r="BV52" s="23"/>
      <c r="BW52" s="23"/>
      <c r="BX52" s="23"/>
      <c r="BY52" s="23"/>
      <c r="BZ52" s="23"/>
      <c r="CA52" s="23"/>
      <c r="CB52" s="80" t="s">
        <v>68</v>
      </c>
      <c r="CC52" s="76"/>
      <c r="CD52" s="77"/>
      <c r="CE52" s="77"/>
      <c r="CF52" s="23"/>
      <c r="CG52" s="23"/>
      <c r="CH52" s="23"/>
      <c r="CI52" s="23"/>
      <c r="CJ52" s="23"/>
      <c r="CK52" s="23"/>
      <c r="CL52" s="23"/>
      <c r="CM52" s="23"/>
      <c r="CN52" s="23"/>
      <c r="CO52" s="23"/>
      <c r="CP52" s="23"/>
      <c r="CQ52" s="23"/>
      <c r="CR52" s="23"/>
      <c r="CS52" s="23"/>
      <c r="CT52" s="23"/>
      <c r="CU52" s="23"/>
      <c r="CV52" s="23"/>
      <c r="CW52" s="23"/>
      <c r="CX52" s="23"/>
      <c r="CY52" s="23"/>
      <c r="CZ52" s="23"/>
      <c r="DA52" s="80" t="s">
        <v>68</v>
      </c>
      <c r="DB52" s="76"/>
      <c r="DC52" s="77"/>
      <c r="DD52" s="77"/>
      <c r="DE52" s="23"/>
      <c r="DF52" s="23"/>
      <c r="DG52" s="23"/>
      <c r="DH52" s="23"/>
      <c r="DI52" s="23"/>
      <c r="DJ52" s="23"/>
      <c r="DK52" s="23"/>
      <c r="DL52" s="23"/>
      <c r="DM52" s="23"/>
      <c r="DN52" s="23"/>
      <c r="DO52" s="23"/>
      <c r="DP52" s="23"/>
      <c r="DQ52" s="23"/>
      <c r="DR52" s="23"/>
      <c r="DS52" s="23"/>
      <c r="DT52" s="23"/>
      <c r="DU52" s="23"/>
      <c r="DV52" s="23"/>
      <c r="DW52" s="23"/>
      <c r="DX52" s="23"/>
      <c r="DY52" s="23"/>
      <c r="DZ52" s="80" t="s">
        <v>68</v>
      </c>
      <c r="EA52" s="76"/>
      <c r="EB52" s="77"/>
      <c r="EC52" s="77"/>
      <c r="ED52" s="23"/>
      <c r="EE52" s="23"/>
      <c r="EF52" s="23"/>
      <c r="EG52" s="23"/>
      <c r="EH52" s="23"/>
      <c r="EI52" s="23"/>
      <c r="EJ52" s="23"/>
      <c r="EK52" s="23"/>
      <c r="EL52" s="23"/>
      <c r="EM52" s="23"/>
      <c r="EN52" s="23"/>
      <c r="EO52" s="23"/>
      <c r="EP52" s="23"/>
      <c r="EQ52" s="23"/>
      <c r="ER52" s="23"/>
      <c r="ES52" s="23"/>
      <c r="ET52" s="23"/>
      <c r="EU52" s="23"/>
      <c r="EV52" s="2"/>
      <c r="EW52" s="2"/>
      <c r="EX52" s="2"/>
      <c r="EY52" s="2"/>
      <c r="EZ52" s="2"/>
      <c r="FA52" s="2"/>
      <c r="FB52" s="2"/>
      <c r="FC52" s="2"/>
      <c r="FD52" s="2"/>
      <c r="FE52" s="2"/>
      <c r="FF52" s="2"/>
      <c r="FG52" s="2"/>
      <c r="FH52" s="2"/>
      <c r="FI52" s="2"/>
      <c r="FJ52" s="2"/>
      <c r="FK52" s="2"/>
      <c r="FL52" s="2"/>
      <c r="FM52" s="2"/>
      <c r="FN52" s="2"/>
      <c r="FO52" s="2"/>
      <c r="FP52" s="2"/>
      <c r="FQ52" s="2"/>
      <c r="FR52" s="2"/>
      <c r="FS52" s="23"/>
    </row>
    <row r="53" spans="1:175" ht="14.5" customHeight="1" x14ac:dyDescent="0.35">
      <c r="A53" s="23"/>
      <c r="B53" s="23"/>
      <c r="C53" s="23"/>
      <c r="D53" s="23"/>
      <c r="E53" s="94"/>
      <c r="F53" s="109"/>
      <c r="G53" s="121"/>
      <c r="H53" s="121"/>
      <c r="I53" s="23"/>
      <c r="J53" s="23"/>
      <c r="K53" s="23"/>
      <c r="L53" s="23"/>
      <c r="M53" s="23"/>
      <c r="N53" s="23"/>
      <c r="O53" s="23"/>
      <c r="P53" s="23"/>
      <c r="Q53" s="23"/>
      <c r="R53" s="23"/>
      <c r="S53" s="23"/>
      <c r="T53" s="23"/>
      <c r="U53" s="23"/>
      <c r="V53" s="23"/>
      <c r="W53" s="23"/>
      <c r="X53" s="23"/>
      <c r="Y53" s="23"/>
      <c r="Z53" s="23"/>
      <c r="AA53" s="23"/>
      <c r="AB53" s="23"/>
      <c r="AC53" s="23"/>
      <c r="AD53" s="39"/>
      <c r="AE53" s="39"/>
      <c r="AF53" s="39"/>
      <c r="AG53" s="39"/>
      <c r="AH53" s="23"/>
      <c r="AI53" s="23"/>
      <c r="AJ53" s="23"/>
      <c r="AK53" s="23"/>
      <c r="AL53" s="23"/>
      <c r="AM53" s="23"/>
      <c r="AN53" s="23"/>
      <c r="AO53" s="23"/>
      <c r="AP53" s="23"/>
      <c r="AQ53" s="23"/>
      <c r="AR53" s="23"/>
      <c r="AS53" s="23"/>
      <c r="AT53" s="23"/>
      <c r="AU53" s="23"/>
      <c r="AV53" s="23"/>
      <c r="AW53" s="23"/>
      <c r="AX53" s="23"/>
      <c r="AY53" s="23"/>
      <c r="AZ53" s="23"/>
      <c r="BA53" s="23"/>
      <c r="BB53" s="23"/>
      <c r="BC53" s="79"/>
      <c r="BD53" s="79"/>
      <c r="BE53" s="79"/>
      <c r="BF53" s="79"/>
      <c r="BG53" s="23"/>
      <c r="BH53" s="23"/>
      <c r="BI53" s="23"/>
      <c r="BJ53" s="23"/>
      <c r="BK53" s="23"/>
      <c r="BL53" s="23"/>
      <c r="BM53" s="23"/>
      <c r="BN53" s="23"/>
      <c r="BO53" s="23"/>
      <c r="BP53" s="23"/>
      <c r="BQ53" s="23"/>
      <c r="BR53" s="23"/>
      <c r="BS53" s="23"/>
      <c r="BT53" s="23"/>
      <c r="BU53" s="23"/>
      <c r="BV53" s="23"/>
      <c r="BW53" s="23"/>
      <c r="BX53" s="23"/>
      <c r="BY53" s="23"/>
      <c r="BZ53" s="23"/>
      <c r="CA53" s="23"/>
      <c r="CB53" s="80"/>
      <c r="CC53" s="78"/>
      <c r="CD53" s="79"/>
      <c r="CE53" s="79"/>
      <c r="CF53" s="23"/>
      <c r="CG53" s="23"/>
      <c r="CH53" s="23"/>
      <c r="CI53" s="23"/>
      <c r="CJ53" s="23"/>
      <c r="CK53" s="23"/>
      <c r="CL53" s="23"/>
      <c r="CM53" s="23"/>
      <c r="CN53" s="23"/>
      <c r="CO53" s="23"/>
      <c r="CP53" s="23"/>
      <c r="CQ53" s="23"/>
      <c r="CR53" s="23"/>
      <c r="CS53" s="23"/>
      <c r="CT53" s="23"/>
      <c r="CU53" s="23"/>
      <c r="CV53" s="23"/>
      <c r="CW53" s="23"/>
      <c r="CX53" s="23"/>
      <c r="CY53" s="23"/>
      <c r="CZ53" s="23"/>
      <c r="DA53" s="80"/>
      <c r="DB53" s="78"/>
      <c r="DC53" s="79"/>
      <c r="DD53" s="79"/>
      <c r="DE53" s="23"/>
      <c r="DF53" s="23"/>
      <c r="DG53" s="23"/>
      <c r="DH53" s="23"/>
      <c r="DI53" s="23"/>
      <c r="DJ53" s="23"/>
      <c r="DK53" s="23"/>
      <c r="DL53" s="23"/>
      <c r="DM53" s="23"/>
      <c r="DN53" s="23"/>
      <c r="DO53" s="23"/>
      <c r="DP53" s="23"/>
      <c r="DQ53" s="23"/>
      <c r="DR53" s="23"/>
      <c r="DS53" s="23"/>
      <c r="DT53" s="23"/>
      <c r="DU53" s="23"/>
      <c r="DV53" s="23"/>
      <c r="DW53" s="23"/>
      <c r="DX53" s="23"/>
      <c r="DY53" s="23"/>
      <c r="DZ53" s="80"/>
      <c r="EA53" s="78"/>
      <c r="EB53" s="79"/>
      <c r="EC53" s="79"/>
      <c r="ED53" s="23"/>
      <c r="EE53" s="23"/>
      <c r="EF53" s="23"/>
      <c r="EG53" s="23"/>
      <c r="EH53" s="23"/>
      <c r="EI53" s="23"/>
      <c r="EJ53" s="23"/>
      <c r="EK53" s="23"/>
      <c r="EL53" s="23"/>
      <c r="EM53" s="23"/>
      <c r="EN53" s="23"/>
      <c r="EO53" s="23"/>
      <c r="EP53" s="23"/>
      <c r="EQ53" s="23"/>
      <c r="ER53" s="23"/>
      <c r="ES53" s="23"/>
      <c r="ET53" s="23"/>
      <c r="EU53" s="23"/>
      <c r="EV53" s="2"/>
      <c r="EW53" s="2"/>
      <c r="EX53" s="2"/>
      <c r="EY53" s="2"/>
      <c r="EZ53" s="2"/>
      <c r="FA53" s="2"/>
      <c r="FB53" s="2"/>
      <c r="FC53" s="2"/>
      <c r="FD53" s="2"/>
      <c r="FE53" s="2"/>
      <c r="FF53" s="2"/>
      <c r="FG53" s="2"/>
      <c r="FH53" s="2"/>
      <c r="FI53" s="2"/>
      <c r="FJ53" s="2"/>
      <c r="FK53" s="2"/>
      <c r="FL53" s="2"/>
      <c r="FM53" s="2"/>
      <c r="FN53" s="2"/>
      <c r="FO53" s="2"/>
      <c r="FP53" s="2"/>
      <c r="FQ53" s="2"/>
      <c r="FR53" s="2"/>
      <c r="FS53" s="23"/>
    </row>
    <row r="54" spans="1:175" ht="14.5" customHeight="1" x14ac:dyDescent="0.35">
      <c r="A54" s="23"/>
      <c r="B54" s="23"/>
      <c r="C54" s="23"/>
      <c r="D54" s="23"/>
      <c r="E54" s="94"/>
      <c r="F54" s="109"/>
      <c r="G54" s="121"/>
      <c r="H54" s="121"/>
      <c r="I54" s="23"/>
      <c r="J54" s="23"/>
      <c r="K54" s="23"/>
      <c r="L54" s="23"/>
      <c r="M54" s="23"/>
      <c r="N54" s="23"/>
      <c r="O54" s="23"/>
      <c r="P54" s="23"/>
      <c r="Q54" s="23"/>
      <c r="R54" s="23"/>
      <c r="S54" s="23"/>
      <c r="T54" s="23"/>
      <c r="U54" s="23"/>
      <c r="V54" s="23"/>
      <c r="W54" s="23"/>
      <c r="X54" s="23"/>
      <c r="Y54" s="23"/>
      <c r="Z54" s="23"/>
      <c r="AA54" s="23"/>
      <c r="AB54" s="23"/>
      <c r="AC54" s="23"/>
      <c r="AD54" s="39"/>
      <c r="AE54" s="39"/>
      <c r="AF54" s="39"/>
      <c r="AG54" s="39"/>
      <c r="AH54" s="23"/>
      <c r="AI54" s="23"/>
      <c r="AJ54" s="23"/>
      <c r="AK54" s="23"/>
      <c r="AL54" s="23"/>
      <c r="AM54" s="23"/>
      <c r="AN54" s="23"/>
      <c r="AO54" s="23"/>
      <c r="AP54" s="23"/>
      <c r="AQ54" s="23"/>
      <c r="AR54" s="23"/>
      <c r="AS54" s="23"/>
      <c r="AT54" s="23"/>
      <c r="AU54" s="23"/>
      <c r="AV54" s="23"/>
      <c r="AW54" s="23"/>
      <c r="AX54" s="23"/>
      <c r="AY54" s="23"/>
      <c r="AZ54" s="23"/>
      <c r="BA54" s="23"/>
      <c r="BB54" s="23"/>
      <c r="BC54" s="79"/>
      <c r="BD54" s="79"/>
      <c r="BE54" s="79"/>
      <c r="BF54" s="79"/>
      <c r="BG54" s="23"/>
      <c r="BH54" s="23"/>
      <c r="BI54" s="23"/>
      <c r="BJ54" s="23"/>
      <c r="BK54" s="23"/>
      <c r="BL54" s="23"/>
      <c r="BM54" s="23"/>
      <c r="BN54" s="23"/>
      <c r="BO54" s="23"/>
      <c r="BP54" s="23"/>
      <c r="BQ54" s="23"/>
      <c r="BR54" s="23"/>
      <c r="BS54" s="23"/>
      <c r="BT54" s="23"/>
      <c r="BU54" s="23"/>
      <c r="BV54" s="23"/>
      <c r="BW54" s="23"/>
      <c r="BX54" s="23"/>
      <c r="BY54" s="23"/>
      <c r="BZ54" s="23"/>
      <c r="CA54" s="23"/>
      <c r="CB54" s="80"/>
      <c r="CC54" s="78"/>
      <c r="CD54" s="79"/>
      <c r="CE54" s="79"/>
      <c r="CF54" s="23"/>
      <c r="CG54" s="23"/>
      <c r="CH54" s="23"/>
      <c r="CI54" s="23"/>
      <c r="CJ54" s="23"/>
      <c r="CK54" s="23"/>
      <c r="CL54" s="23"/>
      <c r="CM54" s="23"/>
      <c r="CN54" s="23"/>
      <c r="CO54" s="23"/>
      <c r="CP54" s="23"/>
      <c r="CQ54" s="23"/>
      <c r="CR54" s="23"/>
      <c r="CS54" s="23"/>
      <c r="CT54" s="23"/>
      <c r="CU54" s="23"/>
      <c r="CV54" s="23"/>
      <c r="CW54" s="23"/>
      <c r="CX54" s="23"/>
      <c r="CY54" s="23"/>
      <c r="CZ54" s="23"/>
      <c r="DA54" s="80"/>
      <c r="DB54" s="78"/>
      <c r="DC54" s="79"/>
      <c r="DD54" s="79"/>
      <c r="DE54" s="23"/>
      <c r="DF54" s="23"/>
      <c r="DG54" s="23"/>
      <c r="DH54" s="23"/>
      <c r="DI54" s="23"/>
      <c r="DJ54" s="23"/>
      <c r="DK54" s="23"/>
      <c r="DL54" s="23"/>
      <c r="DM54" s="23"/>
      <c r="DN54" s="23"/>
      <c r="DO54" s="23"/>
      <c r="DP54" s="23"/>
      <c r="DQ54" s="23"/>
      <c r="DR54" s="23"/>
      <c r="DS54" s="23"/>
      <c r="DT54" s="23"/>
      <c r="DU54" s="23"/>
      <c r="DV54" s="23"/>
      <c r="DW54" s="23"/>
      <c r="DX54" s="23"/>
      <c r="DY54" s="23"/>
      <c r="DZ54" s="80"/>
      <c r="EA54" s="78"/>
      <c r="EB54" s="79"/>
      <c r="EC54" s="79"/>
      <c r="ED54" s="23"/>
      <c r="EE54" s="23"/>
      <c r="EF54" s="23"/>
      <c r="EG54" s="23"/>
      <c r="EH54" s="23"/>
      <c r="EI54" s="23"/>
      <c r="EJ54" s="23"/>
      <c r="EK54" s="23"/>
      <c r="EL54" s="23"/>
      <c r="EM54" s="23"/>
      <c r="EN54" s="23"/>
      <c r="EO54" s="23"/>
      <c r="EP54" s="23"/>
      <c r="EQ54" s="23"/>
      <c r="ER54" s="23"/>
      <c r="ES54" s="23"/>
      <c r="ET54" s="23"/>
      <c r="EU54" s="23"/>
      <c r="EV54" s="2"/>
      <c r="EW54" s="2"/>
      <c r="EX54" s="2"/>
      <c r="EY54" s="2"/>
      <c r="EZ54" s="2"/>
      <c r="FA54" s="2"/>
      <c r="FB54" s="2"/>
      <c r="FC54" s="2"/>
      <c r="FD54" s="2"/>
      <c r="FE54" s="2"/>
      <c r="FF54" s="2"/>
      <c r="FG54" s="2"/>
      <c r="FH54" s="2"/>
      <c r="FI54" s="2"/>
      <c r="FJ54" s="2"/>
      <c r="FK54" s="2"/>
      <c r="FL54" s="2"/>
      <c r="FM54" s="2"/>
      <c r="FN54" s="2"/>
      <c r="FO54" s="2"/>
      <c r="FP54" s="2"/>
      <c r="FQ54" s="2"/>
      <c r="FR54" s="2"/>
      <c r="FS54" s="23"/>
    </row>
    <row r="55" spans="1:175" ht="15" customHeight="1" thickBot="1" x14ac:dyDescent="0.4">
      <c r="A55" s="23"/>
      <c r="B55" s="23"/>
      <c r="C55" s="23"/>
      <c r="D55" s="23"/>
      <c r="E55" s="95"/>
      <c r="F55" s="109"/>
      <c r="G55" s="121"/>
      <c r="H55" s="121"/>
      <c r="I55" s="23"/>
      <c r="J55" s="23"/>
      <c r="K55" s="23"/>
      <c r="L55" s="23"/>
      <c r="M55" s="23"/>
      <c r="N55" s="23"/>
      <c r="O55" s="23"/>
      <c r="P55" s="23"/>
      <c r="Q55" s="23"/>
      <c r="R55" s="23"/>
      <c r="S55" s="23"/>
      <c r="T55" s="23"/>
      <c r="U55" s="23"/>
      <c r="V55" s="23"/>
      <c r="W55" s="23"/>
      <c r="X55" s="23"/>
      <c r="Y55" s="23"/>
      <c r="Z55" s="23"/>
      <c r="AA55" s="23"/>
      <c r="AB55" s="23"/>
      <c r="AC55" s="23"/>
      <c r="AD55" s="39"/>
      <c r="AE55" s="39"/>
      <c r="AF55" s="39"/>
      <c r="AG55" s="39"/>
      <c r="AH55" s="23"/>
      <c r="AI55" s="23"/>
      <c r="AJ55" s="23"/>
      <c r="AK55" s="23"/>
      <c r="AL55" s="23"/>
      <c r="AM55" s="23"/>
      <c r="AN55" s="23"/>
      <c r="AO55" s="23"/>
      <c r="AP55" s="23"/>
      <c r="AQ55" s="23"/>
      <c r="AR55" s="23"/>
      <c r="AS55" s="23"/>
      <c r="AT55" s="23"/>
      <c r="AU55" s="23"/>
      <c r="AV55" s="23"/>
      <c r="AW55" s="23"/>
      <c r="AX55" s="23"/>
      <c r="AY55" s="23"/>
      <c r="AZ55" s="23"/>
      <c r="BA55" s="23"/>
      <c r="BB55" s="23"/>
      <c r="BC55" s="79"/>
      <c r="BD55" s="79"/>
      <c r="BE55" s="79"/>
      <c r="BF55" s="79"/>
      <c r="BG55" s="23"/>
      <c r="BH55" s="23"/>
      <c r="BI55" s="23"/>
      <c r="BJ55" s="23"/>
      <c r="BK55" s="23"/>
      <c r="BL55" s="23"/>
      <c r="BM55" s="23"/>
      <c r="BN55" s="23"/>
      <c r="BO55" s="23"/>
      <c r="BP55" s="23"/>
      <c r="BQ55" s="23"/>
      <c r="BR55" s="23"/>
      <c r="BS55" s="23"/>
      <c r="BT55" s="23"/>
      <c r="BU55" s="23"/>
      <c r="BV55" s="23"/>
      <c r="BW55" s="23"/>
      <c r="BX55" s="23"/>
      <c r="BY55" s="23"/>
      <c r="BZ55" s="23"/>
      <c r="CA55" s="23"/>
      <c r="CB55" s="81"/>
      <c r="CC55" s="78"/>
      <c r="CD55" s="79"/>
      <c r="CE55" s="79"/>
      <c r="CF55" s="23"/>
      <c r="CG55" s="23"/>
      <c r="CH55" s="23"/>
      <c r="CI55" s="23"/>
      <c r="CJ55" s="23"/>
      <c r="CK55" s="23"/>
      <c r="CL55" s="23"/>
      <c r="CM55" s="23"/>
      <c r="CN55" s="23"/>
      <c r="CO55" s="23"/>
      <c r="CP55" s="23"/>
      <c r="CQ55" s="23"/>
      <c r="CR55" s="23"/>
      <c r="CS55" s="23"/>
      <c r="CT55" s="23"/>
      <c r="CU55" s="23"/>
      <c r="CV55" s="23"/>
      <c r="CW55" s="23"/>
      <c r="CX55" s="23"/>
      <c r="CY55" s="23"/>
      <c r="CZ55" s="23"/>
      <c r="DA55" s="81"/>
      <c r="DB55" s="78"/>
      <c r="DC55" s="79"/>
      <c r="DD55" s="79"/>
      <c r="DE55" s="23"/>
      <c r="DF55" s="23"/>
      <c r="DG55" s="23"/>
      <c r="DH55" s="23"/>
      <c r="DI55" s="23"/>
      <c r="DJ55" s="23"/>
      <c r="DK55" s="23"/>
      <c r="DL55" s="23"/>
      <c r="DM55" s="23"/>
      <c r="DN55" s="23"/>
      <c r="DO55" s="23"/>
      <c r="DP55" s="23"/>
      <c r="DQ55" s="23"/>
      <c r="DR55" s="23"/>
      <c r="DS55" s="23"/>
      <c r="DT55" s="23"/>
      <c r="DU55" s="23"/>
      <c r="DV55" s="23"/>
      <c r="DW55" s="23"/>
      <c r="DX55" s="23"/>
      <c r="DY55" s="23"/>
      <c r="DZ55" s="81"/>
      <c r="EA55" s="78"/>
      <c r="EB55" s="79"/>
      <c r="EC55" s="79"/>
      <c r="ED55" s="23"/>
      <c r="EE55" s="23"/>
      <c r="EF55" s="23"/>
      <c r="EG55" s="23"/>
      <c r="EH55" s="23"/>
      <c r="EI55" s="23"/>
      <c r="EJ55" s="23"/>
      <c r="EK55" s="23"/>
      <c r="EL55" s="23"/>
      <c r="EM55" s="23"/>
      <c r="EN55" s="23"/>
      <c r="EO55" s="23"/>
      <c r="EP55" s="23"/>
      <c r="EQ55" s="23"/>
      <c r="ER55" s="23"/>
      <c r="ES55" s="23"/>
      <c r="ET55" s="23"/>
      <c r="EU55" s="23"/>
      <c r="EV55" s="2"/>
      <c r="EW55" s="2"/>
      <c r="EX55" s="2"/>
      <c r="EY55" s="2"/>
      <c r="EZ55" s="2"/>
      <c r="FA55" s="2"/>
      <c r="FB55" s="2"/>
      <c r="FC55" s="2"/>
      <c r="FD55" s="2"/>
      <c r="FE55" s="2"/>
      <c r="FF55" s="2"/>
      <c r="FG55" s="2"/>
      <c r="FH55" s="2"/>
      <c r="FI55" s="2"/>
      <c r="FJ55" s="2"/>
      <c r="FK55" s="2"/>
      <c r="FL55" s="2"/>
      <c r="FM55" s="2"/>
      <c r="FN55" s="2"/>
      <c r="FO55" s="2"/>
      <c r="FP55" s="2"/>
      <c r="FQ55" s="2"/>
      <c r="FR55" s="2"/>
      <c r="FS55" s="23"/>
    </row>
    <row r="56" spans="1:175" ht="14.5" customHeight="1" x14ac:dyDescent="0.35">
      <c r="A56" s="23"/>
      <c r="B56" s="23"/>
      <c r="C56" s="23"/>
      <c r="D56" s="23"/>
      <c r="E56" s="94" t="s">
        <v>70</v>
      </c>
      <c r="F56" s="107">
        <f>D39+AC39+BB39+CA39+CZ39+DY39+EX39</f>
        <v>37663.270072724743</v>
      </c>
      <c r="G56" s="120"/>
      <c r="H56" s="120"/>
      <c r="I56" s="23"/>
      <c r="J56" s="23"/>
      <c r="K56" s="23"/>
      <c r="L56" s="23"/>
      <c r="M56" s="23"/>
      <c r="N56" s="23"/>
      <c r="O56" s="23"/>
      <c r="P56" s="23"/>
      <c r="Q56" s="23"/>
      <c r="R56" s="23"/>
      <c r="S56" s="23"/>
      <c r="T56" s="23"/>
      <c r="U56" s="23"/>
      <c r="V56" s="23"/>
      <c r="W56" s="23"/>
      <c r="X56" s="23"/>
      <c r="Y56" s="23"/>
      <c r="Z56" s="23"/>
      <c r="AA56" s="23"/>
      <c r="AB56" s="23"/>
      <c r="AC56" s="23"/>
      <c r="AD56" s="39"/>
      <c r="AE56" s="39"/>
      <c r="AF56" s="39"/>
      <c r="AG56" s="39"/>
      <c r="AH56" s="23"/>
      <c r="AI56" s="23"/>
      <c r="AJ56" s="23"/>
      <c r="AK56" s="23"/>
      <c r="AL56" s="23"/>
      <c r="AM56" s="23"/>
      <c r="AN56" s="23"/>
      <c r="AO56" s="23"/>
      <c r="AP56" s="23"/>
      <c r="AQ56" s="23"/>
      <c r="AR56" s="23"/>
      <c r="AS56" s="23"/>
      <c r="AT56" s="23"/>
      <c r="AU56" s="23"/>
      <c r="AV56" s="23"/>
      <c r="AW56" s="23"/>
      <c r="AX56" s="23"/>
      <c r="AY56" s="23"/>
      <c r="AZ56" s="23"/>
      <c r="BA56" s="23"/>
      <c r="BB56" s="23"/>
      <c r="BC56" s="79"/>
      <c r="BD56" s="79"/>
      <c r="BE56" s="79"/>
      <c r="BF56" s="79"/>
      <c r="BG56" s="23"/>
      <c r="BH56" s="23"/>
      <c r="BI56" s="23"/>
      <c r="BJ56" s="23"/>
      <c r="BK56" s="23"/>
      <c r="BL56" s="23"/>
      <c r="BM56" s="23"/>
      <c r="BN56" s="23"/>
      <c r="BO56" s="23"/>
      <c r="BP56" s="23"/>
      <c r="BQ56" s="23"/>
      <c r="BR56" s="23"/>
      <c r="BS56" s="23"/>
      <c r="BT56" s="23"/>
      <c r="BU56" s="23"/>
      <c r="BV56" s="23"/>
      <c r="BW56" s="23"/>
      <c r="BX56" s="23"/>
      <c r="BY56" s="23"/>
      <c r="BZ56" s="23"/>
      <c r="CA56" s="23"/>
      <c r="CB56" s="80" t="s">
        <v>70</v>
      </c>
      <c r="CC56" s="76"/>
      <c r="CD56" s="77"/>
      <c r="CE56" s="77"/>
      <c r="CF56" s="23"/>
      <c r="CG56" s="23"/>
      <c r="CH56" s="23"/>
      <c r="CI56" s="23"/>
      <c r="CJ56" s="23"/>
      <c r="CK56" s="23"/>
      <c r="CL56" s="23"/>
      <c r="CM56" s="23"/>
      <c r="CN56" s="23"/>
      <c r="CO56" s="23"/>
      <c r="CP56" s="23"/>
      <c r="CQ56" s="23"/>
      <c r="CR56" s="23"/>
      <c r="CS56" s="23"/>
      <c r="CT56" s="23"/>
      <c r="CU56" s="23"/>
      <c r="CV56" s="23"/>
      <c r="CW56" s="23"/>
      <c r="CX56" s="23"/>
      <c r="CY56" s="23"/>
      <c r="CZ56" s="23"/>
      <c r="DA56" s="80" t="s">
        <v>70</v>
      </c>
      <c r="DB56" s="76"/>
      <c r="DC56" s="77"/>
      <c r="DD56" s="77"/>
      <c r="DE56" s="23"/>
      <c r="DF56" s="23"/>
      <c r="DG56" s="23"/>
      <c r="DH56" s="23"/>
      <c r="DI56" s="23"/>
      <c r="DJ56" s="23"/>
      <c r="DK56" s="23"/>
      <c r="DL56" s="23"/>
      <c r="DM56" s="23"/>
      <c r="DN56" s="23"/>
      <c r="DO56" s="23"/>
      <c r="DP56" s="23"/>
      <c r="DQ56" s="23"/>
      <c r="DR56" s="23"/>
      <c r="DS56" s="23"/>
      <c r="DT56" s="23"/>
      <c r="DU56" s="23"/>
      <c r="DV56" s="23"/>
      <c r="DW56" s="23"/>
      <c r="DX56" s="23"/>
      <c r="DY56" s="23"/>
      <c r="DZ56" s="80" t="s">
        <v>70</v>
      </c>
      <c r="EA56" s="76"/>
      <c r="EB56" s="77"/>
      <c r="EC56" s="77"/>
      <c r="ED56" s="23"/>
      <c r="EE56" s="23"/>
      <c r="EF56" s="23"/>
      <c r="EG56" s="23"/>
      <c r="EH56" s="23"/>
      <c r="EI56" s="23"/>
      <c r="EJ56" s="23"/>
      <c r="EK56" s="23"/>
      <c r="EL56" s="23"/>
      <c r="EM56" s="23"/>
      <c r="EN56" s="23"/>
      <c r="EO56" s="23"/>
      <c r="EP56" s="23"/>
      <c r="EQ56" s="23"/>
      <c r="ER56" s="23"/>
      <c r="ES56" s="23"/>
      <c r="ET56" s="23"/>
      <c r="EU56" s="23"/>
      <c r="EV56" s="23"/>
      <c r="EW56" s="23"/>
      <c r="EX56" s="23"/>
      <c r="EY56" s="80" t="s">
        <v>70</v>
      </c>
      <c r="EZ56" s="76"/>
      <c r="FA56" s="77"/>
      <c r="FB56" s="77"/>
      <c r="FC56" s="23"/>
      <c r="FD56" s="23"/>
      <c r="FE56" s="23"/>
      <c r="FF56" s="23"/>
      <c r="FG56" s="23"/>
      <c r="FH56" s="23"/>
      <c r="FI56" s="23"/>
      <c r="FJ56" s="23"/>
      <c r="FK56" s="23"/>
      <c r="FL56" s="23"/>
      <c r="FM56" s="23"/>
      <c r="FN56" s="23"/>
      <c r="FO56" s="23"/>
      <c r="FP56" s="23"/>
      <c r="FQ56" s="23"/>
      <c r="FR56" s="23"/>
      <c r="FS56" s="23"/>
    </row>
    <row r="57" spans="1:175" ht="14.5" customHeight="1" x14ac:dyDescent="0.35">
      <c r="A57" s="23"/>
      <c r="B57" s="23"/>
      <c r="C57" s="23"/>
      <c r="D57" s="23"/>
      <c r="E57" s="94"/>
      <c r="F57" s="109"/>
      <c r="G57" s="121"/>
      <c r="H57" s="121"/>
      <c r="I57" s="23"/>
      <c r="J57" s="23"/>
      <c r="K57" s="23"/>
      <c r="L57" s="23"/>
      <c r="M57" s="23"/>
      <c r="N57" s="23"/>
      <c r="O57" s="23"/>
      <c r="P57" s="23"/>
      <c r="Q57" s="23"/>
      <c r="R57" s="23"/>
      <c r="S57" s="23"/>
      <c r="T57" s="23"/>
      <c r="U57" s="23"/>
      <c r="V57" s="23"/>
      <c r="W57" s="23"/>
      <c r="X57" s="23"/>
      <c r="Y57" s="23"/>
      <c r="Z57" s="23"/>
      <c r="AA57" s="23"/>
      <c r="AB57" s="23"/>
      <c r="AC57" s="23"/>
      <c r="AD57" s="39"/>
      <c r="AE57" s="39"/>
      <c r="AF57" s="39"/>
      <c r="AG57" s="39"/>
      <c r="AH57" s="23"/>
      <c r="AI57" s="23"/>
      <c r="AJ57" s="23"/>
      <c r="AK57" s="23"/>
      <c r="AL57" s="23"/>
      <c r="AM57" s="23"/>
      <c r="AN57" s="23"/>
      <c r="AO57" s="23"/>
      <c r="AP57" s="23"/>
      <c r="AQ57" s="23"/>
      <c r="AR57" s="23"/>
      <c r="AS57" s="23"/>
      <c r="AT57" s="23"/>
      <c r="AU57" s="23"/>
      <c r="AV57" s="23"/>
      <c r="AW57" s="23"/>
      <c r="AX57" s="23"/>
      <c r="AY57" s="23"/>
      <c r="AZ57" s="23"/>
      <c r="BA57" s="23"/>
      <c r="BB57" s="23"/>
      <c r="BC57" s="79"/>
      <c r="BD57" s="79"/>
      <c r="BE57" s="79"/>
      <c r="BF57" s="79"/>
      <c r="BG57" s="23"/>
      <c r="BH57" s="23"/>
      <c r="BI57" s="23"/>
      <c r="BJ57" s="23"/>
      <c r="BK57" s="23"/>
      <c r="BL57" s="23"/>
      <c r="BM57" s="23"/>
      <c r="BN57" s="23"/>
      <c r="BO57" s="23"/>
      <c r="BP57" s="23"/>
      <c r="BQ57" s="23"/>
      <c r="BR57" s="23"/>
      <c r="BS57" s="23"/>
      <c r="BT57" s="23"/>
      <c r="BU57" s="23"/>
      <c r="BV57" s="23"/>
      <c r="BW57" s="23"/>
      <c r="BX57" s="23"/>
      <c r="BY57" s="23"/>
      <c r="BZ57" s="23"/>
      <c r="CA57" s="23"/>
      <c r="CB57" s="80"/>
      <c r="CC57" s="78"/>
      <c r="CD57" s="79"/>
      <c r="CE57" s="79"/>
      <c r="CF57" s="23"/>
      <c r="CG57" s="23"/>
      <c r="CH57" s="23"/>
      <c r="CI57" s="23"/>
      <c r="CJ57" s="23"/>
      <c r="CK57" s="23"/>
      <c r="CL57" s="23"/>
      <c r="CM57" s="23"/>
      <c r="CN57" s="23"/>
      <c r="CO57" s="23"/>
      <c r="CP57" s="23"/>
      <c r="CQ57" s="23"/>
      <c r="CR57" s="23"/>
      <c r="CS57" s="23"/>
      <c r="CT57" s="23"/>
      <c r="CU57" s="23"/>
      <c r="CV57" s="23"/>
      <c r="CW57" s="23"/>
      <c r="CX57" s="23"/>
      <c r="CY57" s="23"/>
      <c r="CZ57" s="23"/>
      <c r="DA57" s="80"/>
      <c r="DB57" s="78"/>
      <c r="DC57" s="79"/>
      <c r="DD57" s="79"/>
      <c r="DE57" s="23"/>
      <c r="DF57" s="23"/>
      <c r="DG57" s="23"/>
      <c r="DH57" s="23"/>
      <c r="DI57" s="23"/>
      <c r="DJ57" s="23"/>
      <c r="DK57" s="23"/>
      <c r="DL57" s="23"/>
      <c r="DM57" s="23"/>
      <c r="DN57" s="23"/>
      <c r="DO57" s="23"/>
      <c r="DP57" s="23"/>
      <c r="DQ57" s="23"/>
      <c r="DR57" s="23"/>
      <c r="DS57" s="23"/>
      <c r="DT57" s="23"/>
      <c r="DU57" s="23"/>
      <c r="DV57" s="23"/>
      <c r="DW57" s="23"/>
      <c r="DX57" s="23"/>
      <c r="DY57" s="23"/>
      <c r="DZ57" s="80"/>
      <c r="EA57" s="78"/>
      <c r="EB57" s="79"/>
      <c r="EC57" s="79"/>
      <c r="ED57" s="23"/>
      <c r="EE57" s="23"/>
      <c r="EF57" s="23"/>
      <c r="EG57" s="23"/>
      <c r="EH57" s="23"/>
      <c r="EI57" s="23"/>
      <c r="EJ57" s="23"/>
      <c r="EK57" s="23"/>
      <c r="EL57" s="23"/>
      <c r="EM57" s="23"/>
      <c r="EN57" s="23"/>
      <c r="EO57" s="23"/>
      <c r="EP57" s="23"/>
      <c r="EQ57" s="23"/>
      <c r="ER57" s="23"/>
      <c r="ES57" s="23"/>
      <c r="ET57" s="23"/>
      <c r="EU57" s="23"/>
      <c r="EV57" s="23"/>
      <c r="EW57" s="23"/>
      <c r="EX57" s="23"/>
      <c r="EY57" s="80"/>
      <c r="EZ57" s="78"/>
      <c r="FA57" s="79"/>
      <c r="FB57" s="79"/>
      <c r="FC57" s="23"/>
      <c r="FD57" s="23"/>
      <c r="FE57" s="23"/>
      <c r="FF57" s="23"/>
      <c r="FG57" s="23"/>
      <c r="FH57" s="23"/>
      <c r="FI57" s="23"/>
      <c r="FJ57" s="23"/>
      <c r="FK57" s="23"/>
      <c r="FL57" s="23"/>
      <c r="FM57" s="23"/>
      <c r="FN57" s="23"/>
      <c r="FO57" s="23"/>
      <c r="FP57" s="23"/>
      <c r="FQ57" s="23"/>
      <c r="FR57" s="23"/>
      <c r="FS57" s="23"/>
    </row>
    <row r="58" spans="1:175" ht="14.5" customHeight="1" x14ac:dyDescent="0.35">
      <c r="A58" s="23"/>
      <c r="B58" s="23"/>
      <c r="C58" s="23"/>
      <c r="D58" s="23"/>
      <c r="E58" s="94"/>
      <c r="F58" s="109"/>
      <c r="G58" s="121"/>
      <c r="H58" s="121"/>
      <c r="I58" s="23"/>
      <c r="J58" s="23"/>
      <c r="K58" s="23"/>
      <c r="L58" s="23"/>
      <c r="M58" s="23"/>
      <c r="N58" s="23"/>
      <c r="O58" s="23"/>
      <c r="P58" s="23"/>
      <c r="Q58" s="23"/>
      <c r="R58" s="23"/>
      <c r="S58" s="23"/>
      <c r="T58" s="23"/>
      <c r="U58" s="23"/>
      <c r="V58" s="23"/>
      <c r="W58" s="23"/>
      <c r="X58" s="23"/>
      <c r="Y58" s="23"/>
      <c r="Z58" s="23"/>
      <c r="AA58" s="23"/>
      <c r="AB58" s="23"/>
      <c r="AC58" s="23"/>
      <c r="AD58" s="39"/>
      <c r="AE58" s="39"/>
      <c r="AF58" s="39"/>
      <c r="AG58" s="39"/>
      <c r="AH58" s="23"/>
      <c r="AI58" s="23"/>
      <c r="AJ58" s="23"/>
      <c r="AK58" s="23"/>
      <c r="AL58" s="23"/>
      <c r="AM58" s="23"/>
      <c r="AN58" s="23"/>
      <c r="AO58" s="23"/>
      <c r="AP58" s="23"/>
      <c r="AQ58" s="23"/>
      <c r="AR58" s="23"/>
      <c r="AS58" s="23"/>
      <c r="AT58" s="23"/>
      <c r="AU58" s="23"/>
      <c r="AV58" s="23"/>
      <c r="AW58" s="23"/>
      <c r="AX58" s="23"/>
      <c r="AY58" s="23"/>
      <c r="AZ58" s="23"/>
      <c r="BA58" s="23"/>
      <c r="BB58" s="23"/>
      <c r="BC58" s="79"/>
      <c r="BD58" s="79"/>
      <c r="BE58" s="79"/>
      <c r="BF58" s="79"/>
      <c r="BG58" s="23"/>
      <c r="BH58" s="23"/>
      <c r="BI58" s="23"/>
      <c r="BJ58" s="23"/>
      <c r="BK58" s="23"/>
      <c r="BL58" s="23"/>
      <c r="BM58" s="23"/>
      <c r="BN58" s="23"/>
      <c r="BO58" s="23"/>
      <c r="BP58" s="23"/>
      <c r="BQ58" s="23"/>
      <c r="BR58" s="23"/>
      <c r="BS58" s="23"/>
      <c r="BT58" s="23"/>
      <c r="BU58" s="23"/>
      <c r="BV58" s="23"/>
      <c r="BW58" s="23"/>
      <c r="BX58" s="23"/>
      <c r="BY58" s="23"/>
      <c r="BZ58" s="23"/>
      <c r="CA58" s="23"/>
      <c r="CB58" s="80"/>
      <c r="CC58" s="78"/>
      <c r="CD58" s="79"/>
      <c r="CE58" s="79"/>
      <c r="CF58" s="23"/>
      <c r="CG58" s="23"/>
      <c r="CH58" s="23"/>
      <c r="CI58" s="23"/>
      <c r="CJ58" s="23"/>
      <c r="CK58" s="23"/>
      <c r="CL58" s="23"/>
      <c r="CM58" s="23"/>
      <c r="CN58" s="23"/>
      <c r="CO58" s="23"/>
      <c r="CP58" s="23"/>
      <c r="CQ58" s="23"/>
      <c r="CR58" s="23"/>
      <c r="CS58" s="23"/>
      <c r="CT58" s="23"/>
      <c r="CU58" s="23"/>
      <c r="CV58" s="23"/>
      <c r="CW58" s="23"/>
      <c r="CX58" s="23"/>
      <c r="CY58" s="23"/>
      <c r="CZ58" s="23"/>
      <c r="DA58" s="80"/>
      <c r="DB58" s="78"/>
      <c r="DC58" s="79"/>
      <c r="DD58" s="79"/>
      <c r="DE58" s="23"/>
      <c r="DF58" s="23"/>
      <c r="DG58" s="23"/>
      <c r="DH58" s="23"/>
      <c r="DI58" s="23"/>
      <c r="DJ58" s="23"/>
      <c r="DK58" s="23"/>
      <c r="DL58" s="23"/>
      <c r="DM58" s="23"/>
      <c r="DN58" s="23"/>
      <c r="DO58" s="23"/>
      <c r="DP58" s="23"/>
      <c r="DQ58" s="23"/>
      <c r="DR58" s="23"/>
      <c r="DS58" s="23"/>
      <c r="DT58" s="23"/>
      <c r="DU58" s="23"/>
      <c r="DV58" s="23"/>
      <c r="DW58" s="23"/>
      <c r="DX58" s="23"/>
      <c r="DY58" s="23"/>
      <c r="DZ58" s="80"/>
      <c r="EA58" s="78"/>
      <c r="EB58" s="79"/>
      <c r="EC58" s="79"/>
      <c r="ED58" s="23"/>
      <c r="EE58" s="23"/>
      <c r="EF58" s="23"/>
      <c r="EG58" s="23"/>
      <c r="EH58" s="23"/>
      <c r="EI58" s="23"/>
      <c r="EJ58" s="23"/>
      <c r="EK58" s="23"/>
      <c r="EL58" s="23"/>
      <c r="EM58" s="23"/>
      <c r="EN58" s="23"/>
      <c r="EO58" s="23"/>
      <c r="EP58" s="23"/>
      <c r="EQ58" s="23"/>
      <c r="ER58" s="23"/>
      <c r="ES58" s="23"/>
      <c r="ET58" s="23"/>
      <c r="EU58" s="23"/>
      <c r="EV58" s="23"/>
      <c r="EW58" s="23"/>
      <c r="EX58" s="23"/>
      <c r="EY58" s="80"/>
      <c r="EZ58" s="78"/>
      <c r="FA58" s="79"/>
      <c r="FB58" s="79"/>
      <c r="FC58" s="23"/>
      <c r="FD58" s="23"/>
      <c r="FE58" s="23"/>
      <c r="FF58" s="23"/>
      <c r="FG58" s="23"/>
      <c r="FH58" s="23"/>
      <c r="FI58" s="23"/>
      <c r="FJ58" s="23"/>
      <c r="FK58" s="23"/>
      <c r="FL58" s="23"/>
      <c r="FM58" s="23"/>
      <c r="FN58" s="23"/>
      <c r="FO58" s="23"/>
      <c r="FP58" s="23"/>
      <c r="FQ58" s="23"/>
      <c r="FR58" s="23"/>
      <c r="FS58" s="23"/>
    </row>
    <row r="59" spans="1:175" ht="15" customHeight="1" thickBot="1" x14ac:dyDescent="0.4">
      <c r="A59" s="23"/>
      <c r="B59" s="23"/>
      <c r="C59" s="23"/>
      <c r="D59" s="23"/>
      <c r="E59" s="95"/>
      <c r="F59" s="109"/>
      <c r="G59" s="121"/>
      <c r="H59" s="121"/>
      <c r="I59" s="23"/>
      <c r="J59" s="23"/>
      <c r="K59" s="23"/>
      <c r="L59" s="23"/>
      <c r="M59" s="23"/>
      <c r="N59" s="23"/>
      <c r="O59" s="23"/>
      <c r="P59" s="23"/>
      <c r="Q59" s="23"/>
      <c r="R59" s="23"/>
      <c r="S59" s="23"/>
      <c r="T59" s="23"/>
      <c r="U59" s="23"/>
      <c r="V59" s="23"/>
      <c r="W59" s="23"/>
      <c r="X59" s="23"/>
      <c r="Y59" s="23"/>
      <c r="Z59" s="23"/>
      <c r="AA59" s="23"/>
      <c r="AB59" s="23"/>
      <c r="AC59" s="23"/>
      <c r="AD59" s="39"/>
      <c r="AE59" s="39"/>
      <c r="AF59" s="39"/>
      <c r="AG59" s="39"/>
      <c r="AH59" s="23"/>
      <c r="AI59" s="23"/>
      <c r="AJ59" s="23"/>
      <c r="AK59" s="23"/>
      <c r="AL59" s="23"/>
      <c r="AM59" s="23"/>
      <c r="AN59" s="23"/>
      <c r="AO59" s="23"/>
      <c r="AP59" s="23"/>
      <c r="AQ59" s="23"/>
      <c r="AR59" s="23"/>
      <c r="AS59" s="23"/>
      <c r="AT59" s="23"/>
      <c r="AU59" s="23"/>
      <c r="AV59" s="23"/>
      <c r="AW59" s="23"/>
      <c r="AX59" s="23"/>
      <c r="AY59" s="23"/>
      <c r="AZ59" s="23"/>
      <c r="BA59" s="23"/>
      <c r="BB59" s="23"/>
      <c r="BC59" s="79"/>
      <c r="BD59" s="79"/>
      <c r="BE59" s="79"/>
      <c r="BF59" s="79"/>
      <c r="BG59" s="23"/>
      <c r="BH59" s="23"/>
      <c r="BI59" s="23"/>
      <c r="BJ59" s="23"/>
      <c r="BK59" s="23"/>
      <c r="BL59" s="23"/>
      <c r="BM59" s="23"/>
      <c r="BN59" s="23"/>
      <c r="BO59" s="23"/>
      <c r="BP59" s="23"/>
      <c r="BQ59" s="23"/>
      <c r="BR59" s="23"/>
      <c r="BS59" s="23"/>
      <c r="BT59" s="23"/>
      <c r="BU59" s="23"/>
      <c r="BV59" s="23"/>
      <c r="BW59" s="23"/>
      <c r="BX59" s="23"/>
      <c r="BY59" s="23"/>
      <c r="BZ59" s="23"/>
      <c r="CA59" s="23"/>
      <c r="CB59" s="81"/>
      <c r="CC59" s="78"/>
      <c r="CD59" s="79"/>
      <c r="CE59" s="79"/>
      <c r="CF59" s="23"/>
      <c r="CG59" s="23"/>
      <c r="CH59" s="23"/>
      <c r="CI59" s="23"/>
      <c r="CJ59" s="23"/>
      <c r="CK59" s="23"/>
      <c r="CL59" s="23"/>
      <c r="CM59" s="23"/>
      <c r="CN59" s="23"/>
      <c r="CO59" s="23"/>
      <c r="CP59" s="23"/>
      <c r="CQ59" s="23"/>
      <c r="CR59" s="23"/>
      <c r="CS59" s="23"/>
      <c r="CT59" s="23"/>
      <c r="CU59" s="23"/>
      <c r="CV59" s="23"/>
      <c r="CW59" s="23"/>
      <c r="CX59" s="23"/>
      <c r="CY59" s="23"/>
      <c r="CZ59" s="23"/>
      <c r="DA59" s="81"/>
      <c r="DB59" s="78"/>
      <c r="DC59" s="79"/>
      <c r="DD59" s="79"/>
      <c r="DE59" s="23"/>
      <c r="DF59" s="23"/>
      <c r="DG59" s="23"/>
      <c r="DH59" s="23"/>
      <c r="DI59" s="23"/>
      <c r="DJ59" s="23"/>
      <c r="DK59" s="23"/>
      <c r="DL59" s="23"/>
      <c r="DM59" s="23"/>
      <c r="DN59" s="23"/>
      <c r="DO59" s="23"/>
      <c r="DP59" s="23"/>
      <c r="DQ59" s="23"/>
      <c r="DR59" s="23"/>
      <c r="DS59" s="23"/>
      <c r="DT59" s="23"/>
      <c r="DU59" s="23"/>
      <c r="DV59" s="23"/>
      <c r="DW59" s="23"/>
      <c r="DX59" s="23"/>
      <c r="DY59" s="23"/>
      <c r="DZ59" s="81"/>
      <c r="EA59" s="78"/>
      <c r="EB59" s="79"/>
      <c r="EC59" s="79"/>
      <c r="ED59" s="23"/>
      <c r="EE59" s="23"/>
      <c r="EF59" s="23"/>
      <c r="EG59" s="23"/>
      <c r="EH59" s="23"/>
      <c r="EI59" s="23"/>
      <c r="EJ59" s="23"/>
      <c r="EK59" s="23"/>
      <c r="EL59" s="23"/>
      <c r="EM59" s="23"/>
      <c r="EN59" s="23"/>
      <c r="EO59" s="23"/>
      <c r="EP59" s="23"/>
      <c r="EQ59" s="23"/>
      <c r="ER59" s="23"/>
      <c r="ES59" s="23"/>
      <c r="ET59" s="23"/>
      <c r="EU59" s="23"/>
      <c r="EV59" s="23"/>
      <c r="EW59" s="23"/>
      <c r="EX59" s="23"/>
      <c r="EY59" s="81"/>
      <c r="EZ59" s="78"/>
      <c r="FA59" s="79"/>
      <c r="FB59" s="79"/>
      <c r="FC59" s="23"/>
      <c r="FD59" s="23"/>
      <c r="FE59" s="23"/>
      <c r="FF59" s="23"/>
      <c r="FG59" s="23"/>
      <c r="FH59" s="23"/>
      <c r="FI59" s="23"/>
      <c r="FJ59" s="23"/>
      <c r="FK59" s="23"/>
      <c r="FL59" s="23"/>
      <c r="FM59" s="23"/>
      <c r="FN59" s="23"/>
      <c r="FO59" s="23"/>
      <c r="FP59" s="23"/>
      <c r="FQ59" s="23"/>
      <c r="FR59" s="23"/>
      <c r="FS59" s="23"/>
    </row>
    <row r="60" spans="1:175" ht="14.5" customHeight="1" x14ac:dyDescent="0.35">
      <c r="A60" s="23"/>
      <c r="B60" s="23"/>
      <c r="C60" s="23"/>
      <c r="D60" s="23"/>
      <c r="E60" s="94" t="s">
        <v>73</v>
      </c>
      <c r="F60" s="107">
        <f>F56-F52</f>
        <v>29608.270072724743</v>
      </c>
      <c r="G60" s="120"/>
      <c r="H60" s="120"/>
      <c r="I60" s="23"/>
      <c r="J60" s="23"/>
      <c r="K60" s="23"/>
      <c r="L60" s="23"/>
      <c r="M60" s="23"/>
      <c r="N60" s="23"/>
      <c r="O60" s="23"/>
      <c r="P60" s="23"/>
      <c r="Q60" s="23"/>
      <c r="R60" s="23"/>
      <c r="S60" s="23"/>
      <c r="T60" s="23"/>
      <c r="U60" s="23"/>
      <c r="V60" s="23"/>
      <c r="W60" s="23"/>
      <c r="X60" s="23"/>
      <c r="Y60" s="23"/>
      <c r="Z60" s="23"/>
      <c r="AA60" s="23"/>
      <c r="AB60" s="23"/>
      <c r="AC60" s="23"/>
      <c r="AD60" s="39"/>
      <c r="AE60" s="39"/>
      <c r="AF60" s="39"/>
      <c r="AG60" s="39"/>
      <c r="AH60" s="23"/>
      <c r="AI60" s="23"/>
      <c r="AJ60" s="23"/>
      <c r="AK60" s="23"/>
      <c r="AL60" s="23"/>
      <c r="AM60" s="23"/>
      <c r="AN60" s="23"/>
      <c r="AO60" s="23"/>
      <c r="AP60" s="23"/>
      <c r="AQ60" s="23"/>
      <c r="AR60" s="23"/>
      <c r="AS60" s="23"/>
      <c r="AT60" s="23"/>
      <c r="AU60" s="23"/>
      <c r="AV60" s="23"/>
      <c r="AW60" s="23"/>
      <c r="AX60" s="23"/>
      <c r="AY60" s="23"/>
      <c r="AZ60" s="23"/>
      <c r="BA60" s="23"/>
      <c r="BB60" s="23"/>
      <c r="BC60" s="79"/>
      <c r="BD60" s="79"/>
      <c r="BE60" s="79"/>
      <c r="BF60" s="79"/>
      <c r="BG60" s="23"/>
      <c r="BH60" s="23"/>
      <c r="BI60" s="23"/>
      <c r="BJ60" s="23"/>
      <c r="BK60" s="23"/>
      <c r="BL60" s="23"/>
      <c r="BM60" s="23"/>
      <c r="BN60" s="23"/>
      <c r="BO60" s="23"/>
      <c r="BP60" s="23"/>
      <c r="BQ60" s="23"/>
      <c r="BR60" s="23"/>
      <c r="BS60" s="23"/>
      <c r="BT60" s="23"/>
      <c r="BU60" s="23"/>
      <c r="BV60" s="23"/>
      <c r="BW60" s="23"/>
      <c r="BX60" s="23"/>
      <c r="BY60" s="23"/>
      <c r="BZ60" s="23"/>
      <c r="CA60" s="23"/>
      <c r="CB60" s="80" t="s">
        <v>73</v>
      </c>
      <c r="CC60" s="76"/>
      <c r="CD60" s="77"/>
      <c r="CE60" s="77"/>
      <c r="CF60" s="23"/>
      <c r="CG60" s="23"/>
      <c r="CH60" s="23"/>
      <c r="CI60" s="23"/>
      <c r="CJ60" s="23"/>
      <c r="CK60" s="23"/>
      <c r="CL60" s="23"/>
      <c r="CM60" s="23"/>
      <c r="CN60" s="23"/>
      <c r="CO60" s="23"/>
      <c r="CP60" s="23"/>
      <c r="CQ60" s="23"/>
      <c r="CR60" s="23"/>
      <c r="CS60" s="23"/>
      <c r="CT60" s="23"/>
      <c r="CU60" s="23"/>
      <c r="CV60" s="23"/>
      <c r="CW60" s="23"/>
      <c r="CX60" s="23"/>
      <c r="CY60" s="23"/>
      <c r="CZ60" s="23"/>
      <c r="DA60" s="80" t="s">
        <v>73</v>
      </c>
      <c r="DB60" s="76"/>
      <c r="DC60" s="77"/>
      <c r="DD60" s="77"/>
      <c r="DE60" s="23"/>
      <c r="DF60" s="23"/>
      <c r="DG60" s="23"/>
      <c r="DH60" s="23"/>
      <c r="DI60" s="23"/>
      <c r="DJ60" s="23"/>
      <c r="DK60" s="23"/>
      <c r="DL60" s="23"/>
      <c r="DM60" s="23"/>
      <c r="DN60" s="23"/>
      <c r="DO60" s="23"/>
      <c r="DP60" s="23"/>
      <c r="DQ60" s="23"/>
      <c r="DR60" s="23"/>
      <c r="DS60" s="23"/>
      <c r="DT60" s="23"/>
      <c r="DU60" s="23"/>
      <c r="DV60" s="23"/>
      <c r="DW60" s="23"/>
      <c r="DX60" s="23"/>
      <c r="DY60" s="23"/>
      <c r="DZ60" s="80" t="s">
        <v>73</v>
      </c>
      <c r="EA60" s="76"/>
      <c r="EB60" s="77"/>
      <c r="EC60" s="77"/>
      <c r="ED60" s="23"/>
      <c r="EE60" s="23"/>
      <c r="EF60" s="23"/>
      <c r="EG60" s="23"/>
      <c r="EH60" s="23"/>
      <c r="EI60" s="23"/>
      <c r="EJ60" s="23"/>
      <c r="EK60" s="23"/>
      <c r="EL60" s="23"/>
      <c r="EM60" s="23"/>
      <c r="EN60" s="23"/>
      <c r="EO60" s="23"/>
      <c r="EP60" s="23"/>
      <c r="EQ60" s="23"/>
      <c r="ER60" s="23"/>
      <c r="ES60" s="23"/>
      <c r="ET60" s="23"/>
      <c r="EU60" s="23"/>
      <c r="EV60" s="23"/>
      <c r="EW60" s="23"/>
      <c r="EX60" s="23"/>
      <c r="EY60" s="80" t="s">
        <v>73</v>
      </c>
      <c r="EZ60" s="76"/>
      <c r="FA60" s="77"/>
      <c r="FB60" s="77"/>
      <c r="FC60" s="23"/>
      <c r="FD60" s="23"/>
      <c r="FE60" s="23"/>
      <c r="FF60" s="23"/>
      <c r="FG60" s="23"/>
      <c r="FH60" s="23"/>
      <c r="FI60" s="23"/>
      <c r="FJ60" s="23"/>
      <c r="FK60" s="23"/>
      <c r="FL60" s="23"/>
      <c r="FM60" s="23"/>
      <c r="FN60" s="23"/>
      <c r="FO60" s="23"/>
      <c r="FP60" s="23"/>
      <c r="FQ60" s="23"/>
      <c r="FR60" s="23"/>
      <c r="FS60" s="23"/>
    </row>
    <row r="61" spans="1:175" ht="14.5" customHeight="1" x14ac:dyDescent="0.35">
      <c r="A61" s="23"/>
      <c r="B61" s="23"/>
      <c r="C61" s="23"/>
      <c r="D61" s="23"/>
      <c r="E61" s="94"/>
      <c r="F61" s="109"/>
      <c r="G61" s="121"/>
      <c r="H61" s="121"/>
      <c r="I61" s="23"/>
      <c r="J61" s="23"/>
      <c r="K61" s="23"/>
      <c r="L61" s="23"/>
      <c r="M61" s="23"/>
      <c r="N61" s="23"/>
      <c r="O61" s="23"/>
      <c r="P61" s="23"/>
      <c r="Q61" s="23"/>
      <c r="R61" s="23"/>
      <c r="S61" s="23"/>
      <c r="T61" s="23"/>
      <c r="U61" s="23"/>
      <c r="V61" s="23"/>
      <c r="W61" s="23"/>
      <c r="X61" s="23"/>
      <c r="Y61" s="23"/>
      <c r="Z61" s="23"/>
      <c r="AA61" s="23"/>
      <c r="AB61" s="23"/>
      <c r="AC61" s="23"/>
      <c r="AD61" s="39"/>
      <c r="AE61" s="39"/>
      <c r="AF61" s="39"/>
      <c r="AG61" s="39"/>
      <c r="AH61" s="23"/>
      <c r="AI61" s="23"/>
      <c r="AJ61" s="23"/>
      <c r="AK61" s="23"/>
      <c r="AL61" s="23"/>
      <c r="AM61" s="23"/>
      <c r="AN61" s="23"/>
      <c r="AO61" s="23"/>
      <c r="AP61" s="23"/>
      <c r="AQ61" s="23"/>
      <c r="AR61" s="23"/>
      <c r="AS61" s="23"/>
      <c r="AT61" s="23"/>
      <c r="AU61" s="23"/>
      <c r="AV61" s="23"/>
      <c r="AW61" s="23"/>
      <c r="AX61" s="23"/>
      <c r="AY61" s="23"/>
      <c r="AZ61" s="23"/>
      <c r="BA61" s="23"/>
      <c r="BB61" s="23"/>
      <c r="BC61" s="79"/>
      <c r="BD61" s="79"/>
      <c r="BE61" s="79"/>
      <c r="BF61" s="79"/>
      <c r="BG61" s="23"/>
      <c r="BH61" s="23"/>
      <c r="BI61" s="23"/>
      <c r="BJ61" s="23"/>
      <c r="BK61" s="23"/>
      <c r="BL61" s="23"/>
      <c r="BM61" s="23"/>
      <c r="BN61" s="23"/>
      <c r="BO61" s="23"/>
      <c r="BP61" s="23"/>
      <c r="BQ61" s="23"/>
      <c r="BR61" s="23"/>
      <c r="BS61" s="23"/>
      <c r="BT61" s="23"/>
      <c r="BU61" s="23"/>
      <c r="BV61" s="23"/>
      <c r="BW61" s="23"/>
      <c r="BX61" s="23"/>
      <c r="BY61" s="23"/>
      <c r="BZ61" s="23"/>
      <c r="CA61" s="23"/>
      <c r="CB61" s="80"/>
      <c r="CC61" s="78"/>
      <c r="CD61" s="79"/>
      <c r="CE61" s="79"/>
      <c r="CF61" s="23"/>
      <c r="CG61" s="23"/>
      <c r="CH61" s="23"/>
      <c r="CI61" s="23"/>
      <c r="CJ61" s="23"/>
      <c r="CK61" s="23"/>
      <c r="CL61" s="23"/>
      <c r="CM61" s="23"/>
      <c r="CN61" s="23"/>
      <c r="CO61" s="23"/>
      <c r="CP61" s="23"/>
      <c r="CQ61" s="23"/>
      <c r="CR61" s="23"/>
      <c r="CS61" s="23"/>
      <c r="CT61" s="23"/>
      <c r="CU61" s="23"/>
      <c r="CV61" s="23"/>
      <c r="CW61" s="23"/>
      <c r="CX61" s="23"/>
      <c r="CY61" s="23"/>
      <c r="CZ61" s="23"/>
      <c r="DA61" s="80"/>
      <c r="DB61" s="78"/>
      <c r="DC61" s="79"/>
      <c r="DD61" s="79"/>
      <c r="DE61" s="23"/>
      <c r="DF61" s="23"/>
      <c r="DG61" s="23"/>
      <c r="DH61" s="23"/>
      <c r="DI61" s="23"/>
      <c r="DJ61" s="23"/>
      <c r="DK61" s="23"/>
      <c r="DL61" s="23"/>
      <c r="DM61" s="23"/>
      <c r="DN61" s="23"/>
      <c r="DO61" s="23"/>
      <c r="DP61" s="23"/>
      <c r="DQ61" s="23"/>
      <c r="DR61" s="23"/>
      <c r="DS61" s="23"/>
      <c r="DT61" s="23"/>
      <c r="DU61" s="23"/>
      <c r="DV61" s="23"/>
      <c r="DW61" s="23"/>
      <c r="DX61" s="23"/>
      <c r="DY61" s="23"/>
      <c r="DZ61" s="80"/>
      <c r="EA61" s="78"/>
      <c r="EB61" s="79"/>
      <c r="EC61" s="79"/>
      <c r="ED61" s="23"/>
      <c r="EE61" s="23"/>
      <c r="EF61" s="23"/>
      <c r="EG61" s="23"/>
      <c r="EH61" s="23"/>
      <c r="EI61" s="23"/>
      <c r="EJ61" s="23"/>
      <c r="EK61" s="23"/>
      <c r="EL61" s="23"/>
      <c r="EM61" s="23"/>
      <c r="EN61" s="23"/>
      <c r="EO61" s="23"/>
      <c r="EP61" s="23"/>
      <c r="EQ61" s="23"/>
      <c r="ER61" s="23"/>
      <c r="ES61" s="23"/>
      <c r="ET61" s="23"/>
      <c r="EU61" s="23"/>
      <c r="EV61" s="23"/>
      <c r="EW61" s="23"/>
      <c r="EX61" s="23"/>
      <c r="EY61" s="80"/>
      <c r="EZ61" s="78"/>
      <c r="FA61" s="79"/>
      <c r="FB61" s="79"/>
      <c r="FC61" s="23"/>
      <c r="FD61" s="23"/>
      <c r="FE61" s="23"/>
      <c r="FF61" s="23"/>
      <c r="FG61" s="23"/>
      <c r="FH61" s="23"/>
      <c r="FI61" s="23"/>
      <c r="FJ61" s="23"/>
      <c r="FK61" s="23"/>
      <c r="FL61" s="23"/>
      <c r="FM61" s="23"/>
      <c r="FN61" s="23"/>
      <c r="FO61" s="23"/>
      <c r="FP61" s="23"/>
      <c r="FQ61" s="23"/>
      <c r="FR61" s="23"/>
      <c r="FS61" s="23"/>
    </row>
    <row r="62" spans="1:175" ht="14.5" customHeight="1" x14ac:dyDescent="0.35">
      <c r="A62" s="23"/>
      <c r="B62" s="23"/>
      <c r="C62" s="23"/>
      <c r="D62" s="23"/>
      <c r="E62" s="94"/>
      <c r="F62" s="109"/>
      <c r="G62" s="121"/>
      <c r="H62" s="121"/>
      <c r="I62" s="23"/>
      <c r="J62" s="23"/>
      <c r="K62" s="23"/>
      <c r="L62" s="23"/>
      <c r="M62" s="23"/>
      <c r="N62" s="23"/>
      <c r="O62" s="23"/>
      <c r="P62" s="23"/>
      <c r="Q62" s="23"/>
      <c r="R62" s="23"/>
      <c r="S62" s="23"/>
      <c r="T62" s="23"/>
      <c r="U62" s="23"/>
      <c r="V62" s="23"/>
      <c r="W62" s="23"/>
      <c r="X62" s="23"/>
      <c r="Y62" s="23"/>
      <c r="Z62" s="23"/>
      <c r="AA62" s="23"/>
      <c r="AB62" s="23"/>
      <c r="AC62" s="23"/>
      <c r="AD62" s="39"/>
      <c r="AE62" s="39"/>
      <c r="AF62" s="39"/>
      <c r="AG62" s="39"/>
      <c r="AH62" s="23"/>
      <c r="AI62" s="23"/>
      <c r="AJ62" s="23"/>
      <c r="AK62" s="23"/>
      <c r="AL62" s="23"/>
      <c r="AM62" s="23"/>
      <c r="AN62" s="23"/>
      <c r="AO62" s="23"/>
      <c r="AP62" s="23"/>
      <c r="AQ62" s="23"/>
      <c r="AR62" s="23"/>
      <c r="AS62" s="23"/>
      <c r="AT62" s="23"/>
      <c r="AU62" s="23"/>
      <c r="AV62" s="23"/>
      <c r="AW62" s="23"/>
      <c r="AX62" s="23"/>
      <c r="AY62" s="23"/>
      <c r="AZ62" s="23"/>
      <c r="BA62" s="23"/>
      <c r="BB62" s="23"/>
      <c r="BC62" s="79"/>
      <c r="BD62" s="79"/>
      <c r="BE62" s="79"/>
      <c r="BF62" s="79"/>
      <c r="BG62" s="23"/>
      <c r="BH62" s="23"/>
      <c r="BI62" s="23"/>
      <c r="BJ62" s="23"/>
      <c r="BK62" s="23"/>
      <c r="BL62" s="23"/>
      <c r="BM62" s="23"/>
      <c r="BN62" s="23"/>
      <c r="BO62" s="23"/>
      <c r="BP62" s="23"/>
      <c r="BQ62" s="23"/>
      <c r="BR62" s="23"/>
      <c r="BS62" s="23"/>
      <c r="BT62" s="23"/>
      <c r="BU62" s="23"/>
      <c r="BV62" s="23"/>
      <c r="BW62" s="23"/>
      <c r="BX62" s="23"/>
      <c r="BY62" s="23"/>
      <c r="BZ62" s="23"/>
      <c r="CA62" s="23"/>
      <c r="CB62" s="80"/>
      <c r="CC62" s="78"/>
      <c r="CD62" s="79"/>
      <c r="CE62" s="79"/>
      <c r="CF62" s="23"/>
      <c r="CG62" s="23"/>
      <c r="CH62" s="23"/>
      <c r="CI62" s="23"/>
      <c r="CJ62" s="23"/>
      <c r="CK62" s="23"/>
      <c r="CL62" s="23"/>
      <c r="CM62" s="23"/>
      <c r="CN62" s="23"/>
      <c r="CO62" s="23"/>
      <c r="CP62" s="23"/>
      <c r="CQ62" s="23"/>
      <c r="CR62" s="23"/>
      <c r="CS62" s="23"/>
      <c r="CT62" s="23"/>
      <c r="CU62" s="23"/>
      <c r="CV62" s="23"/>
      <c r="CW62" s="23"/>
      <c r="CX62" s="23"/>
      <c r="CY62" s="23"/>
      <c r="CZ62" s="23"/>
      <c r="DA62" s="80"/>
      <c r="DB62" s="78"/>
      <c r="DC62" s="79"/>
      <c r="DD62" s="79"/>
      <c r="DE62" s="23"/>
      <c r="DF62" s="23"/>
      <c r="DG62" s="23"/>
      <c r="DH62" s="23"/>
      <c r="DI62" s="23"/>
      <c r="DJ62" s="23"/>
      <c r="DK62" s="23"/>
      <c r="DL62" s="23"/>
      <c r="DM62" s="23"/>
      <c r="DN62" s="23"/>
      <c r="DO62" s="23"/>
      <c r="DP62" s="23"/>
      <c r="DQ62" s="23"/>
      <c r="DR62" s="23"/>
      <c r="DS62" s="23"/>
      <c r="DT62" s="23"/>
      <c r="DU62" s="23"/>
      <c r="DV62" s="23"/>
      <c r="DW62" s="23"/>
      <c r="DX62" s="23"/>
      <c r="DY62" s="23"/>
      <c r="DZ62" s="80"/>
      <c r="EA62" s="78"/>
      <c r="EB62" s="79"/>
      <c r="EC62" s="79"/>
      <c r="ED62" s="23"/>
      <c r="EE62" s="23"/>
      <c r="EF62" s="23"/>
      <c r="EG62" s="23"/>
      <c r="EH62" s="23"/>
      <c r="EI62" s="23"/>
      <c r="EJ62" s="23"/>
      <c r="EK62" s="23"/>
      <c r="EL62" s="23"/>
      <c r="EM62" s="23"/>
      <c r="EN62" s="23"/>
      <c r="EO62" s="23"/>
      <c r="EP62" s="23"/>
      <c r="EQ62" s="23"/>
      <c r="ER62" s="23"/>
      <c r="ES62" s="23"/>
      <c r="ET62" s="23"/>
      <c r="EU62" s="23"/>
      <c r="EV62" s="23"/>
      <c r="EW62" s="23"/>
      <c r="EX62" s="23"/>
      <c r="EY62" s="80"/>
      <c r="EZ62" s="78"/>
      <c r="FA62" s="79"/>
      <c r="FB62" s="79"/>
      <c r="FC62" s="23"/>
      <c r="FD62" s="23"/>
      <c r="FE62" s="23"/>
      <c r="FF62" s="23"/>
      <c r="FG62" s="23"/>
      <c r="FH62" s="23"/>
      <c r="FI62" s="23"/>
      <c r="FJ62" s="23"/>
      <c r="FK62" s="23"/>
      <c r="FL62" s="23"/>
      <c r="FM62" s="23"/>
      <c r="FN62" s="23"/>
      <c r="FO62" s="23"/>
      <c r="FP62" s="23"/>
      <c r="FQ62" s="23"/>
      <c r="FR62" s="23"/>
      <c r="FS62" s="23"/>
    </row>
    <row r="63" spans="1:175" ht="15" customHeight="1" thickBot="1" x14ac:dyDescent="0.4">
      <c r="A63" s="23"/>
      <c r="B63" s="23"/>
      <c r="C63" s="23"/>
      <c r="D63" s="23"/>
      <c r="E63" s="95"/>
      <c r="F63" s="109"/>
      <c r="G63" s="121"/>
      <c r="H63" s="121"/>
      <c r="I63" s="23"/>
      <c r="J63" s="23"/>
      <c r="K63" s="23"/>
      <c r="L63" s="23"/>
      <c r="M63" s="23"/>
      <c r="N63" s="23"/>
      <c r="O63" s="23"/>
      <c r="P63" s="23"/>
      <c r="Q63" s="23"/>
      <c r="R63" s="23"/>
      <c r="S63" s="23"/>
      <c r="T63" s="23"/>
      <c r="U63" s="23"/>
      <c r="V63" s="23"/>
      <c r="W63" s="23"/>
      <c r="X63" s="23"/>
      <c r="Y63" s="23"/>
      <c r="Z63" s="23"/>
      <c r="AA63" s="23"/>
      <c r="AB63" s="23"/>
      <c r="AC63" s="23"/>
      <c r="AD63" s="39"/>
      <c r="AE63" s="39"/>
      <c r="AF63" s="39"/>
      <c r="AG63" s="39"/>
      <c r="AH63" s="23"/>
      <c r="AI63" s="23"/>
      <c r="AJ63" s="23"/>
      <c r="AK63" s="23"/>
      <c r="AL63" s="23"/>
      <c r="AM63" s="23"/>
      <c r="AN63" s="23"/>
      <c r="AO63" s="23"/>
      <c r="AP63" s="23"/>
      <c r="AQ63" s="23"/>
      <c r="AR63" s="23"/>
      <c r="AS63" s="23"/>
      <c r="AT63" s="23"/>
      <c r="AU63" s="23"/>
      <c r="AV63" s="23"/>
      <c r="AW63" s="23"/>
      <c r="AX63" s="23"/>
      <c r="AY63" s="23"/>
      <c r="AZ63" s="23"/>
      <c r="BA63" s="23"/>
      <c r="BB63" s="23"/>
      <c r="BC63" s="79"/>
      <c r="BD63" s="79"/>
      <c r="BE63" s="79"/>
      <c r="BF63" s="79"/>
      <c r="BG63" s="23"/>
      <c r="BH63" s="23"/>
      <c r="BI63" s="23"/>
      <c r="BJ63" s="23"/>
      <c r="BK63" s="23"/>
      <c r="BL63" s="23"/>
      <c r="BM63" s="23"/>
      <c r="BN63" s="23"/>
      <c r="BO63" s="23"/>
      <c r="BP63" s="23"/>
      <c r="BQ63" s="23"/>
      <c r="BR63" s="23"/>
      <c r="BS63" s="23"/>
      <c r="BT63" s="23"/>
      <c r="BU63" s="23"/>
      <c r="BV63" s="23"/>
      <c r="BW63" s="23"/>
      <c r="BX63" s="23"/>
      <c r="BY63" s="23"/>
      <c r="BZ63" s="23"/>
      <c r="CA63" s="23"/>
      <c r="CB63" s="81"/>
      <c r="CC63" s="78"/>
      <c r="CD63" s="79"/>
      <c r="CE63" s="79"/>
      <c r="CF63" s="23"/>
      <c r="CG63" s="23"/>
      <c r="CH63" s="23"/>
      <c r="CI63" s="23"/>
      <c r="CJ63" s="23"/>
      <c r="CK63" s="23"/>
      <c r="CL63" s="23"/>
      <c r="CM63" s="23"/>
      <c r="CN63" s="23"/>
      <c r="CO63" s="23"/>
      <c r="CP63" s="23"/>
      <c r="CQ63" s="23"/>
      <c r="CR63" s="23"/>
      <c r="CS63" s="23"/>
      <c r="CT63" s="23"/>
      <c r="CU63" s="23"/>
      <c r="CV63" s="23"/>
      <c r="CW63" s="23"/>
      <c r="CX63" s="23"/>
      <c r="CY63" s="23"/>
      <c r="CZ63" s="23"/>
      <c r="DA63" s="81"/>
      <c r="DB63" s="78"/>
      <c r="DC63" s="79"/>
      <c r="DD63" s="79"/>
      <c r="DE63" s="23"/>
      <c r="DF63" s="23"/>
      <c r="DG63" s="23"/>
      <c r="DH63" s="23"/>
      <c r="DI63" s="23"/>
      <c r="DJ63" s="23"/>
      <c r="DK63" s="23"/>
      <c r="DL63" s="23"/>
      <c r="DM63" s="23"/>
      <c r="DN63" s="23"/>
      <c r="DO63" s="23"/>
      <c r="DP63" s="23"/>
      <c r="DQ63" s="23"/>
      <c r="DR63" s="23"/>
      <c r="DS63" s="23"/>
      <c r="DT63" s="23"/>
      <c r="DU63" s="23"/>
      <c r="DV63" s="23"/>
      <c r="DW63" s="23"/>
      <c r="DX63" s="23"/>
      <c r="DY63" s="23"/>
      <c r="DZ63" s="81"/>
      <c r="EA63" s="78"/>
      <c r="EB63" s="79"/>
      <c r="EC63" s="79"/>
      <c r="ED63" s="23"/>
      <c r="EE63" s="23"/>
      <c r="EF63" s="23"/>
      <c r="EG63" s="23"/>
      <c r="EH63" s="23"/>
      <c r="EI63" s="23"/>
      <c r="EJ63" s="23"/>
      <c r="EK63" s="23"/>
      <c r="EL63" s="23"/>
      <c r="EM63" s="23"/>
      <c r="EN63" s="23"/>
      <c r="EO63" s="23"/>
      <c r="EP63" s="23"/>
      <c r="EQ63" s="23"/>
      <c r="ER63" s="23"/>
      <c r="ES63" s="23"/>
      <c r="ET63" s="23"/>
      <c r="EU63" s="23"/>
      <c r="EV63" s="23"/>
      <c r="EW63" s="23"/>
      <c r="EX63" s="23"/>
      <c r="EY63" s="81"/>
      <c r="EZ63" s="78"/>
      <c r="FA63" s="79"/>
      <c r="FB63" s="79"/>
      <c r="FC63" s="23"/>
      <c r="FD63" s="23"/>
      <c r="FE63" s="23"/>
      <c r="FF63" s="23"/>
      <c r="FG63" s="23"/>
      <c r="FH63" s="23"/>
      <c r="FI63" s="23"/>
      <c r="FJ63" s="23"/>
      <c r="FK63" s="23"/>
      <c r="FL63" s="23"/>
      <c r="FM63" s="23"/>
      <c r="FN63" s="23"/>
      <c r="FO63" s="23"/>
      <c r="FP63" s="23"/>
      <c r="FQ63" s="23"/>
      <c r="FR63" s="23"/>
      <c r="FS63" s="23"/>
    </row>
    <row r="64" spans="1:175" ht="14.5" customHeight="1" x14ac:dyDescent="0.35">
      <c r="A64" s="23"/>
      <c r="B64" s="23"/>
      <c r="C64" s="23"/>
      <c r="D64" s="23"/>
      <c r="E64" s="94" t="s">
        <v>74</v>
      </c>
      <c r="F64" s="107">
        <f>(F60)/7700</f>
        <v>3.8452298795746418</v>
      </c>
      <c r="G64" s="120"/>
      <c r="H64" s="120"/>
      <c r="I64" s="23"/>
      <c r="J64" s="23"/>
      <c r="K64" s="23"/>
      <c r="L64" s="23"/>
      <c r="M64" s="23"/>
      <c r="N64" s="23"/>
      <c r="O64" s="23"/>
      <c r="P64" s="23"/>
      <c r="Q64" s="23"/>
      <c r="R64" s="23"/>
      <c r="S64" s="23"/>
      <c r="T64" s="23"/>
      <c r="U64" s="23"/>
      <c r="V64" s="23"/>
      <c r="W64" s="23"/>
      <c r="X64" s="23"/>
      <c r="Y64" s="23"/>
      <c r="Z64" s="23"/>
      <c r="AA64" s="23"/>
      <c r="AB64" s="23"/>
      <c r="AC64" s="23"/>
      <c r="AD64" s="23"/>
      <c r="AE64" s="39"/>
      <c r="AF64" s="39"/>
      <c r="AG64" s="39"/>
      <c r="AH64" s="23"/>
      <c r="AI64" s="23"/>
      <c r="AJ64" s="23"/>
      <c r="AK64" s="23"/>
      <c r="AL64" s="23"/>
      <c r="AM64" s="23"/>
      <c r="AN64" s="23"/>
      <c r="AO64" s="23"/>
      <c r="AP64" s="23"/>
      <c r="AQ64" s="23"/>
      <c r="AR64" s="23"/>
      <c r="AS64" s="23"/>
      <c r="AT64" s="23"/>
      <c r="AU64" s="23"/>
      <c r="AV64" s="23"/>
      <c r="AW64" s="23"/>
      <c r="AX64" s="23"/>
      <c r="AY64" s="23"/>
      <c r="AZ64" s="23"/>
      <c r="BA64" s="23"/>
      <c r="BB64" s="23"/>
      <c r="BC64" s="79"/>
      <c r="BD64" s="79"/>
      <c r="BE64" s="79"/>
      <c r="BF64" s="79"/>
      <c r="BG64" s="23"/>
      <c r="BH64" s="23"/>
      <c r="BI64" s="23"/>
      <c r="BJ64" s="23"/>
      <c r="BK64" s="23"/>
      <c r="BL64" s="23"/>
      <c r="BM64" s="23"/>
      <c r="BN64" s="23"/>
      <c r="BO64" s="23"/>
      <c r="BP64" s="23"/>
      <c r="BQ64" s="23"/>
      <c r="BR64" s="23"/>
      <c r="BS64" s="23"/>
      <c r="BT64" s="23"/>
      <c r="BU64" s="23"/>
      <c r="BV64" s="23"/>
      <c r="BW64" s="23"/>
      <c r="BX64" s="23"/>
      <c r="BY64" s="23"/>
      <c r="BZ64" s="23"/>
      <c r="CA64" s="23"/>
      <c r="CB64" s="80" t="s">
        <v>74</v>
      </c>
      <c r="CC64" s="76"/>
      <c r="CD64" s="77"/>
      <c r="CE64" s="77"/>
      <c r="CF64" s="23"/>
      <c r="CG64" s="23"/>
      <c r="CH64" s="23"/>
      <c r="CI64" s="23"/>
      <c r="CJ64" s="23"/>
      <c r="CK64" s="23"/>
      <c r="CL64" s="23"/>
      <c r="CM64" s="23"/>
      <c r="CN64" s="23"/>
      <c r="CO64" s="23"/>
      <c r="CP64" s="23"/>
      <c r="CQ64" s="23"/>
      <c r="CR64" s="23"/>
      <c r="CS64" s="23"/>
      <c r="CT64" s="23"/>
      <c r="CU64" s="23"/>
      <c r="CV64" s="23"/>
      <c r="CW64" s="23"/>
      <c r="CX64" s="23"/>
      <c r="CY64" s="23"/>
      <c r="CZ64" s="23"/>
      <c r="DA64" s="80" t="s">
        <v>74</v>
      </c>
      <c r="DB64" s="76"/>
      <c r="DC64" s="77"/>
      <c r="DD64" s="77"/>
      <c r="DE64" s="23"/>
      <c r="DF64" s="23"/>
      <c r="DG64" s="23"/>
      <c r="DH64" s="23"/>
      <c r="DI64" s="23"/>
      <c r="DJ64" s="23"/>
      <c r="DK64" s="23"/>
      <c r="DL64" s="23"/>
      <c r="DM64" s="23"/>
      <c r="DN64" s="23"/>
      <c r="DO64" s="23"/>
      <c r="DP64" s="23"/>
      <c r="DQ64" s="23"/>
      <c r="DR64" s="23"/>
      <c r="DS64" s="23"/>
      <c r="DT64" s="23"/>
      <c r="DU64" s="23"/>
      <c r="DV64" s="23"/>
      <c r="DW64" s="23"/>
      <c r="DX64" s="23"/>
      <c r="DY64" s="23"/>
      <c r="DZ64" s="80" t="s">
        <v>74</v>
      </c>
      <c r="EA64" s="76"/>
      <c r="EB64" s="77"/>
      <c r="EC64" s="77"/>
      <c r="ED64" s="23"/>
      <c r="EE64" s="23"/>
      <c r="EF64" s="23"/>
      <c r="EG64" s="23"/>
      <c r="EH64" s="23"/>
      <c r="EI64" s="23"/>
      <c r="EJ64" s="23"/>
      <c r="EK64" s="23"/>
      <c r="EL64" s="23"/>
      <c r="EM64" s="23"/>
      <c r="EN64" s="23"/>
      <c r="EO64" s="23"/>
      <c r="EP64" s="23"/>
      <c r="EQ64" s="23"/>
      <c r="ER64" s="23"/>
      <c r="ES64" s="23"/>
      <c r="ET64" s="23"/>
      <c r="EU64" s="23"/>
      <c r="EV64" s="23"/>
      <c r="EW64" s="23"/>
      <c r="EX64" s="23"/>
      <c r="EY64" s="80" t="s">
        <v>74</v>
      </c>
      <c r="EZ64" s="76"/>
      <c r="FA64" s="77"/>
      <c r="FB64" s="77"/>
      <c r="FC64" s="23"/>
      <c r="FD64" s="23"/>
      <c r="FE64" s="23"/>
      <c r="FF64" s="23"/>
      <c r="FG64" s="23"/>
      <c r="FH64" s="23"/>
      <c r="FI64" s="23"/>
      <c r="FJ64" s="23"/>
      <c r="FK64" s="23"/>
      <c r="FL64" s="23"/>
      <c r="FM64" s="23"/>
      <c r="FN64" s="23"/>
      <c r="FO64" s="23"/>
      <c r="FP64" s="23"/>
      <c r="FQ64" s="23"/>
      <c r="FR64" s="23"/>
      <c r="FS64" s="23"/>
    </row>
    <row r="65" spans="1:175" ht="14.5" customHeight="1" x14ac:dyDescent="0.35">
      <c r="A65" s="23"/>
      <c r="B65" s="23"/>
      <c r="C65" s="23"/>
      <c r="D65" s="23"/>
      <c r="E65" s="94"/>
      <c r="F65" s="109"/>
      <c r="G65" s="121"/>
      <c r="H65" s="121"/>
      <c r="I65" s="23"/>
      <c r="J65" s="23"/>
      <c r="K65" s="23"/>
      <c r="L65" s="23"/>
      <c r="M65" s="23"/>
      <c r="N65" s="23"/>
      <c r="O65" s="23"/>
      <c r="P65" s="23"/>
      <c r="Q65" s="23"/>
      <c r="R65" s="23"/>
      <c r="S65" s="23"/>
      <c r="T65" s="23"/>
      <c r="U65" s="23"/>
      <c r="V65" s="23"/>
      <c r="W65" s="23"/>
      <c r="X65" s="23"/>
      <c r="Y65" s="23"/>
      <c r="Z65" s="23"/>
      <c r="AA65" s="23"/>
      <c r="AB65" s="23"/>
      <c r="AC65" s="23"/>
      <c r="AD65" s="39"/>
      <c r="AE65" s="39"/>
      <c r="AF65" s="39"/>
      <c r="AG65" s="39"/>
      <c r="AH65" s="23"/>
      <c r="AI65" s="23"/>
      <c r="AJ65" s="23"/>
      <c r="AK65" s="23"/>
      <c r="AL65" s="23"/>
      <c r="AM65" s="23"/>
      <c r="AN65" s="23"/>
      <c r="AO65" s="23"/>
      <c r="AP65" s="23"/>
      <c r="AQ65" s="23"/>
      <c r="AR65" s="23"/>
      <c r="AS65" s="23"/>
      <c r="AT65" s="23"/>
      <c r="AU65" s="23"/>
      <c r="AV65" s="23"/>
      <c r="AW65" s="23"/>
      <c r="AX65" s="23"/>
      <c r="AY65" s="23"/>
      <c r="AZ65" s="23"/>
      <c r="BA65" s="23"/>
      <c r="BB65" s="23"/>
      <c r="BC65" s="79"/>
      <c r="BD65" s="79"/>
      <c r="BE65" s="79"/>
      <c r="BF65" s="79"/>
      <c r="BG65" s="23"/>
      <c r="BH65" s="23"/>
      <c r="BI65" s="23"/>
      <c r="BJ65" s="23"/>
      <c r="BK65" s="23"/>
      <c r="BL65" s="23"/>
      <c r="BM65" s="23"/>
      <c r="BN65" s="23"/>
      <c r="BO65" s="23"/>
      <c r="BP65" s="23"/>
      <c r="BQ65" s="23"/>
      <c r="BR65" s="23"/>
      <c r="BS65" s="23"/>
      <c r="BT65" s="23"/>
      <c r="BU65" s="23"/>
      <c r="BV65" s="23"/>
      <c r="BW65" s="23"/>
      <c r="BX65" s="23"/>
      <c r="BY65" s="23"/>
      <c r="BZ65" s="23"/>
      <c r="CA65" s="23"/>
      <c r="CB65" s="80"/>
      <c r="CC65" s="78"/>
      <c r="CD65" s="79"/>
      <c r="CE65" s="79"/>
      <c r="CF65" s="23"/>
      <c r="CG65" s="23"/>
      <c r="CH65" s="23"/>
      <c r="CI65" s="23"/>
      <c r="CJ65" s="23"/>
      <c r="CK65" s="23"/>
      <c r="CL65" s="23"/>
      <c r="CM65" s="23"/>
      <c r="CN65" s="23"/>
      <c r="CO65" s="23"/>
      <c r="CP65" s="23"/>
      <c r="CQ65" s="23"/>
      <c r="CR65" s="23"/>
      <c r="CS65" s="23"/>
      <c r="CT65" s="23"/>
      <c r="CU65" s="23"/>
      <c r="CV65" s="23"/>
      <c r="CW65" s="23"/>
      <c r="CX65" s="23"/>
      <c r="CY65" s="23"/>
      <c r="CZ65" s="23"/>
      <c r="DA65" s="80"/>
      <c r="DB65" s="78"/>
      <c r="DC65" s="79"/>
      <c r="DD65" s="79"/>
      <c r="DE65" s="23"/>
      <c r="DF65" s="23"/>
      <c r="DG65" s="23"/>
      <c r="DH65" s="23"/>
      <c r="DI65" s="23"/>
      <c r="DJ65" s="23"/>
      <c r="DK65" s="23"/>
      <c r="DL65" s="23"/>
      <c r="DM65" s="23"/>
      <c r="DN65" s="23"/>
      <c r="DO65" s="23"/>
      <c r="DP65" s="23"/>
      <c r="DQ65" s="23"/>
      <c r="DR65" s="23"/>
      <c r="DS65" s="23"/>
      <c r="DT65" s="23"/>
      <c r="DU65" s="23"/>
      <c r="DV65" s="23"/>
      <c r="DW65" s="23"/>
      <c r="DX65" s="23"/>
      <c r="DY65" s="23"/>
      <c r="DZ65" s="80"/>
      <c r="EA65" s="78"/>
      <c r="EB65" s="79"/>
      <c r="EC65" s="79"/>
      <c r="ED65" s="23"/>
      <c r="EE65" s="23"/>
      <c r="EF65" s="23"/>
      <c r="EG65" s="23"/>
      <c r="EH65" s="23"/>
      <c r="EI65" s="23"/>
      <c r="EJ65" s="23"/>
      <c r="EK65" s="23"/>
      <c r="EL65" s="23"/>
      <c r="EM65" s="23"/>
      <c r="EN65" s="23"/>
      <c r="EO65" s="23"/>
      <c r="EP65" s="23"/>
      <c r="EQ65" s="23"/>
      <c r="ER65" s="23"/>
      <c r="ES65" s="23"/>
      <c r="ET65" s="23"/>
      <c r="EU65" s="23"/>
      <c r="EV65" s="23"/>
      <c r="EW65" s="23"/>
      <c r="EX65" s="23"/>
      <c r="EY65" s="80"/>
      <c r="EZ65" s="78"/>
      <c r="FA65" s="79"/>
      <c r="FB65" s="79"/>
      <c r="FC65" s="23"/>
      <c r="FD65" s="23"/>
      <c r="FE65" s="23"/>
      <c r="FF65" s="23"/>
      <c r="FG65" s="23"/>
      <c r="FH65" s="23"/>
      <c r="FI65" s="23"/>
      <c r="FJ65" s="23"/>
      <c r="FK65" s="23"/>
      <c r="FL65" s="23"/>
      <c r="FM65" s="23"/>
      <c r="FN65" s="23"/>
      <c r="FO65" s="23"/>
      <c r="FP65" s="23"/>
      <c r="FQ65" s="23"/>
      <c r="FR65" s="23"/>
      <c r="FS65" s="23"/>
    </row>
    <row r="66" spans="1:175" ht="14.5" customHeight="1" x14ac:dyDescent="0.35">
      <c r="A66" s="23"/>
      <c r="B66" s="23"/>
      <c r="C66" s="23"/>
      <c r="D66" s="23"/>
      <c r="E66" s="94"/>
      <c r="F66" s="109"/>
      <c r="G66" s="121"/>
      <c r="H66" s="121"/>
      <c r="I66" s="23"/>
      <c r="J66" s="23"/>
      <c r="K66" s="23"/>
      <c r="L66" s="23"/>
      <c r="M66" s="23"/>
      <c r="N66" s="23"/>
      <c r="O66" s="23"/>
      <c r="P66" s="23"/>
      <c r="Q66" s="23"/>
      <c r="R66" s="23"/>
      <c r="S66" s="23"/>
      <c r="T66" s="23"/>
      <c r="U66" s="23"/>
      <c r="V66" s="23"/>
      <c r="W66" s="23"/>
      <c r="X66" s="23"/>
      <c r="Y66" s="23"/>
      <c r="Z66" s="23"/>
      <c r="AA66" s="23"/>
      <c r="AB66" s="23"/>
      <c r="AC66" s="23"/>
      <c r="AD66" s="39"/>
      <c r="AE66" s="39"/>
      <c r="AF66" s="39"/>
      <c r="AG66" s="39"/>
      <c r="AH66" s="23"/>
      <c r="AI66" s="23"/>
      <c r="AJ66" s="23"/>
      <c r="AK66" s="23"/>
      <c r="AL66" s="23"/>
      <c r="AM66" s="23"/>
      <c r="AN66" s="23"/>
      <c r="AO66" s="23"/>
      <c r="AP66" s="23"/>
      <c r="AQ66" s="23"/>
      <c r="AR66" s="23"/>
      <c r="AS66" s="23"/>
      <c r="AT66" s="23"/>
      <c r="AU66" s="23"/>
      <c r="AV66" s="23"/>
      <c r="AW66" s="23"/>
      <c r="AX66" s="23"/>
      <c r="AY66" s="23"/>
      <c r="AZ66" s="23"/>
      <c r="BA66" s="23"/>
      <c r="BB66" s="23"/>
      <c r="BC66" s="79"/>
      <c r="BD66" s="79"/>
      <c r="BE66" s="79"/>
      <c r="BF66" s="79"/>
      <c r="BG66" s="23"/>
      <c r="BH66" s="23"/>
      <c r="BI66" s="23"/>
      <c r="BJ66" s="23"/>
      <c r="BK66" s="23"/>
      <c r="BL66" s="23"/>
      <c r="BM66" s="23"/>
      <c r="BN66" s="23"/>
      <c r="BO66" s="23"/>
      <c r="BP66" s="23"/>
      <c r="BQ66" s="23"/>
      <c r="BR66" s="23"/>
      <c r="BS66" s="23"/>
      <c r="BT66" s="23"/>
      <c r="BU66" s="23"/>
      <c r="BV66" s="23"/>
      <c r="BW66" s="23"/>
      <c r="BX66" s="23"/>
      <c r="BY66" s="23"/>
      <c r="BZ66" s="23"/>
      <c r="CA66" s="23"/>
      <c r="CB66" s="80"/>
      <c r="CC66" s="78"/>
      <c r="CD66" s="79"/>
      <c r="CE66" s="79"/>
      <c r="CF66" s="23"/>
      <c r="CG66" s="23"/>
      <c r="CH66" s="23"/>
      <c r="CI66" s="23"/>
      <c r="CJ66" s="23"/>
      <c r="CK66" s="23"/>
      <c r="CL66" s="23"/>
      <c r="CM66" s="23"/>
      <c r="CN66" s="23"/>
      <c r="CO66" s="23"/>
      <c r="CP66" s="23"/>
      <c r="CQ66" s="23"/>
      <c r="CR66" s="23"/>
      <c r="CS66" s="23"/>
      <c r="CT66" s="23"/>
      <c r="CU66" s="23"/>
      <c r="CV66" s="23"/>
      <c r="CW66" s="23"/>
      <c r="CX66" s="23"/>
      <c r="CY66" s="23"/>
      <c r="CZ66" s="23"/>
      <c r="DA66" s="80"/>
      <c r="DB66" s="78"/>
      <c r="DC66" s="79"/>
      <c r="DD66" s="79"/>
      <c r="DE66" s="23"/>
      <c r="DF66" s="23"/>
      <c r="DG66" s="23"/>
      <c r="DH66" s="23"/>
      <c r="DI66" s="23"/>
      <c r="DJ66" s="23"/>
      <c r="DK66" s="23"/>
      <c r="DL66" s="23"/>
      <c r="DM66" s="23"/>
      <c r="DN66" s="23"/>
      <c r="DO66" s="23"/>
      <c r="DP66" s="23"/>
      <c r="DQ66" s="23"/>
      <c r="DR66" s="23"/>
      <c r="DS66" s="23"/>
      <c r="DT66" s="23"/>
      <c r="DU66" s="23"/>
      <c r="DV66" s="23"/>
      <c r="DW66" s="23"/>
      <c r="DX66" s="23"/>
      <c r="DY66" s="23"/>
      <c r="DZ66" s="80"/>
      <c r="EA66" s="78"/>
      <c r="EB66" s="79"/>
      <c r="EC66" s="79"/>
      <c r="ED66" s="23"/>
      <c r="EE66" s="23"/>
      <c r="EF66" s="23"/>
      <c r="EG66" s="23"/>
      <c r="EH66" s="23"/>
      <c r="EI66" s="23"/>
      <c r="EJ66" s="23"/>
      <c r="EK66" s="23"/>
      <c r="EL66" s="23"/>
      <c r="EM66" s="23"/>
      <c r="EN66" s="23"/>
      <c r="EO66" s="23"/>
      <c r="EP66" s="23"/>
      <c r="EQ66" s="23"/>
      <c r="ER66" s="23"/>
      <c r="ES66" s="23"/>
      <c r="ET66" s="23"/>
      <c r="EU66" s="23"/>
      <c r="EV66" s="23"/>
      <c r="EW66" s="23"/>
      <c r="EX66" s="23"/>
      <c r="EY66" s="80"/>
      <c r="EZ66" s="78"/>
      <c r="FA66" s="79"/>
      <c r="FB66" s="79"/>
      <c r="FC66" s="23"/>
      <c r="FD66" s="23"/>
      <c r="FE66" s="23"/>
      <c r="FF66" s="23"/>
      <c r="FG66" s="23"/>
      <c r="FH66" s="23"/>
      <c r="FI66" s="23"/>
      <c r="FJ66" s="23"/>
      <c r="FK66" s="23"/>
      <c r="FL66" s="23"/>
      <c r="FM66" s="23"/>
      <c r="FN66" s="23"/>
      <c r="FO66" s="23"/>
      <c r="FP66" s="23"/>
      <c r="FQ66" s="23"/>
      <c r="FR66" s="23"/>
      <c r="FS66" s="23"/>
    </row>
    <row r="67" spans="1:175" ht="15" customHeight="1" thickBot="1" x14ac:dyDescent="0.4">
      <c r="A67" s="23"/>
      <c r="B67" s="23"/>
      <c r="C67" s="23"/>
      <c r="D67" s="23"/>
      <c r="E67" s="95"/>
      <c r="F67" s="109"/>
      <c r="G67" s="121"/>
      <c r="H67" s="121"/>
      <c r="I67" s="23"/>
      <c r="J67" s="23"/>
      <c r="K67" s="23"/>
      <c r="L67" s="23"/>
      <c r="M67" s="23"/>
      <c r="N67" s="23"/>
      <c r="O67" s="23"/>
      <c r="P67" s="23"/>
      <c r="Q67" s="23"/>
      <c r="R67" s="23"/>
      <c r="S67" s="23"/>
      <c r="T67" s="23"/>
      <c r="U67" s="23"/>
      <c r="V67" s="23"/>
      <c r="W67" s="23"/>
      <c r="X67" s="23"/>
      <c r="Y67" s="23"/>
      <c r="Z67" s="23"/>
      <c r="AA67" s="23"/>
      <c r="AB67" s="23"/>
      <c r="AC67" s="23"/>
      <c r="AD67" s="39"/>
      <c r="AE67" s="39"/>
      <c r="AF67" s="39"/>
      <c r="AG67" s="39"/>
      <c r="AH67" s="23"/>
      <c r="AI67" s="23"/>
      <c r="AJ67" s="23"/>
      <c r="AK67" s="23"/>
      <c r="AL67" s="23"/>
      <c r="AM67" s="23"/>
      <c r="AN67" s="23"/>
      <c r="AO67" s="23"/>
      <c r="AP67" s="23"/>
      <c r="AQ67" s="23"/>
      <c r="AR67" s="23"/>
      <c r="AS67" s="23"/>
      <c r="AT67" s="23"/>
      <c r="AU67" s="23"/>
      <c r="AV67" s="23"/>
      <c r="AW67" s="23"/>
      <c r="AX67" s="23"/>
      <c r="AY67" s="23"/>
      <c r="AZ67" s="23"/>
      <c r="BA67" s="23"/>
      <c r="BB67" s="23"/>
      <c r="BC67" s="79"/>
      <c r="BD67" s="79"/>
      <c r="BE67" s="79"/>
      <c r="BF67" s="79"/>
      <c r="BG67" s="23"/>
      <c r="BH67" s="23"/>
      <c r="BI67" s="23"/>
      <c r="BJ67" s="23"/>
      <c r="BK67" s="23"/>
      <c r="BL67" s="23"/>
      <c r="BM67" s="23"/>
      <c r="BN67" s="23"/>
      <c r="BO67" s="23"/>
      <c r="BP67" s="23"/>
      <c r="BQ67" s="23"/>
      <c r="BR67" s="23"/>
      <c r="BS67" s="23"/>
      <c r="BT67" s="23"/>
      <c r="BU67" s="23"/>
      <c r="BV67" s="23"/>
      <c r="BW67" s="23"/>
      <c r="BX67" s="23"/>
      <c r="BY67" s="23"/>
      <c r="BZ67" s="23"/>
      <c r="CA67" s="23"/>
      <c r="CB67" s="81"/>
      <c r="CC67" s="78"/>
      <c r="CD67" s="79"/>
      <c r="CE67" s="79"/>
      <c r="CF67" s="23"/>
      <c r="CG67" s="23"/>
      <c r="CH67" s="23"/>
      <c r="CI67" s="23"/>
      <c r="CJ67" s="23"/>
      <c r="CK67" s="23"/>
      <c r="CL67" s="23"/>
      <c r="CM67" s="23"/>
      <c r="CN67" s="23"/>
      <c r="CO67" s="23"/>
      <c r="CP67" s="23"/>
      <c r="CQ67" s="23"/>
      <c r="CR67" s="23"/>
      <c r="CS67" s="23"/>
      <c r="CT67" s="23"/>
      <c r="CU67" s="23"/>
      <c r="CV67" s="23"/>
      <c r="CW67" s="23"/>
      <c r="CX67" s="23"/>
      <c r="CY67" s="23"/>
      <c r="CZ67" s="23"/>
      <c r="DA67" s="81"/>
      <c r="DB67" s="78"/>
      <c r="DC67" s="79"/>
      <c r="DD67" s="79"/>
      <c r="DE67" s="23"/>
      <c r="DF67" s="23"/>
      <c r="DG67" s="23"/>
      <c r="DH67" s="23"/>
      <c r="DI67" s="23"/>
      <c r="DJ67" s="23"/>
      <c r="DK67" s="23"/>
      <c r="DL67" s="23"/>
      <c r="DM67" s="23"/>
      <c r="DN67" s="23"/>
      <c r="DO67" s="23"/>
      <c r="DP67" s="23"/>
      <c r="DQ67" s="23"/>
      <c r="DR67" s="23"/>
      <c r="DS67" s="23"/>
      <c r="DT67" s="23"/>
      <c r="DU67" s="23"/>
      <c r="DV67" s="23"/>
      <c r="DW67" s="23"/>
      <c r="DX67" s="23"/>
      <c r="DY67" s="23"/>
      <c r="DZ67" s="81"/>
      <c r="EA67" s="78"/>
      <c r="EB67" s="79"/>
      <c r="EC67" s="79"/>
      <c r="ED67" s="23"/>
      <c r="EE67" s="23"/>
      <c r="EF67" s="23"/>
      <c r="EG67" s="23"/>
      <c r="EH67" s="23"/>
      <c r="EI67" s="23"/>
      <c r="EJ67" s="23"/>
      <c r="EK67" s="23"/>
      <c r="EL67" s="23"/>
      <c r="EM67" s="23"/>
      <c r="EN67" s="23"/>
      <c r="EO67" s="23"/>
      <c r="EP67" s="23"/>
      <c r="EQ67" s="23"/>
      <c r="ER67" s="23"/>
      <c r="ES67" s="23"/>
      <c r="ET67" s="23"/>
      <c r="EU67" s="23"/>
      <c r="EV67" s="23"/>
      <c r="EW67" s="23"/>
      <c r="EX67" s="23"/>
      <c r="EY67" s="81"/>
      <c r="EZ67" s="78"/>
      <c r="FA67" s="79"/>
      <c r="FB67" s="79"/>
      <c r="FC67" s="23"/>
      <c r="FD67" s="23"/>
      <c r="FE67" s="23"/>
      <c r="FF67" s="23"/>
      <c r="FG67" s="23"/>
      <c r="FH67" s="23"/>
      <c r="FI67" s="23"/>
      <c r="FJ67" s="23"/>
      <c r="FK67" s="23"/>
      <c r="FL67" s="23"/>
      <c r="FM67" s="23"/>
      <c r="FN67" s="23"/>
      <c r="FO67" s="23"/>
      <c r="FP67" s="23"/>
      <c r="FQ67" s="23"/>
      <c r="FR67" s="23"/>
      <c r="FS67" s="23"/>
    </row>
    <row r="68" spans="1:175" ht="14.5" customHeight="1" x14ac:dyDescent="0.35">
      <c r="A68" s="23"/>
      <c r="B68" s="23"/>
      <c r="C68" s="23"/>
      <c r="D68" s="23"/>
      <c r="E68" s="94" t="s">
        <v>80</v>
      </c>
      <c r="F68" s="107">
        <f>D3-F64</f>
        <v>182.30709965323024</v>
      </c>
      <c r="G68" s="120"/>
      <c r="H68" s="120"/>
      <c r="I68" s="23"/>
      <c r="J68" s="23"/>
      <c r="K68" s="23"/>
      <c r="L68" s="23"/>
      <c r="M68" s="23"/>
      <c r="N68" s="23"/>
      <c r="O68" s="23"/>
      <c r="P68" s="23"/>
      <c r="Q68" s="23"/>
      <c r="R68" s="23"/>
      <c r="S68" s="23"/>
      <c r="T68" s="23"/>
      <c r="U68" s="23"/>
      <c r="V68" s="23"/>
      <c r="W68" s="23"/>
      <c r="X68" s="23"/>
      <c r="Y68" s="23"/>
      <c r="Z68" s="23"/>
      <c r="AA68" s="23"/>
      <c r="AB68" s="23"/>
      <c r="AC68" s="23"/>
      <c r="AD68" s="39"/>
      <c r="AE68" s="39"/>
      <c r="AF68" s="39"/>
      <c r="AG68" s="39"/>
      <c r="AH68" s="23"/>
      <c r="AI68" s="23"/>
      <c r="AJ68" s="23"/>
      <c r="AK68" s="23"/>
      <c r="AL68" s="23"/>
      <c r="AM68" s="23"/>
      <c r="AN68" s="23"/>
      <c r="AO68" s="23"/>
      <c r="AP68" s="23"/>
      <c r="AQ68" s="23"/>
      <c r="AR68" s="23"/>
      <c r="AS68" s="23"/>
      <c r="AT68" s="23"/>
      <c r="AU68" s="23"/>
      <c r="AV68" s="23"/>
      <c r="AW68" s="23"/>
      <c r="AX68" s="23"/>
      <c r="AY68" s="23"/>
      <c r="AZ68" s="23"/>
      <c r="BA68" s="23"/>
      <c r="BB68" s="23"/>
      <c r="BC68" s="79"/>
      <c r="BD68" s="79"/>
      <c r="BE68" s="79"/>
      <c r="BF68" s="79"/>
      <c r="BG68" s="23"/>
      <c r="BH68" s="23"/>
      <c r="BI68" s="23"/>
      <c r="BJ68" s="23"/>
      <c r="BK68" s="23"/>
      <c r="BL68" s="23"/>
      <c r="BM68" s="23"/>
      <c r="BN68" s="23"/>
      <c r="BO68" s="23"/>
      <c r="BP68" s="23"/>
      <c r="BQ68" s="23"/>
      <c r="BR68" s="23"/>
      <c r="BS68" s="23"/>
      <c r="BT68" s="23"/>
      <c r="BU68" s="23"/>
      <c r="BV68" s="23"/>
      <c r="BW68" s="23"/>
      <c r="BX68" s="23"/>
      <c r="BY68" s="23"/>
      <c r="BZ68" s="23"/>
      <c r="CA68" s="23"/>
      <c r="CB68" s="80" t="s">
        <v>75</v>
      </c>
      <c r="CC68" s="76"/>
      <c r="CD68" s="77"/>
      <c r="CE68" s="77"/>
      <c r="CF68" s="23"/>
      <c r="CG68" s="23"/>
      <c r="CH68" s="23"/>
      <c r="CI68" s="23"/>
      <c r="CJ68" s="23"/>
      <c r="CK68" s="23"/>
      <c r="CL68" s="23"/>
      <c r="CM68" s="23"/>
      <c r="CN68" s="23"/>
      <c r="CO68" s="23"/>
      <c r="CP68" s="23"/>
      <c r="CQ68" s="23"/>
      <c r="CR68" s="23"/>
      <c r="CS68" s="23"/>
      <c r="CT68" s="23"/>
      <c r="CU68" s="23"/>
      <c r="CV68" s="23"/>
      <c r="CW68" s="23"/>
      <c r="CX68" s="23"/>
      <c r="CY68" s="23"/>
      <c r="CZ68" s="23"/>
      <c r="DA68" s="80" t="s">
        <v>75</v>
      </c>
      <c r="DB68" s="76"/>
      <c r="DC68" s="77"/>
      <c r="DD68" s="77"/>
      <c r="DE68" s="23"/>
      <c r="DF68" s="23"/>
      <c r="DG68" s="23"/>
      <c r="DH68" s="23"/>
      <c r="DI68" s="23"/>
      <c r="DJ68" s="23"/>
      <c r="DK68" s="23"/>
      <c r="DL68" s="23"/>
      <c r="DM68" s="23"/>
      <c r="DN68" s="23"/>
      <c r="DO68" s="23"/>
      <c r="DP68" s="23"/>
      <c r="DQ68" s="23"/>
      <c r="DR68" s="23"/>
      <c r="DS68" s="23"/>
      <c r="DT68" s="23"/>
      <c r="DU68" s="23"/>
      <c r="DV68" s="23"/>
      <c r="DW68" s="23"/>
      <c r="DX68" s="23"/>
      <c r="DY68" s="23"/>
      <c r="DZ68" s="80" t="s">
        <v>75</v>
      </c>
      <c r="EA68" s="76"/>
      <c r="EB68" s="77"/>
      <c r="EC68" s="77"/>
      <c r="ED68" s="23"/>
      <c r="EE68" s="23"/>
      <c r="EF68" s="23"/>
      <c r="EG68" s="23"/>
      <c r="EH68" s="23"/>
      <c r="EI68" s="23"/>
      <c r="EJ68" s="23"/>
      <c r="EK68" s="23"/>
      <c r="EL68" s="23"/>
      <c r="EM68" s="23"/>
      <c r="EN68" s="23"/>
      <c r="EO68" s="23"/>
      <c r="EP68" s="23"/>
      <c r="EQ68" s="23"/>
      <c r="ER68" s="23"/>
      <c r="ES68" s="23"/>
      <c r="ET68" s="23"/>
      <c r="EU68" s="23"/>
      <c r="EV68" s="23"/>
      <c r="EW68" s="23"/>
      <c r="EX68" s="23"/>
      <c r="EY68" s="80" t="s">
        <v>75</v>
      </c>
      <c r="EZ68" s="76"/>
      <c r="FA68" s="77"/>
      <c r="FB68" s="77"/>
      <c r="FC68" s="23"/>
      <c r="FD68" s="23"/>
      <c r="FE68" s="23"/>
      <c r="FF68" s="23"/>
      <c r="FG68" s="23"/>
      <c r="FH68" s="23"/>
      <c r="FI68" s="23"/>
      <c r="FJ68" s="23"/>
      <c r="FK68" s="23"/>
      <c r="FL68" s="23"/>
      <c r="FM68" s="23"/>
      <c r="FN68" s="23"/>
      <c r="FO68" s="23"/>
      <c r="FP68" s="23"/>
      <c r="FQ68" s="23"/>
      <c r="FR68" s="23"/>
      <c r="FS68" s="23"/>
    </row>
    <row r="69" spans="1:175" ht="14.5" customHeight="1" x14ac:dyDescent="0.35">
      <c r="A69" s="23"/>
      <c r="B69" s="23"/>
      <c r="C69" s="23"/>
      <c r="D69" s="23"/>
      <c r="E69" s="94"/>
      <c r="F69" s="109"/>
      <c r="G69" s="121"/>
      <c r="H69" s="121"/>
      <c r="I69" s="23"/>
      <c r="J69" s="23"/>
      <c r="K69" s="23"/>
      <c r="L69" s="23"/>
      <c r="M69" s="23"/>
      <c r="N69" s="23"/>
      <c r="O69" s="23"/>
      <c r="P69" s="23"/>
      <c r="Q69" s="23"/>
      <c r="R69" s="23"/>
      <c r="S69" s="23"/>
      <c r="T69" s="23"/>
      <c r="U69" s="23"/>
      <c r="V69" s="23"/>
      <c r="W69" s="23"/>
      <c r="X69" s="23"/>
      <c r="Y69" s="23"/>
      <c r="Z69" s="23"/>
      <c r="AA69" s="23"/>
      <c r="AB69" s="23"/>
      <c r="AC69" s="23"/>
      <c r="AD69" s="39"/>
      <c r="AE69" s="39"/>
      <c r="AF69" s="39"/>
      <c r="AG69" s="39"/>
      <c r="AH69" s="23"/>
      <c r="AI69" s="23"/>
      <c r="AJ69" s="23"/>
      <c r="AK69" s="23"/>
      <c r="AL69" s="23"/>
      <c r="AM69" s="23"/>
      <c r="AN69" s="23"/>
      <c r="AO69" s="23"/>
      <c r="AP69" s="23"/>
      <c r="AQ69" s="23"/>
      <c r="AR69" s="23"/>
      <c r="AS69" s="23"/>
      <c r="AT69" s="23"/>
      <c r="AU69" s="23"/>
      <c r="AV69" s="23"/>
      <c r="AW69" s="23"/>
      <c r="AX69" s="23"/>
      <c r="AY69" s="23"/>
      <c r="AZ69" s="23"/>
      <c r="BA69" s="23"/>
      <c r="BB69" s="23"/>
      <c r="BC69" s="79"/>
      <c r="BD69" s="79"/>
      <c r="BE69" s="79"/>
      <c r="BF69" s="79"/>
      <c r="BG69" s="23"/>
      <c r="BH69" s="23"/>
      <c r="BI69" s="23"/>
      <c r="BJ69" s="23"/>
      <c r="BK69" s="23"/>
      <c r="BL69" s="23"/>
      <c r="BM69" s="23"/>
      <c r="BN69" s="23"/>
      <c r="BO69" s="23"/>
      <c r="BP69" s="23"/>
      <c r="BQ69" s="23"/>
      <c r="BR69" s="23"/>
      <c r="BS69" s="23"/>
      <c r="BT69" s="23"/>
      <c r="BU69" s="23"/>
      <c r="BV69" s="23"/>
      <c r="BW69" s="23"/>
      <c r="BX69" s="23"/>
      <c r="BY69" s="23"/>
      <c r="BZ69" s="23"/>
      <c r="CA69" s="23"/>
      <c r="CB69" s="80"/>
      <c r="CC69" s="78"/>
      <c r="CD69" s="79"/>
      <c r="CE69" s="79"/>
      <c r="CF69" s="23"/>
      <c r="CG69" s="23"/>
      <c r="CH69" s="23"/>
      <c r="CI69" s="23"/>
      <c r="CJ69" s="23"/>
      <c r="CK69" s="23"/>
      <c r="CL69" s="23"/>
      <c r="CM69" s="23"/>
      <c r="CN69" s="23"/>
      <c r="CO69" s="23"/>
      <c r="CP69" s="23"/>
      <c r="CQ69" s="23"/>
      <c r="CR69" s="23"/>
      <c r="CS69" s="23"/>
      <c r="CT69" s="23"/>
      <c r="CU69" s="23"/>
      <c r="CV69" s="23"/>
      <c r="CW69" s="23"/>
      <c r="CX69" s="23"/>
      <c r="CY69" s="23"/>
      <c r="CZ69" s="23"/>
      <c r="DA69" s="80"/>
      <c r="DB69" s="78"/>
      <c r="DC69" s="79"/>
      <c r="DD69" s="79"/>
      <c r="DE69" s="23"/>
      <c r="DF69" s="23"/>
      <c r="DG69" s="23"/>
      <c r="DH69" s="23"/>
      <c r="DI69" s="23"/>
      <c r="DJ69" s="23"/>
      <c r="DK69" s="23"/>
      <c r="DL69" s="23"/>
      <c r="DM69" s="23"/>
      <c r="DN69" s="23"/>
      <c r="DO69" s="23"/>
      <c r="DP69" s="23"/>
      <c r="DQ69" s="23"/>
      <c r="DR69" s="23"/>
      <c r="DS69" s="23"/>
      <c r="DT69" s="23"/>
      <c r="DU69" s="23"/>
      <c r="DV69" s="23"/>
      <c r="DW69" s="23"/>
      <c r="DX69" s="23"/>
      <c r="DY69" s="23"/>
      <c r="DZ69" s="80"/>
      <c r="EA69" s="78"/>
      <c r="EB69" s="79"/>
      <c r="EC69" s="79"/>
      <c r="ED69" s="23"/>
      <c r="EE69" s="23"/>
      <c r="EF69" s="23"/>
      <c r="EG69" s="23"/>
      <c r="EH69" s="23"/>
      <c r="EI69" s="23"/>
      <c r="EJ69" s="23"/>
      <c r="EK69" s="23"/>
      <c r="EL69" s="23"/>
      <c r="EM69" s="23"/>
      <c r="EN69" s="23"/>
      <c r="EO69" s="23"/>
      <c r="EP69" s="23"/>
      <c r="EQ69" s="23"/>
      <c r="ER69" s="23"/>
      <c r="ES69" s="23"/>
      <c r="ET69" s="23"/>
      <c r="EU69" s="23"/>
      <c r="EV69" s="23"/>
      <c r="EW69" s="23"/>
      <c r="EX69" s="23"/>
      <c r="EY69" s="80"/>
      <c r="EZ69" s="78"/>
      <c r="FA69" s="79"/>
      <c r="FB69" s="79"/>
      <c r="FC69" s="23"/>
      <c r="FD69" s="23"/>
      <c r="FE69" s="23"/>
      <c r="FF69" s="23"/>
      <c r="FG69" s="23"/>
      <c r="FH69" s="23"/>
      <c r="FI69" s="23"/>
      <c r="FJ69" s="23"/>
      <c r="FK69" s="23"/>
      <c r="FL69" s="23"/>
      <c r="FM69" s="23"/>
      <c r="FN69" s="23"/>
      <c r="FO69" s="23"/>
      <c r="FP69" s="23"/>
      <c r="FQ69" s="23"/>
      <c r="FR69" s="23"/>
      <c r="FS69" s="23"/>
    </row>
    <row r="70" spans="1:175" ht="14.5" customHeight="1" x14ac:dyDescent="0.35">
      <c r="A70" s="23"/>
      <c r="B70" s="23"/>
      <c r="C70" s="23"/>
      <c r="D70" s="23"/>
      <c r="E70" s="94"/>
      <c r="F70" s="109"/>
      <c r="G70" s="121"/>
      <c r="H70" s="121"/>
      <c r="I70" s="23"/>
      <c r="J70" s="23"/>
      <c r="K70" s="23"/>
      <c r="L70" s="23"/>
      <c r="M70" s="23"/>
      <c r="N70" s="23"/>
      <c r="O70" s="23"/>
      <c r="P70" s="23"/>
      <c r="Q70" s="23"/>
      <c r="R70" s="23"/>
      <c r="S70" s="23"/>
      <c r="T70" s="23"/>
      <c r="U70" s="23"/>
      <c r="V70" s="23"/>
      <c r="W70" s="23"/>
      <c r="X70" s="23"/>
      <c r="Y70" s="23"/>
      <c r="Z70" s="23"/>
      <c r="AA70" s="23"/>
      <c r="AB70" s="23"/>
      <c r="AC70" s="23"/>
      <c r="AD70" s="39"/>
      <c r="AE70" s="39"/>
      <c r="AF70" s="39"/>
      <c r="AG70" s="39"/>
      <c r="AH70" s="23"/>
      <c r="AI70" s="23"/>
      <c r="AJ70" s="23"/>
      <c r="AK70" s="23"/>
      <c r="AL70" s="23"/>
      <c r="AM70" s="23"/>
      <c r="AN70" s="23"/>
      <c r="AO70" s="23"/>
      <c r="AP70" s="23"/>
      <c r="AQ70" s="23"/>
      <c r="AR70" s="23"/>
      <c r="AS70" s="23"/>
      <c r="AT70" s="23"/>
      <c r="AU70" s="23"/>
      <c r="AV70" s="23"/>
      <c r="AW70" s="23"/>
      <c r="AX70" s="23"/>
      <c r="AY70" s="23"/>
      <c r="AZ70" s="23"/>
      <c r="BA70" s="23"/>
      <c r="BB70" s="23"/>
      <c r="BC70" s="79"/>
      <c r="BD70" s="79"/>
      <c r="BE70" s="79"/>
      <c r="BF70" s="79"/>
      <c r="BG70" s="23"/>
      <c r="BH70" s="23"/>
      <c r="BI70" s="23"/>
      <c r="BJ70" s="23"/>
      <c r="BK70" s="23"/>
      <c r="BL70" s="23"/>
      <c r="BM70" s="23"/>
      <c r="BN70" s="23"/>
      <c r="BO70" s="23"/>
      <c r="BP70" s="23"/>
      <c r="BQ70" s="23"/>
      <c r="BR70" s="23"/>
      <c r="BS70" s="23"/>
      <c r="BT70" s="23"/>
      <c r="BU70" s="23"/>
      <c r="BV70" s="23"/>
      <c r="BW70" s="23"/>
      <c r="BX70" s="23"/>
      <c r="BY70" s="23"/>
      <c r="BZ70" s="23"/>
      <c r="CA70" s="23"/>
      <c r="CB70" s="80"/>
      <c r="CC70" s="78"/>
      <c r="CD70" s="79"/>
      <c r="CE70" s="79"/>
      <c r="CF70" s="23"/>
      <c r="CG70" s="23"/>
      <c r="CH70" s="23"/>
      <c r="CI70" s="23"/>
      <c r="CJ70" s="23"/>
      <c r="CK70" s="23"/>
      <c r="CL70" s="23"/>
      <c r="CM70" s="23"/>
      <c r="CN70" s="23"/>
      <c r="CO70" s="23"/>
      <c r="CP70" s="23"/>
      <c r="CQ70" s="23"/>
      <c r="CR70" s="23"/>
      <c r="CS70" s="23"/>
      <c r="CT70" s="23"/>
      <c r="CU70" s="23"/>
      <c r="CV70" s="23"/>
      <c r="CW70" s="23"/>
      <c r="CX70" s="23"/>
      <c r="CY70" s="23"/>
      <c r="CZ70" s="23"/>
      <c r="DA70" s="80"/>
      <c r="DB70" s="78"/>
      <c r="DC70" s="79"/>
      <c r="DD70" s="79"/>
      <c r="DE70" s="23"/>
      <c r="DF70" s="23"/>
      <c r="DG70" s="23"/>
      <c r="DH70" s="23"/>
      <c r="DI70" s="23"/>
      <c r="DJ70" s="23"/>
      <c r="DK70" s="23"/>
      <c r="DL70" s="23"/>
      <c r="DM70" s="23"/>
      <c r="DN70" s="23"/>
      <c r="DO70" s="23"/>
      <c r="DP70" s="23"/>
      <c r="DQ70" s="23"/>
      <c r="DR70" s="23"/>
      <c r="DS70" s="23"/>
      <c r="DT70" s="23"/>
      <c r="DU70" s="23"/>
      <c r="DV70" s="23"/>
      <c r="DW70" s="23"/>
      <c r="DX70" s="23"/>
      <c r="DY70" s="23"/>
      <c r="DZ70" s="80"/>
      <c r="EA70" s="78"/>
      <c r="EB70" s="79"/>
      <c r="EC70" s="79"/>
      <c r="ED70" s="23"/>
      <c r="EE70" s="23"/>
      <c r="EF70" s="23"/>
      <c r="EG70" s="23"/>
      <c r="EH70" s="23"/>
      <c r="EI70" s="23"/>
      <c r="EJ70" s="23"/>
      <c r="EK70" s="23"/>
      <c r="EL70" s="23"/>
      <c r="EM70" s="23"/>
      <c r="EN70" s="23"/>
      <c r="EO70" s="23"/>
      <c r="EP70" s="23"/>
      <c r="EQ70" s="23"/>
      <c r="ER70" s="23"/>
      <c r="ES70" s="23"/>
      <c r="ET70" s="23"/>
      <c r="EU70" s="23"/>
      <c r="EV70" s="23"/>
      <c r="EW70" s="23"/>
      <c r="EX70" s="23"/>
      <c r="EY70" s="80"/>
      <c r="EZ70" s="78"/>
      <c r="FA70" s="79"/>
      <c r="FB70" s="79"/>
      <c r="FC70" s="23"/>
      <c r="FD70" s="23"/>
      <c r="FE70" s="23"/>
      <c r="FF70" s="23"/>
      <c r="FG70" s="23"/>
      <c r="FH70" s="23"/>
      <c r="FI70" s="23"/>
      <c r="FJ70" s="23"/>
      <c r="FK70" s="23"/>
      <c r="FL70" s="23"/>
      <c r="FM70" s="23"/>
      <c r="FN70" s="23"/>
      <c r="FO70" s="23"/>
      <c r="FP70" s="23"/>
      <c r="FQ70" s="23"/>
      <c r="FR70" s="23"/>
      <c r="FS70" s="23"/>
    </row>
    <row r="71" spans="1:175" ht="15" customHeight="1" thickBot="1" x14ac:dyDescent="0.4">
      <c r="A71" s="23"/>
      <c r="B71" s="23"/>
      <c r="C71" s="23"/>
      <c r="D71" s="23"/>
      <c r="E71" s="95"/>
      <c r="F71" s="109"/>
      <c r="G71" s="121"/>
      <c r="H71" s="121"/>
      <c r="I71" s="23"/>
      <c r="J71" s="23"/>
      <c r="K71" s="23"/>
      <c r="L71" s="23"/>
      <c r="M71" s="23"/>
      <c r="N71" s="23"/>
      <c r="O71" s="23"/>
      <c r="P71" s="23"/>
      <c r="Q71" s="23"/>
      <c r="R71" s="23"/>
      <c r="S71" s="23"/>
      <c r="T71" s="23"/>
      <c r="U71" s="23"/>
      <c r="V71" s="23"/>
      <c r="W71" s="23"/>
      <c r="X71" s="23"/>
      <c r="Y71" s="23"/>
      <c r="Z71" s="23"/>
      <c r="AA71" s="23"/>
      <c r="AB71" s="23"/>
      <c r="AC71" s="23"/>
      <c r="AD71" s="39"/>
      <c r="AE71" s="39"/>
      <c r="AF71" s="39"/>
      <c r="AG71" s="39"/>
      <c r="AH71" s="23"/>
      <c r="AI71" s="23"/>
      <c r="AJ71" s="23"/>
      <c r="AK71" s="23"/>
      <c r="AL71" s="23"/>
      <c r="AM71" s="23"/>
      <c r="AN71" s="23"/>
      <c r="AO71" s="23"/>
      <c r="AP71" s="23"/>
      <c r="AQ71" s="23"/>
      <c r="AR71" s="23"/>
      <c r="AS71" s="23"/>
      <c r="AT71" s="23"/>
      <c r="AU71" s="23"/>
      <c r="AV71" s="23"/>
      <c r="AW71" s="23"/>
      <c r="AX71" s="23"/>
      <c r="AY71" s="23"/>
      <c r="AZ71" s="23"/>
      <c r="BA71" s="23"/>
      <c r="BB71" s="23"/>
      <c r="BC71" s="79"/>
      <c r="BD71" s="79"/>
      <c r="BE71" s="79"/>
      <c r="BF71" s="79"/>
      <c r="BG71" s="23"/>
      <c r="BH71" s="23"/>
      <c r="BI71" s="23"/>
      <c r="BJ71" s="23"/>
      <c r="BK71" s="23"/>
      <c r="BL71" s="23"/>
      <c r="BM71" s="23"/>
      <c r="BN71" s="23"/>
      <c r="BO71" s="23"/>
      <c r="BP71" s="23"/>
      <c r="BQ71" s="23"/>
      <c r="BR71" s="23"/>
      <c r="BS71" s="23"/>
      <c r="BT71" s="23"/>
      <c r="BU71" s="23"/>
      <c r="BV71" s="23"/>
      <c r="BW71" s="23"/>
      <c r="BX71" s="23"/>
      <c r="BY71" s="23"/>
      <c r="BZ71" s="23"/>
      <c r="CA71" s="23"/>
      <c r="CB71" s="81"/>
      <c r="CC71" s="78"/>
      <c r="CD71" s="79"/>
      <c r="CE71" s="79"/>
      <c r="CF71" s="23"/>
      <c r="CG71" s="23"/>
      <c r="CH71" s="23"/>
      <c r="CI71" s="23"/>
      <c r="CJ71" s="23"/>
      <c r="CK71" s="23"/>
      <c r="CL71" s="23"/>
      <c r="CM71" s="23"/>
      <c r="CN71" s="23"/>
      <c r="CO71" s="23"/>
      <c r="CP71" s="23"/>
      <c r="CQ71" s="23"/>
      <c r="CR71" s="23"/>
      <c r="CS71" s="23"/>
      <c r="CT71" s="23"/>
      <c r="CU71" s="23"/>
      <c r="CV71" s="23"/>
      <c r="CW71" s="23"/>
      <c r="CX71" s="23"/>
      <c r="CY71" s="23"/>
      <c r="CZ71" s="23"/>
      <c r="DA71" s="81"/>
      <c r="DB71" s="78"/>
      <c r="DC71" s="79"/>
      <c r="DD71" s="79"/>
      <c r="DE71" s="23"/>
      <c r="DF71" s="23"/>
      <c r="DG71" s="23"/>
      <c r="DH71" s="23"/>
      <c r="DI71" s="23"/>
      <c r="DJ71" s="23"/>
      <c r="DK71" s="23"/>
      <c r="DL71" s="23"/>
      <c r="DM71" s="23"/>
      <c r="DN71" s="23"/>
      <c r="DO71" s="23"/>
      <c r="DP71" s="23"/>
      <c r="DQ71" s="23"/>
      <c r="DR71" s="23"/>
      <c r="DS71" s="23"/>
      <c r="DT71" s="23"/>
      <c r="DU71" s="23"/>
      <c r="DV71" s="23"/>
      <c r="DW71" s="23"/>
      <c r="DX71" s="23"/>
      <c r="DY71" s="23"/>
      <c r="DZ71" s="81"/>
      <c r="EA71" s="78"/>
      <c r="EB71" s="79"/>
      <c r="EC71" s="79"/>
      <c r="ED71" s="23"/>
      <c r="EE71" s="23"/>
      <c r="EF71" s="23"/>
      <c r="EG71" s="23"/>
      <c r="EH71" s="23"/>
      <c r="EI71" s="23"/>
      <c r="EJ71" s="23"/>
      <c r="EK71" s="23"/>
      <c r="EL71" s="23"/>
      <c r="EM71" s="23"/>
      <c r="EN71" s="23"/>
      <c r="EO71" s="23"/>
      <c r="EP71" s="23"/>
      <c r="EQ71" s="23"/>
      <c r="ER71" s="23"/>
      <c r="ES71" s="23"/>
      <c r="ET71" s="23"/>
      <c r="EU71" s="23"/>
      <c r="EV71" s="23"/>
      <c r="EW71" s="23"/>
      <c r="EX71" s="23"/>
      <c r="EY71" s="81"/>
      <c r="EZ71" s="78"/>
      <c r="FA71" s="79"/>
      <c r="FB71" s="79"/>
      <c r="FC71" s="23"/>
      <c r="FD71" s="23"/>
      <c r="FE71" s="23"/>
      <c r="FF71" s="23"/>
      <c r="FG71" s="23"/>
      <c r="FH71" s="23"/>
      <c r="FI71" s="23"/>
      <c r="FJ71" s="23"/>
      <c r="FK71" s="23"/>
      <c r="FL71" s="23"/>
      <c r="FM71" s="23"/>
      <c r="FN71" s="23"/>
      <c r="FO71" s="23"/>
      <c r="FP71" s="23"/>
      <c r="FQ71" s="23"/>
      <c r="FR71" s="23"/>
      <c r="FS71" s="23"/>
    </row>
    <row r="72" spans="1:175" ht="14.5" customHeight="1" x14ac:dyDescent="0.35">
      <c r="A72" s="23"/>
      <c r="B72" s="23"/>
      <c r="C72" s="23"/>
      <c r="D72" s="23"/>
      <c r="E72" s="94" t="s">
        <v>81</v>
      </c>
      <c r="F72" s="107">
        <f>Week3endweight/(HeightMeters*HeightMeters)</f>
        <v>45.57677491330756</v>
      </c>
      <c r="G72" s="120"/>
      <c r="H72" s="120"/>
      <c r="I72" s="23"/>
      <c r="J72" s="23"/>
      <c r="K72" s="23"/>
      <c r="L72" s="23"/>
      <c r="M72" s="23"/>
      <c r="N72" s="23"/>
      <c r="O72" s="23"/>
      <c r="P72" s="23"/>
      <c r="Q72" s="23"/>
      <c r="R72" s="23"/>
      <c r="S72" s="23"/>
      <c r="T72" s="23"/>
      <c r="U72" s="23"/>
      <c r="V72" s="23"/>
      <c r="W72" s="23"/>
      <c r="X72" s="23"/>
      <c r="Y72" s="23"/>
      <c r="Z72" s="23"/>
      <c r="AA72" s="23"/>
      <c r="AB72" s="23"/>
      <c r="AC72" s="23"/>
      <c r="AD72" s="39"/>
      <c r="AE72" s="39"/>
      <c r="AF72" s="39"/>
      <c r="AG72" s="39"/>
      <c r="AH72" s="23"/>
      <c r="AI72" s="23"/>
      <c r="AJ72" s="23"/>
      <c r="AK72" s="23"/>
      <c r="AL72" s="23"/>
      <c r="AM72" s="23"/>
      <c r="AN72" s="23"/>
      <c r="AO72" s="23"/>
      <c r="AP72" s="23"/>
      <c r="AQ72" s="23"/>
      <c r="AR72" s="23"/>
      <c r="AS72" s="23"/>
      <c r="AT72" s="23"/>
      <c r="AU72" s="23"/>
      <c r="AV72" s="23"/>
      <c r="AW72" s="23"/>
      <c r="AX72" s="23"/>
      <c r="AY72" s="23"/>
      <c r="AZ72" s="23"/>
      <c r="BA72" s="23"/>
      <c r="BB72" s="23"/>
      <c r="BC72" s="79"/>
      <c r="BD72" s="79"/>
      <c r="BE72" s="79"/>
      <c r="BF72" s="79"/>
      <c r="BG72" s="23"/>
      <c r="BH72" s="23"/>
      <c r="BI72" s="23"/>
      <c r="BJ72" s="23"/>
      <c r="BK72" s="23"/>
      <c r="BL72" s="23"/>
      <c r="BM72" s="23"/>
      <c r="BN72" s="23"/>
      <c r="BO72" s="23"/>
      <c r="BP72" s="23"/>
      <c r="BQ72" s="23"/>
      <c r="BR72" s="23"/>
      <c r="BS72" s="23"/>
      <c r="BT72" s="23"/>
      <c r="BU72" s="23"/>
      <c r="BV72" s="23"/>
      <c r="BW72" s="23"/>
      <c r="BX72" s="23"/>
      <c r="BY72" s="23"/>
      <c r="BZ72" s="23"/>
      <c r="CA72" s="23"/>
      <c r="CB72" s="80" t="s">
        <v>76</v>
      </c>
      <c r="CC72" s="76"/>
      <c r="CD72" s="77"/>
      <c r="CE72" s="77"/>
      <c r="CF72" s="23"/>
      <c r="CG72" s="23"/>
      <c r="CH72" s="23"/>
      <c r="CI72" s="23"/>
      <c r="CJ72" s="23"/>
      <c r="CK72" s="23"/>
      <c r="CL72" s="23"/>
      <c r="CM72" s="23"/>
      <c r="CN72" s="23"/>
      <c r="CO72" s="23"/>
      <c r="CP72" s="23"/>
      <c r="CQ72" s="23"/>
      <c r="CR72" s="23"/>
      <c r="CS72" s="23"/>
      <c r="CT72" s="23"/>
      <c r="CU72" s="23"/>
      <c r="CV72" s="23"/>
      <c r="CW72" s="23"/>
      <c r="CX72" s="23"/>
      <c r="CY72" s="23"/>
      <c r="CZ72" s="23"/>
      <c r="DA72" s="80" t="s">
        <v>76</v>
      </c>
      <c r="DB72" s="76"/>
      <c r="DC72" s="77"/>
      <c r="DD72" s="77"/>
      <c r="DE72" s="23"/>
      <c r="DF72" s="23"/>
      <c r="DG72" s="23"/>
      <c r="DH72" s="23"/>
      <c r="DI72" s="23"/>
      <c r="DJ72" s="23"/>
      <c r="DK72" s="23"/>
      <c r="DL72" s="23"/>
      <c r="DM72" s="23"/>
      <c r="DN72" s="23"/>
      <c r="DO72" s="23"/>
      <c r="DP72" s="23"/>
      <c r="DQ72" s="23"/>
      <c r="DR72" s="23"/>
      <c r="DS72" s="23"/>
      <c r="DT72" s="23"/>
      <c r="DU72" s="23"/>
      <c r="DV72" s="23"/>
      <c r="DW72" s="23"/>
      <c r="DX72" s="23"/>
      <c r="DY72" s="23"/>
      <c r="DZ72" s="80" t="s">
        <v>76</v>
      </c>
      <c r="EA72" s="76"/>
      <c r="EB72" s="77"/>
      <c r="EC72" s="77"/>
      <c r="ED72" s="23"/>
      <c r="EE72" s="23"/>
      <c r="EF72" s="23"/>
      <c r="EG72" s="23"/>
      <c r="EH72" s="23"/>
      <c r="EI72" s="23"/>
      <c r="EJ72" s="23"/>
      <c r="EK72" s="23"/>
      <c r="EL72" s="23"/>
      <c r="EM72" s="23"/>
      <c r="EN72" s="23"/>
      <c r="EO72" s="23"/>
      <c r="EP72" s="23"/>
      <c r="EQ72" s="23"/>
      <c r="ER72" s="23"/>
      <c r="ES72" s="23"/>
      <c r="ET72" s="23"/>
      <c r="EU72" s="23"/>
      <c r="EV72" s="23"/>
      <c r="EW72" s="23"/>
      <c r="EX72" s="23"/>
      <c r="EY72" s="80" t="s">
        <v>76</v>
      </c>
      <c r="EZ72" s="76"/>
      <c r="FA72" s="77"/>
      <c r="FB72" s="77"/>
      <c r="FC72" s="23"/>
      <c r="FD72" s="23"/>
      <c r="FE72" s="23"/>
      <c r="FF72" s="23"/>
      <c r="FG72" s="23"/>
      <c r="FH72" s="23"/>
      <c r="FI72" s="23"/>
      <c r="FJ72" s="23"/>
      <c r="FK72" s="23"/>
      <c r="FL72" s="23"/>
      <c r="FM72" s="23"/>
      <c r="FN72" s="23"/>
      <c r="FO72" s="23"/>
      <c r="FP72" s="23"/>
      <c r="FQ72" s="23"/>
      <c r="FR72" s="23"/>
      <c r="FS72" s="23"/>
    </row>
    <row r="73" spans="1:175" ht="14.5" customHeight="1" x14ac:dyDescent="0.35">
      <c r="A73" s="23"/>
      <c r="B73" s="23"/>
      <c r="C73" s="23"/>
      <c r="D73" s="23"/>
      <c r="E73" s="94"/>
      <c r="F73" s="109"/>
      <c r="G73" s="121"/>
      <c r="H73" s="121"/>
      <c r="I73" s="23"/>
      <c r="J73" s="23"/>
      <c r="K73" s="23"/>
      <c r="L73" s="23"/>
      <c r="M73" s="23"/>
      <c r="N73" s="23"/>
      <c r="O73" s="23"/>
      <c r="P73" s="23"/>
      <c r="Q73" s="23"/>
      <c r="R73" s="23"/>
      <c r="S73" s="23"/>
      <c r="T73" s="23"/>
      <c r="U73" s="23"/>
      <c r="V73" s="23"/>
      <c r="W73" s="23"/>
      <c r="X73" s="23"/>
      <c r="Y73" s="23"/>
      <c r="Z73" s="23"/>
      <c r="AA73" s="23"/>
      <c r="AB73" s="23"/>
      <c r="AC73" s="23"/>
      <c r="AD73" s="39"/>
      <c r="AE73" s="39"/>
      <c r="AF73" s="39"/>
      <c r="AG73" s="39"/>
      <c r="AH73" s="23"/>
      <c r="AI73" s="23"/>
      <c r="AJ73" s="23"/>
      <c r="AK73" s="23"/>
      <c r="AL73" s="23"/>
      <c r="AM73" s="23"/>
      <c r="AN73" s="23"/>
      <c r="AO73" s="23"/>
      <c r="AP73" s="23"/>
      <c r="AQ73" s="23"/>
      <c r="AR73" s="23"/>
      <c r="AS73" s="23"/>
      <c r="AT73" s="23"/>
      <c r="AU73" s="23"/>
      <c r="AV73" s="23"/>
      <c r="AW73" s="23"/>
      <c r="AX73" s="23"/>
      <c r="AY73" s="23"/>
      <c r="AZ73" s="23"/>
      <c r="BA73" s="23"/>
      <c r="BB73" s="23"/>
      <c r="BC73" s="79"/>
      <c r="BD73" s="79"/>
      <c r="BE73" s="79"/>
      <c r="BF73" s="79"/>
      <c r="BG73" s="23"/>
      <c r="BH73" s="23"/>
      <c r="BI73" s="23"/>
      <c r="BJ73" s="23"/>
      <c r="BK73" s="23"/>
      <c r="BL73" s="23"/>
      <c r="BM73" s="23"/>
      <c r="BN73" s="23"/>
      <c r="BO73" s="23"/>
      <c r="BP73" s="23"/>
      <c r="BQ73" s="23"/>
      <c r="BR73" s="23"/>
      <c r="BS73" s="23"/>
      <c r="BT73" s="23"/>
      <c r="BU73" s="23"/>
      <c r="BV73" s="23"/>
      <c r="BW73" s="23"/>
      <c r="BX73" s="23"/>
      <c r="BY73" s="23"/>
      <c r="BZ73" s="23"/>
      <c r="CA73" s="23"/>
      <c r="CB73" s="80"/>
      <c r="CC73" s="78"/>
      <c r="CD73" s="79"/>
      <c r="CE73" s="79"/>
      <c r="CF73" s="23"/>
      <c r="CG73" s="23"/>
      <c r="CH73" s="23"/>
      <c r="CI73" s="23"/>
      <c r="CJ73" s="23"/>
      <c r="CK73" s="23"/>
      <c r="CL73" s="23"/>
      <c r="CM73" s="23"/>
      <c r="CN73" s="23"/>
      <c r="CO73" s="23"/>
      <c r="CP73" s="23"/>
      <c r="CQ73" s="23"/>
      <c r="CR73" s="23"/>
      <c r="CS73" s="23"/>
      <c r="CT73" s="23"/>
      <c r="CU73" s="23"/>
      <c r="CV73" s="23"/>
      <c r="CW73" s="23"/>
      <c r="CX73" s="23"/>
      <c r="CY73" s="23"/>
      <c r="CZ73" s="23"/>
      <c r="DA73" s="80"/>
      <c r="DB73" s="78"/>
      <c r="DC73" s="79"/>
      <c r="DD73" s="79"/>
      <c r="DE73" s="23"/>
      <c r="DF73" s="23"/>
      <c r="DG73" s="23"/>
      <c r="DH73" s="23"/>
      <c r="DI73" s="23"/>
      <c r="DJ73" s="23"/>
      <c r="DK73" s="23"/>
      <c r="DL73" s="23"/>
      <c r="DM73" s="23"/>
      <c r="DN73" s="23"/>
      <c r="DO73" s="23"/>
      <c r="DP73" s="23"/>
      <c r="DQ73" s="23"/>
      <c r="DR73" s="23"/>
      <c r="DS73" s="23"/>
      <c r="DT73" s="23"/>
      <c r="DU73" s="23"/>
      <c r="DV73" s="23"/>
      <c r="DW73" s="23"/>
      <c r="DX73" s="23"/>
      <c r="DY73" s="23"/>
      <c r="DZ73" s="80"/>
      <c r="EA73" s="78"/>
      <c r="EB73" s="79"/>
      <c r="EC73" s="79"/>
      <c r="ED73" s="23"/>
      <c r="EE73" s="23"/>
      <c r="EF73" s="23"/>
      <c r="EG73" s="23"/>
      <c r="EH73" s="23"/>
      <c r="EI73" s="23"/>
      <c r="EJ73" s="23"/>
      <c r="EK73" s="23"/>
      <c r="EL73" s="23"/>
      <c r="EM73" s="23"/>
      <c r="EN73" s="23"/>
      <c r="EO73" s="23"/>
      <c r="EP73" s="23"/>
      <c r="EQ73" s="23"/>
      <c r="ER73" s="23"/>
      <c r="ES73" s="23"/>
      <c r="ET73" s="23"/>
      <c r="EU73" s="23"/>
      <c r="EV73" s="23"/>
      <c r="EW73" s="23"/>
      <c r="EX73" s="23"/>
      <c r="EY73" s="80"/>
      <c r="EZ73" s="78"/>
      <c r="FA73" s="79"/>
      <c r="FB73" s="79"/>
      <c r="FC73" s="23"/>
      <c r="FD73" s="23"/>
      <c r="FE73" s="23"/>
      <c r="FF73" s="23"/>
      <c r="FG73" s="23"/>
      <c r="FH73" s="23"/>
      <c r="FI73" s="23"/>
      <c r="FJ73" s="23"/>
      <c r="FK73" s="23"/>
      <c r="FL73" s="23"/>
      <c r="FM73" s="23"/>
      <c r="FN73" s="23"/>
      <c r="FO73" s="23"/>
      <c r="FP73" s="23"/>
      <c r="FQ73" s="23"/>
      <c r="FR73" s="23"/>
      <c r="FS73" s="23"/>
    </row>
    <row r="74" spans="1:175" ht="14.5" customHeight="1" x14ac:dyDescent="0.35">
      <c r="A74" s="23"/>
      <c r="B74" s="23"/>
      <c r="C74" s="23"/>
      <c r="D74" s="23"/>
      <c r="E74" s="94"/>
      <c r="F74" s="109"/>
      <c r="G74" s="121"/>
      <c r="H74" s="121"/>
      <c r="I74" s="23"/>
      <c r="J74" s="23"/>
      <c r="K74" s="23"/>
      <c r="L74" s="23"/>
      <c r="M74" s="23"/>
      <c r="N74" s="23"/>
      <c r="O74" s="23"/>
      <c r="P74" s="23"/>
      <c r="Q74" s="23"/>
      <c r="R74" s="23"/>
      <c r="S74" s="23"/>
      <c r="T74" s="23"/>
      <c r="U74" s="23"/>
      <c r="V74" s="23"/>
      <c r="W74" s="23"/>
      <c r="X74" s="23"/>
      <c r="Y74" s="23"/>
      <c r="Z74" s="23"/>
      <c r="AA74" s="23"/>
      <c r="AB74" s="23"/>
      <c r="AC74" s="23"/>
      <c r="AD74" s="39"/>
      <c r="AE74" s="39"/>
      <c r="AF74" s="39"/>
      <c r="AG74" s="39"/>
      <c r="AH74" s="23"/>
      <c r="AI74" s="23"/>
      <c r="AJ74" s="23"/>
      <c r="AK74" s="23"/>
      <c r="AL74" s="23"/>
      <c r="AM74" s="23"/>
      <c r="AN74" s="23"/>
      <c r="AO74" s="23"/>
      <c r="AP74" s="23"/>
      <c r="AQ74" s="23"/>
      <c r="AR74" s="23"/>
      <c r="AS74" s="23"/>
      <c r="AT74" s="23"/>
      <c r="AU74" s="23"/>
      <c r="AV74" s="23"/>
      <c r="AW74" s="23"/>
      <c r="AX74" s="23"/>
      <c r="AY74" s="23"/>
      <c r="AZ74" s="23"/>
      <c r="BA74" s="23"/>
      <c r="BB74" s="23"/>
      <c r="BC74" s="79"/>
      <c r="BD74" s="79"/>
      <c r="BE74" s="79"/>
      <c r="BF74" s="79"/>
      <c r="BG74" s="23"/>
      <c r="BH74" s="23"/>
      <c r="BI74" s="23"/>
      <c r="BJ74" s="23"/>
      <c r="BK74" s="23"/>
      <c r="BL74" s="23"/>
      <c r="BM74" s="23"/>
      <c r="BN74" s="23"/>
      <c r="BO74" s="23"/>
      <c r="BP74" s="23"/>
      <c r="BQ74" s="23"/>
      <c r="BR74" s="23"/>
      <c r="BS74" s="23"/>
      <c r="BT74" s="23"/>
      <c r="BU74" s="23"/>
      <c r="BV74" s="23"/>
      <c r="BW74" s="23"/>
      <c r="BX74" s="23"/>
      <c r="BY74" s="23"/>
      <c r="BZ74" s="23"/>
      <c r="CA74" s="23"/>
      <c r="CB74" s="80"/>
      <c r="CC74" s="78"/>
      <c r="CD74" s="79"/>
      <c r="CE74" s="79"/>
      <c r="CF74" s="23"/>
      <c r="CG74" s="23"/>
      <c r="CH74" s="23"/>
      <c r="CI74" s="23"/>
      <c r="CJ74" s="23"/>
      <c r="CK74" s="23"/>
      <c r="CL74" s="23"/>
      <c r="CM74" s="23"/>
      <c r="CN74" s="23"/>
      <c r="CO74" s="23"/>
      <c r="CP74" s="23"/>
      <c r="CQ74" s="23"/>
      <c r="CR74" s="23"/>
      <c r="CS74" s="23"/>
      <c r="CT74" s="23"/>
      <c r="CU74" s="23"/>
      <c r="CV74" s="23"/>
      <c r="CW74" s="23"/>
      <c r="CX74" s="23"/>
      <c r="CY74" s="23"/>
      <c r="CZ74" s="23"/>
      <c r="DA74" s="80"/>
      <c r="DB74" s="78"/>
      <c r="DC74" s="79"/>
      <c r="DD74" s="79"/>
      <c r="DE74" s="23"/>
      <c r="DF74" s="23"/>
      <c r="DG74" s="23"/>
      <c r="DH74" s="23"/>
      <c r="DI74" s="23"/>
      <c r="DJ74" s="23"/>
      <c r="DK74" s="23"/>
      <c r="DL74" s="23"/>
      <c r="DM74" s="23"/>
      <c r="DN74" s="23"/>
      <c r="DO74" s="23"/>
      <c r="DP74" s="23"/>
      <c r="DQ74" s="23"/>
      <c r="DR74" s="23"/>
      <c r="DS74" s="23"/>
      <c r="DT74" s="23"/>
      <c r="DU74" s="23"/>
      <c r="DV74" s="23"/>
      <c r="DW74" s="23"/>
      <c r="DX74" s="23"/>
      <c r="DY74" s="23"/>
      <c r="DZ74" s="80"/>
      <c r="EA74" s="78"/>
      <c r="EB74" s="79"/>
      <c r="EC74" s="79"/>
      <c r="ED74" s="23"/>
      <c r="EE74" s="23"/>
      <c r="EF74" s="23"/>
      <c r="EG74" s="23"/>
      <c r="EH74" s="23"/>
      <c r="EI74" s="23"/>
      <c r="EJ74" s="23"/>
      <c r="EK74" s="23"/>
      <c r="EL74" s="23"/>
      <c r="EM74" s="23"/>
      <c r="EN74" s="23"/>
      <c r="EO74" s="23"/>
      <c r="EP74" s="23"/>
      <c r="EQ74" s="23"/>
      <c r="ER74" s="23"/>
      <c r="ES74" s="23"/>
      <c r="ET74" s="23"/>
      <c r="EU74" s="23"/>
      <c r="EV74" s="23"/>
      <c r="EW74" s="23"/>
      <c r="EX74" s="23"/>
      <c r="EY74" s="80"/>
      <c r="EZ74" s="78"/>
      <c r="FA74" s="79"/>
      <c r="FB74" s="79"/>
      <c r="FC74" s="23"/>
      <c r="FD74" s="23"/>
      <c r="FE74" s="23"/>
      <c r="FF74" s="23"/>
      <c r="FG74" s="23"/>
      <c r="FH74" s="23"/>
      <c r="FI74" s="23"/>
      <c r="FJ74" s="23"/>
      <c r="FK74" s="23"/>
      <c r="FL74" s="23"/>
      <c r="FM74" s="23"/>
      <c r="FN74" s="23"/>
      <c r="FO74" s="23"/>
      <c r="FP74" s="23"/>
      <c r="FQ74" s="23"/>
      <c r="FR74" s="23"/>
      <c r="FS74" s="23"/>
    </row>
    <row r="75" spans="1:175" ht="15" customHeight="1" thickBot="1" x14ac:dyDescent="0.4">
      <c r="A75" s="23"/>
      <c r="B75" s="23"/>
      <c r="C75" s="23"/>
      <c r="D75" s="23"/>
      <c r="E75" s="95"/>
      <c r="F75" s="109"/>
      <c r="G75" s="121"/>
      <c r="H75" s="121"/>
      <c r="I75" s="23"/>
      <c r="J75" s="23"/>
      <c r="K75" s="23"/>
      <c r="L75" s="23"/>
      <c r="M75" s="23"/>
      <c r="N75" s="23"/>
      <c r="O75" s="23"/>
      <c r="P75" s="23"/>
      <c r="Q75" s="23"/>
      <c r="R75" s="23"/>
      <c r="S75" s="23"/>
      <c r="T75" s="23"/>
      <c r="U75" s="23"/>
      <c r="V75" s="23"/>
      <c r="W75" s="23"/>
      <c r="X75" s="23"/>
      <c r="Y75" s="23"/>
      <c r="Z75" s="23"/>
      <c r="AA75" s="23"/>
      <c r="AB75" s="23"/>
      <c r="AC75" s="23"/>
      <c r="AD75" s="39"/>
      <c r="AE75" s="39"/>
      <c r="AF75" s="39"/>
      <c r="AG75" s="39" t="s">
        <v>77</v>
      </c>
      <c r="AH75" s="23"/>
      <c r="AI75" s="23"/>
      <c r="AJ75" s="23"/>
      <c r="AK75" s="23"/>
      <c r="AL75" s="23"/>
      <c r="AM75" s="23"/>
      <c r="AN75" s="23"/>
      <c r="AO75" s="23"/>
      <c r="AP75" s="23"/>
      <c r="AQ75" s="23"/>
      <c r="AR75" s="23"/>
      <c r="AS75" s="23"/>
      <c r="AT75" s="23"/>
      <c r="AU75" s="23"/>
      <c r="AV75" s="23"/>
      <c r="AW75" s="23"/>
      <c r="AX75" s="23"/>
      <c r="AY75" s="23"/>
      <c r="AZ75" s="23"/>
      <c r="BA75" s="23"/>
      <c r="BB75" s="23"/>
      <c r="BC75" s="79"/>
      <c r="BD75" s="79"/>
      <c r="BE75" s="79"/>
      <c r="BF75" s="79"/>
      <c r="BG75" s="23"/>
      <c r="BH75" s="23"/>
      <c r="BI75" s="23"/>
      <c r="BJ75" s="23"/>
      <c r="BK75" s="23"/>
      <c r="BL75" s="23"/>
      <c r="BM75" s="23"/>
      <c r="BN75" s="23"/>
      <c r="BO75" s="23"/>
      <c r="BP75" s="23"/>
      <c r="BQ75" s="23"/>
      <c r="BR75" s="23"/>
      <c r="BS75" s="23"/>
      <c r="BT75" s="23"/>
      <c r="BU75" s="23"/>
      <c r="BV75" s="23"/>
      <c r="BW75" s="23"/>
      <c r="BX75" s="23"/>
      <c r="BY75" s="23"/>
      <c r="BZ75" s="23"/>
      <c r="CA75" s="23"/>
      <c r="CB75" s="81"/>
      <c r="CC75" s="78"/>
      <c r="CD75" s="79"/>
      <c r="CE75" s="79"/>
      <c r="CF75" s="23"/>
      <c r="CG75" s="23"/>
      <c r="CH75" s="23"/>
      <c r="CI75" s="23"/>
      <c r="CJ75" s="23"/>
      <c r="CK75" s="23"/>
      <c r="CL75" s="23"/>
      <c r="CM75" s="23"/>
      <c r="CN75" s="23"/>
      <c r="CO75" s="23"/>
      <c r="CP75" s="23"/>
      <c r="CQ75" s="23"/>
      <c r="CR75" s="23"/>
      <c r="CS75" s="23"/>
      <c r="CT75" s="23"/>
      <c r="CU75" s="23"/>
      <c r="CV75" s="23"/>
      <c r="CW75" s="23"/>
      <c r="CX75" s="23"/>
      <c r="CY75" s="23"/>
      <c r="CZ75" s="23"/>
      <c r="DA75" s="81"/>
      <c r="DB75" s="78"/>
      <c r="DC75" s="79"/>
      <c r="DD75" s="79"/>
      <c r="DE75" s="23"/>
      <c r="DF75" s="23"/>
      <c r="DG75" s="23"/>
      <c r="DH75" s="23"/>
      <c r="DI75" s="23"/>
      <c r="DJ75" s="23"/>
      <c r="DK75" s="23"/>
      <c r="DL75" s="23"/>
      <c r="DM75" s="23"/>
      <c r="DN75" s="23"/>
      <c r="DO75" s="23"/>
      <c r="DP75" s="23"/>
      <c r="DQ75" s="23"/>
      <c r="DR75" s="23"/>
      <c r="DS75" s="23"/>
      <c r="DT75" s="23"/>
      <c r="DU75" s="23"/>
      <c r="DV75" s="23"/>
      <c r="DW75" s="23"/>
      <c r="DX75" s="23"/>
      <c r="DY75" s="23"/>
      <c r="DZ75" s="81"/>
      <c r="EA75" s="78"/>
      <c r="EB75" s="79"/>
      <c r="EC75" s="79"/>
      <c r="ED75" s="23"/>
      <c r="EE75" s="23"/>
      <c r="EF75" s="23"/>
      <c r="EG75" s="23"/>
      <c r="EH75" s="23"/>
      <c r="EI75" s="23"/>
      <c r="EJ75" s="23"/>
      <c r="EK75" s="23"/>
      <c r="EL75" s="23"/>
      <c r="EM75" s="23"/>
      <c r="EN75" s="23"/>
      <c r="EO75" s="23"/>
      <c r="EP75" s="23"/>
      <c r="EQ75" s="23"/>
      <c r="ER75" s="23"/>
      <c r="ES75" s="23"/>
      <c r="ET75" s="23"/>
      <c r="EU75" s="23"/>
      <c r="EV75" s="23"/>
      <c r="EW75" s="23"/>
      <c r="EX75" s="23"/>
      <c r="EY75" s="81"/>
      <c r="EZ75" s="78"/>
      <c r="FA75" s="79"/>
      <c r="FB75" s="79"/>
      <c r="FC75" s="23"/>
      <c r="FD75" s="23"/>
      <c r="FE75" s="23"/>
      <c r="FF75" s="23"/>
      <c r="FG75" s="23"/>
      <c r="FH75" s="23"/>
      <c r="FI75" s="23"/>
      <c r="FJ75" s="23"/>
      <c r="FK75" s="23"/>
      <c r="FL75" s="23"/>
      <c r="FM75" s="23"/>
      <c r="FN75" s="23"/>
      <c r="FO75" s="23"/>
      <c r="FP75" s="23"/>
      <c r="FQ75" s="23"/>
      <c r="FR75" s="23"/>
      <c r="FS75" s="23"/>
    </row>
    <row r="76" spans="1:175" x14ac:dyDescent="0.3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row>
    <row r="77" spans="1:175" x14ac:dyDescent="0.3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23"/>
      <c r="FG77" s="23"/>
      <c r="FH77" s="23"/>
      <c r="FI77" s="23"/>
      <c r="FJ77" s="23"/>
      <c r="FK77" s="23"/>
      <c r="FL77" s="23"/>
      <c r="FM77" s="23"/>
      <c r="FN77" s="23"/>
      <c r="FO77" s="23"/>
      <c r="FP77" s="23"/>
      <c r="FQ77" s="23"/>
      <c r="FR77" s="23"/>
      <c r="FS77" s="23"/>
    </row>
    <row r="78" spans="1:175" x14ac:dyDescent="0.3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row>
  </sheetData>
  <mergeCells count="250">
    <mergeCell ref="DB72:DD75"/>
    <mergeCell ref="DZ72:DZ75"/>
    <mergeCell ref="EA72:EC75"/>
    <mergeCell ref="EY72:EY75"/>
    <mergeCell ref="EZ72:FB75"/>
    <mergeCell ref="BC72:BC75"/>
    <mergeCell ref="BD72:BF75"/>
    <mergeCell ref="CB72:CB75"/>
    <mergeCell ref="CC72:CE75"/>
    <mergeCell ref="DA72:DA75"/>
    <mergeCell ref="DB68:DD71"/>
    <mergeCell ref="DZ68:DZ71"/>
    <mergeCell ref="EA68:EC71"/>
    <mergeCell ref="EY68:EY71"/>
    <mergeCell ref="EZ68:FB71"/>
    <mergeCell ref="BC68:BC71"/>
    <mergeCell ref="BD68:BF71"/>
    <mergeCell ref="CB68:CB71"/>
    <mergeCell ref="CC68:CE71"/>
    <mergeCell ref="DA68:DA71"/>
    <mergeCell ref="DB64:DD67"/>
    <mergeCell ref="DZ64:DZ67"/>
    <mergeCell ref="EA64:EC67"/>
    <mergeCell ref="EY64:EY67"/>
    <mergeCell ref="EZ64:FB67"/>
    <mergeCell ref="BC64:BC67"/>
    <mergeCell ref="BD64:BF67"/>
    <mergeCell ref="CB64:CB67"/>
    <mergeCell ref="CC64:CE67"/>
    <mergeCell ref="DA64:DA67"/>
    <mergeCell ref="EY56:EY59"/>
    <mergeCell ref="EZ56:FB59"/>
    <mergeCell ref="BC56:BC59"/>
    <mergeCell ref="BD56:BF59"/>
    <mergeCell ref="CB56:CB59"/>
    <mergeCell ref="CC56:CE59"/>
    <mergeCell ref="DA56:DA59"/>
    <mergeCell ref="DB60:DD63"/>
    <mergeCell ref="DZ60:DZ63"/>
    <mergeCell ref="EA60:EC63"/>
    <mergeCell ref="EY60:EY63"/>
    <mergeCell ref="EZ60:FB63"/>
    <mergeCell ref="BC60:BC63"/>
    <mergeCell ref="BD60:BF63"/>
    <mergeCell ref="CB60:CB63"/>
    <mergeCell ref="CC60:CE63"/>
    <mergeCell ref="DA60:DA63"/>
    <mergeCell ref="DB52:DD55"/>
    <mergeCell ref="DZ52:DZ55"/>
    <mergeCell ref="EA52:EC55"/>
    <mergeCell ref="BC52:BC55"/>
    <mergeCell ref="BD52:BF55"/>
    <mergeCell ref="CB52:CB55"/>
    <mergeCell ref="CC52:CE55"/>
    <mergeCell ref="DA52:DA55"/>
    <mergeCell ref="DB56:DD59"/>
    <mergeCell ref="DZ56:DZ59"/>
    <mergeCell ref="EA56:EC59"/>
    <mergeCell ref="BC50:BF51"/>
    <mergeCell ref="CB50:CE51"/>
    <mergeCell ref="DA50:DD51"/>
    <mergeCell ref="DZ50:EC51"/>
    <mergeCell ref="DY39:DY42"/>
    <mergeCell ref="DZ39:DZ42"/>
    <mergeCell ref="EA39:EA42"/>
    <mergeCell ref="EW39:EW42"/>
    <mergeCell ref="EX39:EX42"/>
    <mergeCell ref="CY39:CY42"/>
    <mergeCell ref="CZ39:CZ42"/>
    <mergeCell ref="DA39:DA42"/>
    <mergeCell ref="DB39:DB42"/>
    <mergeCell ref="DX39:DX42"/>
    <mergeCell ref="EZ35:EZ38"/>
    <mergeCell ref="AB39:AB42"/>
    <mergeCell ref="AC39:AC42"/>
    <mergeCell ref="AD39:AD42"/>
    <mergeCell ref="AE39:AE42"/>
    <mergeCell ref="BA39:BA42"/>
    <mergeCell ref="BB39:BB42"/>
    <mergeCell ref="BC39:BC42"/>
    <mergeCell ref="BD39:BD42"/>
    <mergeCell ref="BZ39:BZ42"/>
    <mergeCell ref="CA39:CA42"/>
    <mergeCell ref="CB39:CB42"/>
    <mergeCell ref="CC39:CC42"/>
    <mergeCell ref="DB35:DB38"/>
    <mergeCell ref="DX35:DX38"/>
    <mergeCell ref="DY35:DY38"/>
    <mergeCell ref="DZ35:DZ38"/>
    <mergeCell ref="EA35:EA38"/>
    <mergeCell ref="EY39:EY42"/>
    <mergeCell ref="EZ39:EZ42"/>
    <mergeCell ref="EW33:EZ34"/>
    <mergeCell ref="AB35:AB38"/>
    <mergeCell ref="AC35:AC38"/>
    <mergeCell ref="AD35:AD38"/>
    <mergeCell ref="AE35:AE38"/>
    <mergeCell ref="BA35:BA38"/>
    <mergeCell ref="BB35:BB38"/>
    <mergeCell ref="BC35:BC38"/>
    <mergeCell ref="BD35:BD38"/>
    <mergeCell ref="BZ35:BZ38"/>
    <mergeCell ref="CA35:CA38"/>
    <mergeCell ref="CB35:CB38"/>
    <mergeCell ref="CC35:CC38"/>
    <mergeCell ref="CY35:CY38"/>
    <mergeCell ref="CZ35:CZ38"/>
    <mergeCell ref="DA35:DA38"/>
    <mergeCell ref="AB33:AE34"/>
    <mergeCell ref="BA33:BD34"/>
    <mergeCell ref="BZ33:CC34"/>
    <mergeCell ref="CY33:DB34"/>
    <mergeCell ref="DX33:EA34"/>
    <mergeCell ref="EW35:EW38"/>
    <mergeCell ref="EX35:EX38"/>
    <mergeCell ref="EY35:EY38"/>
    <mergeCell ref="EU19:EV22"/>
    <mergeCell ref="EW19:EW22"/>
    <mergeCell ref="EX19:EY22"/>
    <mergeCell ref="EZ19:EZ22"/>
    <mergeCell ref="CZ19:DA22"/>
    <mergeCell ref="DB19:DB22"/>
    <mergeCell ref="DV19:DW22"/>
    <mergeCell ref="DX19:DX22"/>
    <mergeCell ref="DY19:DZ22"/>
    <mergeCell ref="EZ15:EZ18"/>
    <mergeCell ref="Z19:AA22"/>
    <mergeCell ref="AB19:AB22"/>
    <mergeCell ref="AC19:AD22"/>
    <mergeCell ref="AE19:AE22"/>
    <mergeCell ref="AY19:AZ22"/>
    <mergeCell ref="BA19:BA22"/>
    <mergeCell ref="BB19:BC22"/>
    <mergeCell ref="BD19:BD22"/>
    <mergeCell ref="BX19:BY22"/>
    <mergeCell ref="BZ19:BZ22"/>
    <mergeCell ref="CA19:CB22"/>
    <mergeCell ref="CC19:CC22"/>
    <mergeCell ref="CW19:CX22"/>
    <mergeCell ref="CY19:CY22"/>
    <mergeCell ref="DX15:DX18"/>
    <mergeCell ref="DY15:DZ18"/>
    <mergeCell ref="EA15:EA18"/>
    <mergeCell ref="EU15:EV18"/>
    <mergeCell ref="EW15:EW18"/>
    <mergeCell ref="CW15:CX18"/>
    <mergeCell ref="CY15:CY18"/>
    <mergeCell ref="CZ15:DA18"/>
    <mergeCell ref="EA19:EA22"/>
    <mergeCell ref="DB15:DB18"/>
    <mergeCell ref="DV15:DW18"/>
    <mergeCell ref="EU11:EV14"/>
    <mergeCell ref="EW11:EW14"/>
    <mergeCell ref="EX11:EY14"/>
    <mergeCell ref="EZ11:EZ14"/>
    <mergeCell ref="Z15:AA18"/>
    <mergeCell ref="AB15:AB18"/>
    <mergeCell ref="AC15:AD18"/>
    <mergeCell ref="AE15:AE18"/>
    <mergeCell ref="AY15:AZ18"/>
    <mergeCell ref="BA15:BA18"/>
    <mergeCell ref="BB15:BC18"/>
    <mergeCell ref="BD15:BD18"/>
    <mergeCell ref="BX15:BY18"/>
    <mergeCell ref="BZ15:BZ18"/>
    <mergeCell ref="CA15:CB18"/>
    <mergeCell ref="CC15:CC18"/>
    <mergeCell ref="DB11:DB14"/>
    <mergeCell ref="DV11:DW14"/>
    <mergeCell ref="DX11:DX14"/>
    <mergeCell ref="DY11:DZ14"/>
    <mergeCell ref="EA11:EA14"/>
    <mergeCell ref="EX15:EY18"/>
    <mergeCell ref="FC9:FL10"/>
    <mergeCell ref="Z11:AA14"/>
    <mergeCell ref="AB11:AB14"/>
    <mergeCell ref="AC11:AD14"/>
    <mergeCell ref="AE11:AE14"/>
    <mergeCell ref="AY11:AZ14"/>
    <mergeCell ref="BA11:BA14"/>
    <mergeCell ref="BB11:BC14"/>
    <mergeCell ref="BD11:BD14"/>
    <mergeCell ref="BX11:BY14"/>
    <mergeCell ref="BZ11:BZ14"/>
    <mergeCell ref="CA11:CB14"/>
    <mergeCell ref="CC11:CC14"/>
    <mergeCell ref="CW11:CX14"/>
    <mergeCell ref="CY11:CY14"/>
    <mergeCell ref="CZ11:DA14"/>
    <mergeCell ref="EV3:EW4"/>
    <mergeCell ref="EX3:EX4"/>
    <mergeCell ref="Z9:AE10"/>
    <mergeCell ref="AH9:AQ10"/>
    <mergeCell ref="AY9:BD10"/>
    <mergeCell ref="BG9:BP10"/>
    <mergeCell ref="BX9:CC10"/>
    <mergeCell ref="CF9:CO10"/>
    <mergeCell ref="CW9:DB10"/>
    <mergeCell ref="DE9:DN10"/>
    <mergeCell ref="DV9:EA10"/>
    <mergeCell ref="ED9:EM10"/>
    <mergeCell ref="EU9:EZ10"/>
    <mergeCell ref="CA3:CA4"/>
    <mergeCell ref="CX3:CY4"/>
    <mergeCell ref="CZ3:CZ4"/>
    <mergeCell ref="DW3:DX4"/>
    <mergeCell ref="DY3:DY4"/>
    <mergeCell ref="AA3:AB4"/>
    <mergeCell ref="AC3:AC4"/>
    <mergeCell ref="AZ3:BA4"/>
    <mergeCell ref="BB3:BB4"/>
    <mergeCell ref="BY3:BZ4"/>
    <mergeCell ref="E68:E71"/>
    <mergeCell ref="F68:H71"/>
    <mergeCell ref="E72:E75"/>
    <mergeCell ref="F72:H75"/>
    <mergeCell ref="E60:E63"/>
    <mergeCell ref="F60:H63"/>
    <mergeCell ref="C33:F34"/>
    <mergeCell ref="C35:C38"/>
    <mergeCell ref="D35:D38"/>
    <mergeCell ref="E35:E38"/>
    <mergeCell ref="F35:F38"/>
    <mergeCell ref="C39:C42"/>
    <mergeCell ref="D39:D42"/>
    <mergeCell ref="E39:E42"/>
    <mergeCell ref="F39:F42"/>
    <mergeCell ref="E50:H51"/>
    <mergeCell ref="E52:E55"/>
    <mergeCell ref="F52:H55"/>
    <mergeCell ref="E56:E59"/>
    <mergeCell ref="F56:H59"/>
    <mergeCell ref="A19:B22"/>
    <mergeCell ref="C19:C22"/>
    <mergeCell ref="D19:E22"/>
    <mergeCell ref="F19:F22"/>
    <mergeCell ref="B3:C4"/>
    <mergeCell ref="D3:D4"/>
    <mergeCell ref="A9:F10"/>
    <mergeCell ref="E64:E67"/>
    <mergeCell ref="F64:H67"/>
    <mergeCell ref="I9:R10"/>
    <mergeCell ref="A11:B14"/>
    <mergeCell ref="C11:C14"/>
    <mergeCell ref="D11:E14"/>
    <mergeCell ref="F11:F14"/>
    <mergeCell ref="A15:B18"/>
    <mergeCell ref="C15:C18"/>
    <mergeCell ref="D15:E18"/>
    <mergeCell ref="F15:F18"/>
  </mergeCells>
  <conditionalFormatting sqref="F39:F42">
    <cfRule type="containsText" dxfId="41" priority="13" operator="containsText" text="Bad shape">
      <formula>NOT(ISERROR(SEARCH("Bad shape",F39)))</formula>
    </cfRule>
    <cfRule type="containsText" dxfId="40" priority="14" operator="containsText" text="Fit shape">
      <formula>NOT(ISERROR(SEARCH("Fit shape",F39)))</formula>
    </cfRule>
  </conditionalFormatting>
  <conditionalFormatting sqref="AE39:AE42">
    <cfRule type="containsText" dxfId="39" priority="11" operator="containsText" text="Bad shape">
      <formula>NOT(ISERROR(SEARCH("Bad shape",AE39)))</formula>
    </cfRule>
    <cfRule type="containsText" dxfId="38" priority="12" operator="containsText" text="Fit shape">
      <formula>NOT(ISERROR(SEARCH("Fit shape",AE39)))</formula>
    </cfRule>
  </conditionalFormatting>
  <conditionalFormatting sqref="BD39:BD42">
    <cfRule type="containsText" dxfId="37" priority="9" operator="containsText" text="Bad shape">
      <formula>NOT(ISERROR(SEARCH("Bad shape",BD39)))</formula>
    </cfRule>
    <cfRule type="containsText" dxfId="36" priority="10" operator="containsText" text="Fit shape">
      <formula>NOT(ISERROR(SEARCH("Fit shape",BD39)))</formula>
    </cfRule>
  </conditionalFormatting>
  <conditionalFormatting sqref="CC39:CC42">
    <cfRule type="containsText" dxfId="35" priority="7" operator="containsText" text="Bad shape">
      <formula>NOT(ISERROR(SEARCH("Bad shape",CC39)))</formula>
    </cfRule>
    <cfRule type="containsText" dxfId="34" priority="8" operator="containsText" text="Fit shape">
      <formula>NOT(ISERROR(SEARCH("Fit shape",CC39)))</formula>
    </cfRule>
  </conditionalFormatting>
  <conditionalFormatting sqref="DB39:DB42">
    <cfRule type="containsText" dxfId="33" priority="5" operator="containsText" text="Bad shape">
      <formula>NOT(ISERROR(SEARCH("Bad shape",DB39)))</formula>
    </cfRule>
    <cfRule type="containsText" dxfId="32" priority="6" operator="containsText" text="Fit shape">
      <formula>NOT(ISERROR(SEARCH("Fit shape",DB39)))</formula>
    </cfRule>
  </conditionalFormatting>
  <conditionalFormatting sqref="EA39:EA42">
    <cfRule type="containsText" dxfId="31" priority="3" operator="containsText" text="Bad shape">
      <formula>NOT(ISERROR(SEARCH("Bad shape",EA39)))</formula>
    </cfRule>
    <cfRule type="containsText" dxfId="30" priority="4" operator="containsText" text="Fit shape">
      <formula>NOT(ISERROR(SEARCH("Fit shape",EA39)))</formula>
    </cfRule>
  </conditionalFormatting>
  <conditionalFormatting sqref="EZ39:EZ42">
    <cfRule type="containsText" dxfId="29" priority="1" operator="containsText" text="Bad shape">
      <formula>NOT(ISERROR(SEARCH("Bad shape",EZ39)))</formula>
    </cfRule>
    <cfRule type="containsText" dxfId="28" priority="2" operator="containsText" text="Fit shape">
      <formula>NOT(ISERROR(SEARCH("Fit shape",EZ39)))</formula>
    </cfRule>
  </conditionalFormatting>
  <dataValidations count="5">
    <dataValidation type="list" allowBlank="1" showInputMessage="1" showErrorMessage="1" errorTitle="error" error="Please ensure the right breakfast" promptTitle="Hint" prompt="Select your breakfast" sqref="C11:C14 AB11:AB14 BA11:BA14 BZ11:BZ14 CY11:CY14 DX11:DX14 EW11:EW14" xr:uid="{A645BBDC-37CC-47B2-BDFE-4E90EA4D2143}">
      <formula1>BREAKFAST</formula1>
    </dataValidation>
    <dataValidation type="list" allowBlank="1" showInputMessage="1" showErrorMessage="1" errorTitle="error" error="Please ensure the right lunch" promptTitle="Hint" prompt="select your lunch" sqref="C15:C18 AB15:AB18 BA15:BA18 BZ15:BZ18 CY15:CY18 DX15:DX18 EW15:EW18" xr:uid="{5016AD5B-6D18-4E8E-B3BC-4BEAECBDECEF}">
      <formula1>LUNCH</formula1>
    </dataValidation>
    <dataValidation type="list" allowBlank="1" showInputMessage="1" showErrorMessage="1" errorTitle="Error" error="Please ensure the right dinner" promptTitle="Hint" prompt="Select your dinner" sqref="C19:C22 AB19:AB22 BA19:BA22 BZ19:BZ22 CY19:CY22 DX19:DX22 EW19:EW22" xr:uid="{2DB00C70-42A2-4C9D-80EC-8D6376245B6E}">
      <formula1>DINNER</formula1>
    </dataValidation>
    <dataValidation type="list" allowBlank="1" showInputMessage="1" showErrorMessage="1" sqref="I13:J30 AH13:AI30 BG13:BH30 CF13:CG30 DE13:DF30 ED13:EE30 FC13:FD30" xr:uid="{00283460-121D-419C-A74A-8D2923775F32}">
      <formula1>EXERCISES</formula1>
    </dataValidation>
    <dataValidation type="list" allowBlank="1" showInputMessage="1" showErrorMessage="1" errorTitle="Error" error="Please enter a number between 0 and 2" sqref="M13 M16 M19 M22 M25 M28 AL13 AL16 AL19 AL22 AL25 AL28 BK13 BK16 BK19 BK22 BK25 BK28 CJ13 CJ16 CJ19 CJ22 CJ25 CJ28 DI13 DI16 DI19 DI22 DI25 DI28 EH13 EH16 EH19 EH22 EH25 EH28 FG13 FG16 FG19 FG22 FG25 FG28" xr:uid="{75966877-1F04-4714-BD53-A2C3E68808FC}">
      <formula1>ExercisesTime</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F3B68-2105-4B6B-A348-3402EE42758C}">
  <dimension ref="A1:FS78"/>
  <sheetViews>
    <sheetView topLeftCell="E1" zoomScale="60" zoomScaleNormal="60" workbookViewId="0">
      <selection activeCell="X30" sqref="X30"/>
    </sheetView>
  </sheetViews>
  <sheetFormatPr defaultRowHeight="14.5" x14ac:dyDescent="0.35"/>
  <cols>
    <col min="3" max="3" width="32.1796875" customWidth="1"/>
    <col min="4" max="4" width="20.54296875" customWidth="1"/>
    <col min="5" max="5" width="20.1796875" customWidth="1"/>
    <col min="6" max="6" width="14.1796875" customWidth="1"/>
    <col min="10" max="10" width="19" customWidth="1"/>
    <col min="11" max="11" width="9.1796875" bestFit="1" customWidth="1"/>
    <col min="12" max="12" width="11.54296875" customWidth="1"/>
    <col min="13" max="13" width="9.1796875" bestFit="1" customWidth="1"/>
    <col min="14" max="14" width="8.81640625" customWidth="1"/>
    <col min="15" max="15" width="10.453125" bestFit="1" customWidth="1"/>
    <col min="16" max="16" width="12.453125" customWidth="1"/>
    <col min="17" max="17" width="10.453125" bestFit="1" customWidth="1"/>
    <col min="18" max="18" width="14.1796875" customWidth="1"/>
    <col min="29" max="29" width="11.7265625" bestFit="1" customWidth="1"/>
    <col min="31" max="31" width="11.453125" bestFit="1" customWidth="1"/>
    <col min="36" max="36" width="9.1796875" bestFit="1" customWidth="1"/>
    <col min="38" max="38" width="9.1796875" bestFit="1" customWidth="1"/>
    <col min="40" max="40" width="10.453125" bestFit="1" customWidth="1"/>
    <col min="42" max="42" width="10.453125" bestFit="1" customWidth="1"/>
    <col min="53" max="53" width="18.453125" customWidth="1"/>
    <col min="54" max="54" width="11.7265625" bestFit="1" customWidth="1"/>
    <col min="56" max="56" width="11.453125" bestFit="1" customWidth="1"/>
    <col min="61" max="61" width="9.1796875" bestFit="1" customWidth="1"/>
    <col min="63" max="63" width="9.1796875" bestFit="1" customWidth="1"/>
    <col min="65" max="65" width="10.453125" bestFit="1" customWidth="1"/>
    <col min="67" max="67" width="10.453125" bestFit="1" customWidth="1"/>
    <col min="79" max="79" width="11.7265625" bestFit="1" customWidth="1"/>
    <col min="81" max="81" width="11.453125" bestFit="1" customWidth="1"/>
    <col min="86" max="86" width="9.1796875" bestFit="1" customWidth="1"/>
    <col min="88" max="88" width="9.1796875" bestFit="1" customWidth="1"/>
    <col min="90" max="90" width="10.453125" bestFit="1" customWidth="1"/>
    <col min="92" max="92" width="10.453125" bestFit="1" customWidth="1"/>
    <col min="104" max="104" width="11.7265625" bestFit="1" customWidth="1"/>
    <col min="106" max="106" width="11.453125" bestFit="1" customWidth="1"/>
    <col min="111" max="111" width="9.1796875" bestFit="1" customWidth="1"/>
    <col min="113" max="113" width="9.1796875" bestFit="1" customWidth="1"/>
    <col min="115" max="115" width="10.453125" bestFit="1" customWidth="1"/>
    <col min="117" max="117" width="10.453125" bestFit="1" customWidth="1"/>
    <col min="129" max="129" width="11.7265625" bestFit="1" customWidth="1"/>
    <col min="131" max="131" width="11.453125" bestFit="1" customWidth="1"/>
    <col min="136" max="136" width="9.1796875" bestFit="1" customWidth="1"/>
    <col min="138" max="138" width="9.1796875" bestFit="1" customWidth="1"/>
    <col min="140" max="140" width="10.453125" bestFit="1" customWidth="1"/>
    <col min="142" max="142" width="10.453125" bestFit="1" customWidth="1"/>
    <col min="153" max="153" width="22.81640625" customWidth="1"/>
    <col min="154" max="154" width="11.7265625" bestFit="1" customWidth="1"/>
    <col min="156" max="156" width="11.453125" bestFit="1" customWidth="1"/>
    <col min="161" max="161" width="9.1796875" bestFit="1" customWidth="1"/>
    <col min="163" max="163" width="9.1796875" bestFit="1" customWidth="1"/>
    <col min="165" max="165" width="10.453125" bestFit="1" customWidth="1"/>
    <col min="167" max="167" width="10.453125" bestFit="1" customWidth="1"/>
  </cols>
  <sheetData>
    <row r="1" spans="1:175" x14ac:dyDescent="0.35">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c r="FJ1" s="23"/>
      <c r="FK1" s="23"/>
      <c r="FL1" s="23"/>
      <c r="FM1" s="23"/>
      <c r="FN1" s="23"/>
      <c r="FO1" s="23"/>
      <c r="FP1" s="23"/>
      <c r="FQ1" s="23"/>
      <c r="FR1" s="23"/>
      <c r="FS1" s="23"/>
    </row>
    <row r="2" spans="1:175" ht="15" thickBot="1" x14ac:dyDescent="0.4">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row>
    <row r="3" spans="1:175" ht="14.5" customHeight="1" x14ac:dyDescent="0.35">
      <c r="A3" s="23"/>
      <c r="B3" s="82" t="s">
        <v>40</v>
      </c>
      <c r="C3" s="83"/>
      <c r="D3" s="86">
        <f>Week3endweight</f>
        <v>182.30709965323024</v>
      </c>
      <c r="E3" s="23"/>
      <c r="F3" s="23"/>
      <c r="G3" s="23"/>
      <c r="H3" s="23"/>
      <c r="I3" s="23"/>
      <c r="J3" s="23"/>
      <c r="K3" s="23"/>
      <c r="L3" s="23"/>
      <c r="M3" s="23"/>
      <c r="N3" s="23"/>
      <c r="O3" s="23"/>
      <c r="P3" s="23"/>
      <c r="Q3" s="23"/>
      <c r="R3" s="23"/>
      <c r="S3" s="23"/>
      <c r="T3" s="23"/>
      <c r="U3" s="23"/>
      <c r="V3" s="23"/>
      <c r="W3" s="23"/>
      <c r="X3" s="23"/>
      <c r="Y3" s="23"/>
      <c r="Z3" s="23"/>
      <c r="AA3" s="82" t="s">
        <v>40</v>
      </c>
      <c r="AB3" s="83"/>
      <c r="AC3" s="86">
        <f>Week3endweight</f>
        <v>182.30709965323024</v>
      </c>
      <c r="AD3" s="23"/>
      <c r="AE3" s="23"/>
      <c r="AF3" s="23"/>
      <c r="AG3" s="23"/>
      <c r="AH3" s="23"/>
      <c r="AI3" s="23"/>
      <c r="AJ3" s="23"/>
      <c r="AK3" s="23"/>
      <c r="AL3" s="23"/>
      <c r="AM3" s="23"/>
      <c r="AN3" s="23"/>
      <c r="AO3" s="23"/>
      <c r="AP3" s="23"/>
      <c r="AQ3" s="23"/>
      <c r="AR3" s="23"/>
      <c r="AS3" s="23"/>
      <c r="AT3" s="23"/>
      <c r="AU3" s="23"/>
      <c r="AV3" s="23"/>
      <c r="AW3" s="23"/>
      <c r="AX3" s="23"/>
      <c r="AY3" s="23"/>
      <c r="AZ3" s="82" t="s">
        <v>40</v>
      </c>
      <c r="BA3" s="83"/>
      <c r="BB3" s="86">
        <f>Week3endweight</f>
        <v>182.30709965323024</v>
      </c>
      <c r="BC3" s="23"/>
      <c r="BD3" s="23"/>
      <c r="BE3" s="23"/>
      <c r="BF3" s="23"/>
      <c r="BG3" s="23"/>
      <c r="BH3" s="23"/>
      <c r="BI3" s="23"/>
      <c r="BJ3" s="23"/>
      <c r="BK3" s="23"/>
      <c r="BL3" s="23"/>
      <c r="BM3" s="23"/>
      <c r="BN3" s="23"/>
      <c r="BO3" s="23"/>
      <c r="BP3" s="23"/>
      <c r="BQ3" s="23"/>
      <c r="BR3" s="23"/>
      <c r="BS3" s="23"/>
      <c r="BT3" s="23"/>
      <c r="BU3" s="23"/>
      <c r="BV3" s="23"/>
      <c r="BW3" s="23"/>
      <c r="BX3" s="23"/>
      <c r="BY3" s="82" t="s">
        <v>40</v>
      </c>
      <c r="BZ3" s="83"/>
      <c r="CA3" s="86">
        <f>Week3endweight</f>
        <v>182.30709965323024</v>
      </c>
      <c r="CB3" s="23"/>
      <c r="CC3" s="23"/>
      <c r="CD3" s="23"/>
      <c r="CE3" s="23"/>
      <c r="CF3" s="23"/>
      <c r="CG3" s="23"/>
      <c r="CH3" s="23"/>
      <c r="CI3" s="23"/>
      <c r="CJ3" s="23"/>
      <c r="CK3" s="23"/>
      <c r="CL3" s="23"/>
      <c r="CM3" s="23"/>
      <c r="CN3" s="23"/>
      <c r="CO3" s="23"/>
      <c r="CP3" s="23"/>
      <c r="CQ3" s="23"/>
      <c r="CR3" s="23"/>
      <c r="CS3" s="23"/>
      <c r="CT3" s="23"/>
      <c r="CU3" s="23"/>
      <c r="CV3" s="23"/>
      <c r="CW3" s="23"/>
      <c r="CX3" s="82" t="s">
        <v>40</v>
      </c>
      <c r="CY3" s="83"/>
      <c r="CZ3" s="86">
        <f>Week3endweight</f>
        <v>182.30709965323024</v>
      </c>
      <c r="DA3" s="23"/>
      <c r="DB3" s="23"/>
      <c r="DC3" s="23"/>
      <c r="DD3" s="23"/>
      <c r="DE3" s="23"/>
      <c r="DF3" s="23"/>
      <c r="DG3" s="23"/>
      <c r="DH3" s="23"/>
      <c r="DI3" s="23"/>
      <c r="DJ3" s="23"/>
      <c r="DK3" s="23"/>
      <c r="DL3" s="23"/>
      <c r="DM3" s="23"/>
      <c r="DN3" s="23"/>
      <c r="DO3" s="23"/>
      <c r="DP3" s="23"/>
      <c r="DQ3" s="23"/>
      <c r="DR3" s="23"/>
      <c r="DS3" s="23"/>
      <c r="DT3" s="23"/>
      <c r="DU3" s="23"/>
      <c r="DV3" s="23"/>
      <c r="DW3" s="82" t="s">
        <v>40</v>
      </c>
      <c r="DX3" s="83"/>
      <c r="DY3" s="86">
        <f>Week3endweight</f>
        <v>182.30709965323024</v>
      </c>
      <c r="DZ3" s="23"/>
      <c r="EA3" s="23"/>
      <c r="EB3" s="23"/>
      <c r="EC3" s="23"/>
      <c r="ED3" s="23"/>
      <c r="EE3" s="23"/>
      <c r="EF3" s="23"/>
      <c r="EG3" s="23"/>
      <c r="EH3" s="23"/>
      <c r="EI3" s="23"/>
      <c r="EJ3" s="23"/>
      <c r="EK3" s="23"/>
      <c r="EL3" s="23"/>
      <c r="EM3" s="23"/>
      <c r="EN3" s="23"/>
      <c r="EO3" s="23"/>
      <c r="EP3" s="23"/>
      <c r="EQ3" s="23"/>
      <c r="ER3" s="23"/>
      <c r="ES3" s="23"/>
      <c r="ET3" s="23"/>
      <c r="EU3" s="23"/>
      <c r="EV3" s="82" t="s">
        <v>40</v>
      </c>
      <c r="EW3" s="83"/>
      <c r="EX3" s="86">
        <f>Week3endweight</f>
        <v>182.30709965323024</v>
      </c>
      <c r="EY3" s="23"/>
      <c r="EZ3" s="23"/>
      <c r="FA3" s="23"/>
      <c r="FB3" s="23"/>
      <c r="FC3" s="23"/>
      <c r="FD3" s="23"/>
      <c r="FE3" s="23"/>
      <c r="FF3" s="23"/>
      <c r="FG3" s="23"/>
      <c r="FH3" s="23"/>
      <c r="FI3" s="23"/>
      <c r="FJ3" s="23"/>
      <c r="FK3" s="23"/>
      <c r="FL3" s="23"/>
      <c r="FM3" s="23"/>
      <c r="FN3" s="23"/>
      <c r="FO3" s="23"/>
      <c r="FP3" s="23"/>
      <c r="FQ3" s="23"/>
      <c r="FR3" s="23"/>
      <c r="FS3" s="23"/>
    </row>
    <row r="4" spans="1:175" ht="15" thickBot="1" x14ac:dyDescent="0.4">
      <c r="A4" s="23"/>
      <c r="B4" s="84"/>
      <c r="C4" s="85"/>
      <c r="D4" s="87"/>
      <c r="E4" s="23"/>
      <c r="F4" s="23"/>
      <c r="G4" s="23"/>
      <c r="H4" s="23"/>
      <c r="I4" s="23"/>
      <c r="J4" s="23"/>
      <c r="K4" s="23"/>
      <c r="L4" s="23"/>
      <c r="M4" s="23"/>
      <c r="N4" s="23"/>
      <c r="O4" s="23"/>
      <c r="P4" s="23"/>
      <c r="Q4" s="23"/>
      <c r="R4" s="23"/>
      <c r="S4" s="23"/>
      <c r="T4" s="23"/>
      <c r="U4" s="23"/>
      <c r="V4" s="23"/>
      <c r="W4" s="23"/>
      <c r="X4" s="23"/>
      <c r="Y4" s="23"/>
      <c r="Z4" s="23"/>
      <c r="AA4" s="84"/>
      <c r="AB4" s="85"/>
      <c r="AC4" s="87"/>
      <c r="AD4" s="23"/>
      <c r="AE4" s="23"/>
      <c r="AF4" s="23"/>
      <c r="AG4" s="23"/>
      <c r="AH4" s="23"/>
      <c r="AI4" s="23"/>
      <c r="AJ4" s="23"/>
      <c r="AK4" s="23"/>
      <c r="AL4" s="23"/>
      <c r="AM4" s="23"/>
      <c r="AN4" s="23"/>
      <c r="AO4" s="23"/>
      <c r="AP4" s="23"/>
      <c r="AQ4" s="23"/>
      <c r="AR4" s="23"/>
      <c r="AS4" s="23"/>
      <c r="AT4" s="23"/>
      <c r="AU4" s="23"/>
      <c r="AV4" s="23"/>
      <c r="AW4" s="23"/>
      <c r="AX4" s="23"/>
      <c r="AY4" s="23"/>
      <c r="AZ4" s="84"/>
      <c r="BA4" s="85"/>
      <c r="BB4" s="87"/>
      <c r="BC4" s="23"/>
      <c r="BD4" s="23"/>
      <c r="BE4" s="23"/>
      <c r="BF4" s="23"/>
      <c r="BG4" s="23"/>
      <c r="BH4" s="23"/>
      <c r="BI4" s="23"/>
      <c r="BJ4" s="23"/>
      <c r="BK4" s="23"/>
      <c r="BL4" s="23"/>
      <c r="BM4" s="23"/>
      <c r="BN4" s="23"/>
      <c r="BO4" s="23"/>
      <c r="BP4" s="23"/>
      <c r="BQ4" s="23"/>
      <c r="BR4" s="23"/>
      <c r="BS4" s="23"/>
      <c r="BT4" s="23"/>
      <c r="BU4" s="23"/>
      <c r="BV4" s="23"/>
      <c r="BW4" s="23"/>
      <c r="BX4" s="23"/>
      <c r="BY4" s="84"/>
      <c r="BZ4" s="85"/>
      <c r="CA4" s="87"/>
      <c r="CB4" s="23"/>
      <c r="CC4" s="23"/>
      <c r="CD4" s="23"/>
      <c r="CE4" s="23"/>
      <c r="CF4" s="23"/>
      <c r="CG4" s="23"/>
      <c r="CH4" s="23"/>
      <c r="CI4" s="23"/>
      <c r="CJ4" s="23"/>
      <c r="CK4" s="23"/>
      <c r="CL4" s="23"/>
      <c r="CM4" s="23"/>
      <c r="CN4" s="23"/>
      <c r="CO4" s="23"/>
      <c r="CP4" s="23"/>
      <c r="CQ4" s="23"/>
      <c r="CR4" s="23"/>
      <c r="CS4" s="23"/>
      <c r="CT4" s="23"/>
      <c r="CU4" s="23"/>
      <c r="CV4" s="23"/>
      <c r="CW4" s="23"/>
      <c r="CX4" s="84"/>
      <c r="CY4" s="85"/>
      <c r="CZ4" s="87"/>
      <c r="DA4" s="23"/>
      <c r="DB4" s="23"/>
      <c r="DC4" s="23"/>
      <c r="DD4" s="23"/>
      <c r="DE4" s="23"/>
      <c r="DF4" s="23"/>
      <c r="DG4" s="23"/>
      <c r="DH4" s="23"/>
      <c r="DI4" s="23"/>
      <c r="DJ4" s="23"/>
      <c r="DK4" s="23"/>
      <c r="DL4" s="23"/>
      <c r="DM4" s="23"/>
      <c r="DN4" s="23"/>
      <c r="DO4" s="23"/>
      <c r="DP4" s="23"/>
      <c r="DQ4" s="23"/>
      <c r="DR4" s="23"/>
      <c r="DS4" s="23"/>
      <c r="DT4" s="23"/>
      <c r="DU4" s="23"/>
      <c r="DV4" s="23"/>
      <c r="DW4" s="84"/>
      <c r="DX4" s="85"/>
      <c r="DY4" s="87"/>
      <c r="DZ4" s="23"/>
      <c r="EA4" s="23"/>
      <c r="EB4" s="23"/>
      <c r="EC4" s="23"/>
      <c r="ED4" s="23"/>
      <c r="EE4" s="23"/>
      <c r="EF4" s="23"/>
      <c r="EG4" s="23"/>
      <c r="EH4" s="23"/>
      <c r="EI4" s="23"/>
      <c r="EJ4" s="23"/>
      <c r="EK4" s="23"/>
      <c r="EL4" s="23"/>
      <c r="EM4" s="23"/>
      <c r="EN4" s="23"/>
      <c r="EO4" s="23"/>
      <c r="EP4" s="23"/>
      <c r="EQ4" s="23"/>
      <c r="ER4" s="23"/>
      <c r="ES4" s="23"/>
      <c r="ET4" s="23"/>
      <c r="EU4" s="23"/>
      <c r="EV4" s="84"/>
      <c r="EW4" s="85"/>
      <c r="EX4" s="87"/>
      <c r="EY4" s="23"/>
      <c r="EZ4" s="23"/>
      <c r="FA4" s="23"/>
      <c r="FB4" s="23"/>
      <c r="FC4" s="23"/>
      <c r="FD4" s="23"/>
      <c r="FE4" s="23"/>
      <c r="FF4" s="23"/>
      <c r="FG4" s="23"/>
      <c r="FH4" s="23"/>
      <c r="FI4" s="23"/>
      <c r="FJ4" s="23"/>
      <c r="FK4" s="23"/>
      <c r="FL4" s="23"/>
      <c r="FM4" s="23"/>
      <c r="FN4" s="23"/>
      <c r="FO4" s="23"/>
      <c r="FP4" s="23"/>
      <c r="FQ4" s="23"/>
      <c r="FR4" s="23"/>
      <c r="FS4" s="23"/>
    </row>
    <row r="5" spans="1:175" x14ac:dyDescent="0.35">
      <c r="A5" s="23"/>
      <c r="B5" s="23"/>
      <c r="C5" s="23"/>
      <c r="D5" s="23"/>
      <c r="E5" s="23"/>
      <c r="F5" s="23"/>
      <c r="G5" s="25"/>
      <c r="H5" s="26"/>
      <c r="I5" s="26"/>
      <c r="J5" s="26"/>
      <c r="K5" s="23"/>
      <c r="L5" s="23"/>
      <c r="M5" s="23"/>
      <c r="N5" s="23"/>
      <c r="O5" s="23"/>
      <c r="P5" s="23"/>
      <c r="Q5" s="23"/>
      <c r="R5" s="23"/>
      <c r="S5" s="23"/>
      <c r="T5" s="23"/>
      <c r="U5" s="23"/>
      <c r="V5" s="23"/>
      <c r="W5" s="23"/>
      <c r="X5" s="23"/>
      <c r="Y5" s="23"/>
      <c r="Z5" s="23"/>
      <c r="AA5" s="23"/>
      <c r="AB5" s="23"/>
      <c r="AC5" s="23"/>
      <c r="AD5" s="23"/>
      <c r="AE5" s="23"/>
      <c r="AF5" s="25"/>
      <c r="AG5" s="26"/>
      <c r="AH5" s="26"/>
      <c r="AI5" s="26"/>
      <c r="AJ5" s="23"/>
      <c r="AK5" s="23"/>
      <c r="AL5" s="23"/>
      <c r="AM5" s="23"/>
      <c r="AN5" s="23"/>
      <c r="AO5" s="23"/>
      <c r="AP5" s="23"/>
      <c r="AQ5" s="23"/>
      <c r="AR5" s="23"/>
      <c r="AS5" s="23"/>
      <c r="AT5" s="23"/>
      <c r="AU5" s="23"/>
      <c r="AV5" s="23"/>
      <c r="AW5" s="23"/>
      <c r="AX5" s="23"/>
      <c r="AY5" s="23"/>
      <c r="AZ5" s="23"/>
      <c r="BA5" s="23"/>
      <c r="BB5" s="23"/>
      <c r="BC5" s="23"/>
      <c r="BD5" s="23"/>
      <c r="BE5" s="25"/>
      <c r="BF5" s="26"/>
      <c r="BG5" s="26"/>
      <c r="BH5" s="26"/>
      <c r="BI5" s="23"/>
      <c r="BJ5" s="23"/>
      <c r="BK5" s="23"/>
      <c r="BL5" s="23"/>
      <c r="BM5" s="23"/>
      <c r="BN5" s="23"/>
      <c r="BO5" s="23"/>
      <c r="BP5" s="23"/>
      <c r="BQ5" s="23"/>
      <c r="BR5" s="23"/>
      <c r="BS5" s="23"/>
      <c r="BT5" s="23"/>
      <c r="BU5" s="23"/>
      <c r="BV5" s="23"/>
      <c r="BW5" s="23"/>
      <c r="BX5" s="23"/>
      <c r="BY5" s="23"/>
      <c r="BZ5" s="23"/>
      <c r="CA5" s="23"/>
      <c r="CB5" s="23"/>
      <c r="CC5" s="23"/>
      <c r="CD5" s="25"/>
      <c r="CE5" s="26"/>
      <c r="CF5" s="26"/>
      <c r="CG5" s="26"/>
      <c r="CH5" s="23"/>
      <c r="CI5" s="23"/>
      <c r="CJ5" s="23"/>
      <c r="CK5" s="23"/>
      <c r="CL5" s="23"/>
      <c r="CM5" s="23"/>
      <c r="CN5" s="23"/>
      <c r="CO5" s="23"/>
      <c r="CP5" s="23"/>
      <c r="CQ5" s="23"/>
      <c r="CR5" s="23"/>
      <c r="CS5" s="23"/>
      <c r="CT5" s="23"/>
      <c r="CU5" s="23"/>
      <c r="CV5" s="23"/>
      <c r="CW5" s="23"/>
      <c r="CX5" s="23"/>
      <c r="CY5" s="23"/>
      <c r="CZ5" s="23"/>
      <c r="DA5" s="23"/>
      <c r="DB5" s="23"/>
      <c r="DC5" s="25"/>
      <c r="DD5" s="26"/>
      <c r="DE5" s="26"/>
      <c r="DF5" s="26"/>
      <c r="DG5" s="23"/>
      <c r="DH5" s="23"/>
      <c r="DI5" s="23"/>
      <c r="DJ5" s="23"/>
      <c r="DK5" s="23"/>
      <c r="DL5" s="23"/>
      <c r="DM5" s="23"/>
      <c r="DN5" s="23"/>
      <c r="DO5" s="23"/>
      <c r="DP5" s="23"/>
      <c r="DQ5" s="23"/>
      <c r="DR5" s="23"/>
      <c r="DS5" s="23"/>
      <c r="DT5" s="23"/>
      <c r="DU5" s="23"/>
      <c r="DV5" s="23"/>
      <c r="DW5" s="23"/>
      <c r="DX5" s="23"/>
      <c r="DY5" s="23"/>
      <c r="DZ5" s="23"/>
      <c r="EA5" s="23"/>
      <c r="EB5" s="25"/>
      <c r="EC5" s="26"/>
      <c r="ED5" s="26"/>
      <c r="EE5" s="26"/>
      <c r="EF5" s="23"/>
      <c r="EG5" s="23"/>
      <c r="EH5" s="23"/>
      <c r="EI5" s="23"/>
      <c r="EJ5" s="23"/>
      <c r="EK5" s="23"/>
      <c r="EL5" s="23"/>
      <c r="EM5" s="23"/>
      <c r="EN5" s="23"/>
      <c r="EO5" s="23"/>
      <c r="EP5" s="23"/>
      <c r="EQ5" s="23"/>
      <c r="ER5" s="23"/>
      <c r="ES5" s="23"/>
      <c r="ET5" s="23"/>
      <c r="EU5" s="23"/>
      <c r="EV5" s="23"/>
      <c r="EW5" s="23"/>
      <c r="EX5" s="23"/>
      <c r="EY5" s="23"/>
      <c r="EZ5" s="23"/>
      <c r="FA5" s="25"/>
      <c r="FB5" s="26"/>
      <c r="FC5" s="26"/>
      <c r="FD5" s="26"/>
      <c r="FE5" s="23"/>
      <c r="FF5" s="23"/>
      <c r="FG5" s="23"/>
      <c r="FH5" s="23"/>
      <c r="FI5" s="23"/>
      <c r="FJ5" s="23"/>
      <c r="FK5" s="23"/>
      <c r="FL5" s="23"/>
      <c r="FM5" s="23"/>
      <c r="FN5" s="23"/>
      <c r="FO5" s="23"/>
      <c r="FP5" s="23"/>
      <c r="FQ5" s="23"/>
      <c r="FR5" s="23"/>
      <c r="FS5" s="23"/>
    </row>
    <row r="6" spans="1:175" x14ac:dyDescent="0.35">
      <c r="A6" s="23"/>
      <c r="B6" s="23"/>
      <c r="C6" s="23"/>
      <c r="D6" s="23"/>
      <c r="E6" s="23"/>
      <c r="F6" s="23"/>
      <c r="G6" s="26"/>
      <c r="H6" s="26"/>
      <c r="I6" s="26"/>
      <c r="J6" s="26"/>
      <c r="K6" s="23"/>
      <c r="L6" s="23"/>
      <c r="M6" s="23"/>
      <c r="N6" s="23"/>
      <c r="O6" s="23"/>
      <c r="P6" s="23"/>
      <c r="Q6" s="23"/>
      <c r="R6" s="23"/>
      <c r="S6" s="23"/>
      <c r="T6" s="23"/>
      <c r="U6" s="23"/>
      <c r="V6" s="23"/>
      <c r="W6" s="23"/>
      <c r="X6" s="23"/>
      <c r="Y6" s="23"/>
      <c r="Z6" s="23"/>
      <c r="AA6" s="23"/>
      <c r="AB6" s="23"/>
      <c r="AC6" s="23"/>
      <c r="AD6" s="23"/>
      <c r="AE6" s="23"/>
      <c r="AF6" s="26"/>
      <c r="AG6" s="26"/>
      <c r="AH6" s="26"/>
      <c r="AI6" s="26"/>
      <c r="AJ6" s="23"/>
      <c r="AK6" s="23"/>
      <c r="AL6" s="23"/>
      <c r="AM6" s="23"/>
      <c r="AN6" s="23"/>
      <c r="AO6" s="23"/>
      <c r="AP6" s="23"/>
      <c r="AQ6" s="23"/>
      <c r="AR6" s="23"/>
      <c r="AS6" s="23"/>
      <c r="AT6" s="23"/>
      <c r="AU6" s="23"/>
      <c r="AV6" s="23"/>
      <c r="AW6" s="23"/>
      <c r="AX6" s="23"/>
      <c r="AY6" s="23"/>
      <c r="AZ6" s="23"/>
      <c r="BA6" s="23"/>
      <c r="BB6" s="23"/>
      <c r="BC6" s="23"/>
      <c r="BD6" s="23"/>
      <c r="BE6" s="26"/>
      <c r="BF6" s="26"/>
      <c r="BG6" s="26"/>
      <c r="BH6" s="26"/>
      <c r="BI6" s="23"/>
      <c r="BJ6" s="23"/>
      <c r="BK6" s="23"/>
      <c r="BL6" s="23"/>
      <c r="BM6" s="23"/>
      <c r="BN6" s="23"/>
      <c r="BO6" s="23"/>
      <c r="BP6" s="23"/>
      <c r="BQ6" s="23"/>
      <c r="BR6" s="23"/>
      <c r="BS6" s="23"/>
      <c r="BT6" s="23"/>
      <c r="BU6" s="23"/>
      <c r="BV6" s="23"/>
      <c r="BW6" s="23"/>
      <c r="BX6" s="23"/>
      <c r="BY6" s="23"/>
      <c r="BZ6" s="23"/>
      <c r="CA6" s="23"/>
      <c r="CB6" s="23"/>
      <c r="CC6" s="23"/>
      <c r="CD6" s="26"/>
      <c r="CE6" s="26"/>
      <c r="CF6" s="26"/>
      <c r="CG6" s="26"/>
      <c r="CH6" s="23"/>
      <c r="CI6" s="23"/>
      <c r="CJ6" s="23"/>
      <c r="CK6" s="23"/>
      <c r="CL6" s="23"/>
      <c r="CM6" s="23"/>
      <c r="CN6" s="23"/>
      <c r="CO6" s="23"/>
      <c r="CP6" s="23"/>
      <c r="CQ6" s="23"/>
      <c r="CR6" s="23"/>
      <c r="CS6" s="23"/>
      <c r="CT6" s="23"/>
      <c r="CU6" s="23"/>
      <c r="CV6" s="23"/>
      <c r="CW6" s="23"/>
      <c r="CX6" s="23"/>
      <c r="CY6" s="23"/>
      <c r="CZ6" s="23"/>
      <c r="DA6" s="23"/>
      <c r="DB6" s="23"/>
      <c r="DC6" s="26"/>
      <c r="DD6" s="26"/>
      <c r="DE6" s="26"/>
      <c r="DF6" s="26"/>
      <c r="DG6" s="23"/>
      <c r="DH6" s="23"/>
      <c r="DI6" s="23"/>
      <c r="DJ6" s="23"/>
      <c r="DK6" s="23"/>
      <c r="DL6" s="23"/>
      <c r="DM6" s="23"/>
      <c r="DN6" s="23"/>
      <c r="DO6" s="23"/>
      <c r="DP6" s="23"/>
      <c r="DQ6" s="23"/>
      <c r="DR6" s="23"/>
      <c r="DS6" s="23"/>
      <c r="DT6" s="23"/>
      <c r="DU6" s="23"/>
      <c r="DV6" s="23"/>
      <c r="DW6" s="23"/>
      <c r="DX6" s="23"/>
      <c r="DY6" s="23"/>
      <c r="DZ6" s="23"/>
      <c r="EA6" s="23"/>
      <c r="EB6" s="26"/>
      <c r="EC6" s="26"/>
      <c r="ED6" s="26"/>
      <c r="EE6" s="26"/>
      <c r="EF6" s="23"/>
      <c r="EG6" s="23"/>
      <c r="EH6" s="23"/>
      <c r="EI6" s="23"/>
      <c r="EJ6" s="23"/>
      <c r="EK6" s="23"/>
      <c r="EL6" s="23"/>
      <c r="EM6" s="23"/>
      <c r="EN6" s="23"/>
      <c r="EO6" s="23"/>
      <c r="EP6" s="23"/>
      <c r="EQ6" s="23"/>
      <c r="ER6" s="23"/>
      <c r="ES6" s="23"/>
      <c r="ET6" s="23"/>
      <c r="EU6" s="23"/>
      <c r="EV6" s="23"/>
      <c r="EW6" s="23"/>
      <c r="EX6" s="23"/>
      <c r="EY6" s="23"/>
      <c r="EZ6" s="23"/>
      <c r="FA6" s="26"/>
      <c r="FB6" s="26"/>
      <c r="FC6" s="26"/>
      <c r="FD6" s="26"/>
      <c r="FE6" s="23"/>
      <c r="FF6" s="23"/>
      <c r="FG6" s="23"/>
      <c r="FH6" s="23"/>
      <c r="FI6" s="23"/>
      <c r="FJ6" s="23"/>
      <c r="FK6" s="23"/>
      <c r="FL6" s="23"/>
      <c r="FM6" s="23"/>
      <c r="FN6" s="23"/>
      <c r="FO6" s="23"/>
      <c r="FP6" s="23"/>
      <c r="FQ6" s="23"/>
      <c r="FR6" s="23"/>
      <c r="FS6" s="23"/>
    </row>
    <row r="7" spans="1:175" x14ac:dyDescent="0.35">
      <c r="A7" s="23"/>
      <c r="B7" s="23"/>
      <c r="C7" s="23"/>
      <c r="D7" s="23"/>
      <c r="E7" s="23"/>
      <c r="F7" s="23"/>
      <c r="G7" s="25"/>
      <c r="H7" s="25"/>
      <c r="I7" s="27"/>
      <c r="J7" s="23"/>
      <c r="K7" s="23"/>
      <c r="L7" s="23"/>
      <c r="M7" s="23"/>
      <c r="N7" s="23"/>
      <c r="O7" s="23"/>
      <c r="P7" s="23"/>
      <c r="Q7" s="23"/>
      <c r="R7" s="23"/>
      <c r="S7" s="23"/>
      <c r="T7" s="23"/>
      <c r="U7" s="23"/>
      <c r="V7" s="23"/>
      <c r="W7" s="23"/>
      <c r="X7" s="23"/>
      <c r="Y7" s="23"/>
      <c r="Z7" s="23"/>
      <c r="AA7" s="23"/>
      <c r="AB7" s="23"/>
      <c r="AC7" s="23"/>
      <c r="AD7" s="23"/>
      <c r="AE7" s="23"/>
      <c r="AF7" s="25"/>
      <c r="AG7" s="25"/>
      <c r="AH7" s="27"/>
      <c r="AI7" s="23"/>
      <c r="AJ7" s="23"/>
      <c r="AK7" s="23"/>
      <c r="AL7" s="23"/>
      <c r="AM7" s="23"/>
      <c r="AN7" s="23"/>
      <c r="AO7" s="23"/>
      <c r="AP7" s="23"/>
      <c r="AQ7" s="23"/>
      <c r="AR7" s="23"/>
      <c r="AS7" s="23"/>
      <c r="AT7" s="23"/>
      <c r="AU7" s="23"/>
      <c r="AV7" s="23"/>
      <c r="AW7" s="23"/>
      <c r="AX7" s="23"/>
      <c r="AY7" s="23"/>
      <c r="AZ7" s="23"/>
      <c r="BA7" s="23"/>
      <c r="BB7" s="23"/>
      <c r="BC7" s="23"/>
      <c r="BD7" s="23"/>
      <c r="BE7" s="25"/>
      <c r="BF7" s="25"/>
      <c r="BG7" s="27"/>
      <c r="BH7" s="23"/>
      <c r="BI7" s="23"/>
      <c r="BJ7" s="23"/>
      <c r="BK7" s="23"/>
      <c r="BL7" s="23"/>
      <c r="BM7" s="23"/>
      <c r="BN7" s="23"/>
      <c r="BO7" s="23"/>
      <c r="BP7" s="23"/>
      <c r="BQ7" s="23"/>
      <c r="BR7" s="23"/>
      <c r="BS7" s="23"/>
      <c r="BT7" s="23"/>
      <c r="BU7" s="23"/>
      <c r="BV7" s="23"/>
      <c r="BW7" s="23"/>
      <c r="BX7" s="23"/>
      <c r="BY7" s="23"/>
      <c r="BZ7" s="23"/>
      <c r="CA7" s="23"/>
      <c r="CB7" s="23"/>
      <c r="CC7" s="23"/>
      <c r="CD7" s="25"/>
      <c r="CE7" s="25"/>
      <c r="CF7" s="27"/>
      <c r="CG7" s="23"/>
      <c r="CH7" s="23"/>
      <c r="CI7" s="23"/>
      <c r="CJ7" s="23"/>
      <c r="CK7" s="23"/>
      <c r="CL7" s="23"/>
      <c r="CM7" s="23"/>
      <c r="CN7" s="23"/>
      <c r="CO7" s="23"/>
      <c r="CP7" s="23"/>
      <c r="CQ7" s="23"/>
      <c r="CR7" s="23"/>
      <c r="CS7" s="23"/>
      <c r="CT7" s="23"/>
      <c r="CU7" s="23"/>
      <c r="CV7" s="23"/>
      <c r="CW7" s="23"/>
      <c r="CX7" s="23"/>
      <c r="CY7" s="23"/>
      <c r="CZ7" s="23"/>
      <c r="DA7" s="23"/>
      <c r="DB7" s="23"/>
      <c r="DC7" s="25"/>
      <c r="DD7" s="25"/>
      <c r="DE7" s="27"/>
      <c r="DF7" s="23"/>
      <c r="DG7" s="23"/>
      <c r="DH7" s="23"/>
      <c r="DI7" s="23"/>
      <c r="DJ7" s="23"/>
      <c r="DK7" s="23"/>
      <c r="DL7" s="23"/>
      <c r="DM7" s="23"/>
      <c r="DN7" s="23"/>
      <c r="DO7" s="23"/>
      <c r="DP7" s="23"/>
      <c r="DQ7" s="23"/>
      <c r="DR7" s="23"/>
      <c r="DS7" s="23"/>
      <c r="DT7" s="23"/>
      <c r="DU7" s="23"/>
      <c r="DV7" s="23"/>
      <c r="DW7" s="23"/>
      <c r="DX7" s="23"/>
      <c r="DY7" s="23"/>
      <c r="DZ7" s="23"/>
      <c r="EA7" s="23"/>
      <c r="EB7" s="25"/>
      <c r="EC7" s="25"/>
      <c r="ED7" s="27"/>
      <c r="EE7" s="23"/>
      <c r="EF7" s="23"/>
      <c r="EG7" s="23"/>
      <c r="EH7" s="23"/>
      <c r="EI7" s="23"/>
      <c r="EJ7" s="23"/>
      <c r="EK7" s="23"/>
      <c r="EL7" s="23"/>
      <c r="EM7" s="23"/>
      <c r="EN7" s="23"/>
      <c r="EO7" s="23"/>
      <c r="EP7" s="23"/>
      <c r="EQ7" s="23"/>
      <c r="ER7" s="23"/>
      <c r="ES7" s="23"/>
      <c r="ET7" s="23"/>
      <c r="EU7" s="23"/>
      <c r="EV7" s="23"/>
      <c r="EW7" s="23"/>
      <c r="EX7" s="23"/>
      <c r="EY7" s="23"/>
      <c r="EZ7" s="23"/>
      <c r="FA7" s="25"/>
      <c r="FB7" s="25"/>
      <c r="FC7" s="27"/>
      <c r="FD7" s="23"/>
      <c r="FE7" s="23"/>
      <c r="FF7" s="23"/>
      <c r="FG7" s="23"/>
      <c r="FH7" s="23"/>
      <c r="FI7" s="23"/>
      <c r="FJ7" s="23"/>
      <c r="FK7" s="23"/>
      <c r="FL7" s="23"/>
      <c r="FM7" s="23"/>
      <c r="FN7" s="23"/>
      <c r="FO7" s="23"/>
      <c r="FP7" s="23"/>
      <c r="FQ7" s="23"/>
      <c r="FR7" s="23"/>
      <c r="FS7" s="23"/>
    </row>
    <row r="8" spans="1:175" ht="15" thickBot="1" x14ac:dyDescent="0.4">
      <c r="A8" s="23"/>
      <c r="B8" s="23"/>
      <c r="C8" s="23"/>
      <c r="D8" s="23"/>
      <c r="E8" s="23"/>
      <c r="F8" s="23"/>
      <c r="G8" s="25"/>
      <c r="H8" s="25"/>
      <c r="I8" s="26"/>
      <c r="J8" s="23"/>
      <c r="K8" s="23"/>
      <c r="L8" s="23"/>
      <c r="M8" s="23"/>
      <c r="N8" s="23"/>
      <c r="O8" s="23"/>
      <c r="P8" s="23"/>
      <c r="Q8" s="23"/>
      <c r="R8" s="23"/>
      <c r="S8" s="23"/>
      <c r="T8" s="23"/>
      <c r="U8" s="23"/>
      <c r="V8" s="23"/>
      <c r="W8" s="23"/>
      <c r="X8" s="23"/>
      <c r="Y8" s="23"/>
      <c r="Z8" s="23"/>
      <c r="AA8" s="23"/>
      <c r="AB8" s="23"/>
      <c r="AC8" s="23"/>
      <c r="AD8" s="23"/>
      <c r="AE8" s="23"/>
      <c r="AF8" s="25"/>
      <c r="AG8" s="25"/>
      <c r="AH8" s="26"/>
      <c r="AI8" s="23"/>
      <c r="AJ8" s="23"/>
      <c r="AK8" s="23"/>
      <c r="AL8" s="23"/>
      <c r="AM8" s="23"/>
      <c r="AN8" s="23"/>
      <c r="AO8" s="23"/>
      <c r="AP8" s="23"/>
      <c r="AQ8" s="23"/>
      <c r="AR8" s="23"/>
      <c r="AS8" s="23"/>
      <c r="AT8" s="23"/>
      <c r="AU8" s="23"/>
      <c r="AV8" s="23"/>
      <c r="AW8" s="23"/>
      <c r="AX8" s="23"/>
      <c r="AY8" s="23"/>
      <c r="AZ8" s="23"/>
      <c r="BA8" s="23"/>
      <c r="BB8" s="23"/>
      <c r="BC8" s="23"/>
      <c r="BD8" s="23"/>
      <c r="BE8" s="25"/>
      <c r="BF8" s="25"/>
      <c r="BG8" s="26"/>
      <c r="BH8" s="23"/>
      <c r="BI8" s="23"/>
      <c r="BJ8" s="23"/>
      <c r="BK8" s="23"/>
      <c r="BL8" s="23"/>
      <c r="BM8" s="23"/>
      <c r="BN8" s="23"/>
      <c r="BO8" s="23"/>
      <c r="BP8" s="23"/>
      <c r="BQ8" s="23"/>
      <c r="BR8" s="23"/>
      <c r="BS8" s="23"/>
      <c r="BT8" s="23"/>
      <c r="BU8" s="23"/>
      <c r="BV8" s="23"/>
      <c r="BW8" s="23"/>
      <c r="BX8" s="23"/>
      <c r="BY8" s="23"/>
      <c r="BZ8" s="23"/>
      <c r="CA8" s="23"/>
      <c r="CB8" s="23"/>
      <c r="CC8" s="23"/>
      <c r="CD8" s="25"/>
      <c r="CE8" s="25"/>
      <c r="CF8" s="26"/>
      <c r="CG8" s="23"/>
      <c r="CH8" s="23"/>
      <c r="CI8" s="23"/>
      <c r="CJ8" s="23"/>
      <c r="CK8" s="23"/>
      <c r="CL8" s="23"/>
      <c r="CM8" s="23"/>
      <c r="CN8" s="23"/>
      <c r="CO8" s="23"/>
      <c r="CP8" s="23"/>
      <c r="CQ8" s="23"/>
      <c r="CR8" s="23"/>
      <c r="CS8" s="23"/>
      <c r="CT8" s="23"/>
      <c r="CU8" s="23"/>
      <c r="CV8" s="23"/>
      <c r="CW8" s="23"/>
      <c r="CX8" s="23"/>
      <c r="CY8" s="23"/>
      <c r="CZ8" s="23"/>
      <c r="DA8" s="23"/>
      <c r="DB8" s="23"/>
      <c r="DC8" s="25"/>
      <c r="DD8" s="25"/>
      <c r="DE8" s="26"/>
      <c r="DF8" s="23"/>
      <c r="DG8" s="23"/>
      <c r="DH8" s="23"/>
      <c r="DI8" s="23"/>
      <c r="DJ8" s="23"/>
      <c r="DK8" s="23"/>
      <c r="DL8" s="23"/>
      <c r="DM8" s="23"/>
      <c r="DN8" s="23"/>
      <c r="DO8" s="23"/>
      <c r="DP8" s="23"/>
      <c r="DQ8" s="23"/>
      <c r="DR8" s="23"/>
      <c r="DS8" s="23"/>
      <c r="DT8" s="23"/>
      <c r="DU8" s="23"/>
      <c r="DV8" s="23"/>
      <c r="DW8" s="23"/>
      <c r="DX8" s="23"/>
      <c r="DY8" s="23"/>
      <c r="DZ8" s="23"/>
      <c r="EA8" s="23"/>
      <c r="EB8" s="25"/>
      <c r="EC8" s="25"/>
      <c r="ED8" s="26"/>
      <c r="EE8" s="23"/>
      <c r="EF8" s="23"/>
      <c r="EG8" s="23"/>
      <c r="EH8" s="23"/>
      <c r="EI8" s="23"/>
      <c r="EJ8" s="23"/>
      <c r="EK8" s="23"/>
      <c r="EL8" s="23"/>
      <c r="EM8" s="23"/>
      <c r="EN8" s="23"/>
      <c r="EO8" s="23"/>
      <c r="EP8" s="23"/>
      <c r="EQ8" s="23"/>
      <c r="ER8" s="23"/>
      <c r="ES8" s="23"/>
      <c r="ET8" s="23"/>
      <c r="EU8" s="23"/>
      <c r="EV8" s="23"/>
      <c r="EW8" s="23"/>
      <c r="EX8" s="23"/>
      <c r="EY8" s="23"/>
      <c r="EZ8" s="23"/>
      <c r="FA8" s="25"/>
      <c r="FB8" s="25"/>
      <c r="FC8" s="26"/>
      <c r="FD8" s="23"/>
      <c r="FE8" s="23"/>
      <c r="FF8" s="23"/>
      <c r="FG8" s="23"/>
      <c r="FH8" s="23"/>
      <c r="FI8" s="23"/>
      <c r="FJ8" s="23"/>
      <c r="FK8" s="23"/>
      <c r="FL8" s="23"/>
      <c r="FM8" s="23"/>
      <c r="FN8" s="23"/>
      <c r="FO8" s="23"/>
      <c r="FP8" s="23"/>
      <c r="FQ8" s="23"/>
      <c r="FR8" s="23"/>
      <c r="FS8" s="23"/>
    </row>
    <row r="9" spans="1:175" ht="14.5" customHeight="1" x14ac:dyDescent="0.35">
      <c r="A9" s="88" t="s">
        <v>41</v>
      </c>
      <c r="B9" s="89"/>
      <c r="C9" s="89"/>
      <c r="D9" s="89"/>
      <c r="E9" s="89"/>
      <c r="F9" s="90"/>
      <c r="G9" s="25"/>
      <c r="H9" s="25"/>
      <c r="I9" s="82" t="s">
        <v>42</v>
      </c>
      <c r="J9" s="102"/>
      <c r="K9" s="102"/>
      <c r="L9" s="102"/>
      <c r="M9" s="102"/>
      <c r="N9" s="102"/>
      <c r="O9" s="102"/>
      <c r="P9" s="102"/>
      <c r="Q9" s="102"/>
      <c r="R9" s="103"/>
      <c r="S9" s="23"/>
      <c r="T9" s="23"/>
      <c r="U9" s="23"/>
      <c r="V9" s="23"/>
      <c r="W9" s="23"/>
      <c r="X9" s="23"/>
      <c r="Y9" s="23"/>
      <c r="Z9" s="88" t="s">
        <v>43</v>
      </c>
      <c r="AA9" s="89"/>
      <c r="AB9" s="89"/>
      <c r="AC9" s="89"/>
      <c r="AD9" s="89"/>
      <c r="AE9" s="90"/>
      <c r="AF9" s="25"/>
      <c r="AG9" s="25"/>
      <c r="AH9" s="82" t="s">
        <v>44</v>
      </c>
      <c r="AI9" s="102"/>
      <c r="AJ9" s="102"/>
      <c r="AK9" s="102"/>
      <c r="AL9" s="102"/>
      <c r="AM9" s="102"/>
      <c r="AN9" s="102"/>
      <c r="AO9" s="102"/>
      <c r="AP9" s="102"/>
      <c r="AQ9" s="103"/>
      <c r="AR9" s="23"/>
      <c r="AS9" s="23"/>
      <c r="AT9" s="23"/>
      <c r="AU9" s="23"/>
      <c r="AV9" s="23"/>
      <c r="AW9" s="23"/>
      <c r="AX9" s="23"/>
      <c r="AY9" s="88" t="s">
        <v>45</v>
      </c>
      <c r="AZ9" s="89"/>
      <c r="BA9" s="89"/>
      <c r="BB9" s="89"/>
      <c r="BC9" s="89"/>
      <c r="BD9" s="90"/>
      <c r="BE9" s="25"/>
      <c r="BF9" s="25"/>
      <c r="BG9" s="82" t="s">
        <v>46</v>
      </c>
      <c r="BH9" s="102"/>
      <c r="BI9" s="102"/>
      <c r="BJ9" s="102"/>
      <c r="BK9" s="102"/>
      <c r="BL9" s="102"/>
      <c r="BM9" s="102"/>
      <c r="BN9" s="102"/>
      <c r="BO9" s="102"/>
      <c r="BP9" s="103"/>
      <c r="BQ9" s="23"/>
      <c r="BR9" s="23"/>
      <c r="BS9" s="23"/>
      <c r="BT9" s="23"/>
      <c r="BU9" s="23"/>
      <c r="BV9" s="23"/>
      <c r="BW9" s="23"/>
      <c r="BX9" s="88" t="s">
        <v>47</v>
      </c>
      <c r="BY9" s="89"/>
      <c r="BZ9" s="89"/>
      <c r="CA9" s="89"/>
      <c r="CB9" s="89"/>
      <c r="CC9" s="90"/>
      <c r="CD9" s="25"/>
      <c r="CE9" s="25"/>
      <c r="CF9" s="82" t="s">
        <v>48</v>
      </c>
      <c r="CG9" s="102"/>
      <c r="CH9" s="102"/>
      <c r="CI9" s="102"/>
      <c r="CJ9" s="102"/>
      <c r="CK9" s="102"/>
      <c r="CL9" s="102"/>
      <c r="CM9" s="102"/>
      <c r="CN9" s="102"/>
      <c r="CO9" s="103"/>
      <c r="CP9" s="23"/>
      <c r="CQ9" s="23"/>
      <c r="CR9" s="23"/>
      <c r="CS9" s="23"/>
      <c r="CT9" s="23"/>
      <c r="CU9" s="23"/>
      <c r="CV9" s="23"/>
      <c r="CW9" s="88" t="s">
        <v>49</v>
      </c>
      <c r="CX9" s="89"/>
      <c r="CY9" s="89"/>
      <c r="CZ9" s="89"/>
      <c r="DA9" s="89"/>
      <c r="DB9" s="90"/>
      <c r="DC9" s="25"/>
      <c r="DD9" s="25"/>
      <c r="DE9" s="82" t="s">
        <v>50</v>
      </c>
      <c r="DF9" s="102"/>
      <c r="DG9" s="102"/>
      <c r="DH9" s="102"/>
      <c r="DI9" s="102"/>
      <c r="DJ9" s="102"/>
      <c r="DK9" s="102"/>
      <c r="DL9" s="102"/>
      <c r="DM9" s="102"/>
      <c r="DN9" s="103"/>
      <c r="DO9" s="23"/>
      <c r="DP9" s="23"/>
      <c r="DQ9" s="23"/>
      <c r="DR9" s="23"/>
      <c r="DS9" s="23"/>
      <c r="DT9" s="23"/>
      <c r="DU9" s="23"/>
      <c r="DV9" s="88" t="s">
        <v>51</v>
      </c>
      <c r="DW9" s="89"/>
      <c r="DX9" s="89"/>
      <c r="DY9" s="89"/>
      <c r="DZ9" s="89"/>
      <c r="EA9" s="90"/>
      <c r="EB9" s="25"/>
      <c r="EC9" s="25"/>
      <c r="ED9" s="82" t="s">
        <v>52</v>
      </c>
      <c r="EE9" s="102"/>
      <c r="EF9" s="102"/>
      <c r="EG9" s="102"/>
      <c r="EH9" s="102"/>
      <c r="EI9" s="102"/>
      <c r="EJ9" s="102"/>
      <c r="EK9" s="102"/>
      <c r="EL9" s="102"/>
      <c r="EM9" s="103"/>
      <c r="EN9" s="23"/>
      <c r="EO9" s="23"/>
      <c r="EP9" s="23"/>
      <c r="EQ9" s="23"/>
      <c r="ER9" s="23"/>
      <c r="ES9" s="23"/>
      <c r="ET9" s="23"/>
      <c r="EU9" s="88" t="s">
        <v>53</v>
      </c>
      <c r="EV9" s="89"/>
      <c r="EW9" s="89"/>
      <c r="EX9" s="89"/>
      <c r="EY9" s="89"/>
      <c r="EZ9" s="90"/>
      <c r="FA9" s="25"/>
      <c r="FB9" s="25"/>
      <c r="FC9" s="82" t="s">
        <v>54</v>
      </c>
      <c r="FD9" s="102"/>
      <c r="FE9" s="102"/>
      <c r="FF9" s="102"/>
      <c r="FG9" s="102"/>
      <c r="FH9" s="102"/>
      <c r="FI9" s="102"/>
      <c r="FJ9" s="102"/>
      <c r="FK9" s="102"/>
      <c r="FL9" s="103"/>
      <c r="FM9" s="23"/>
      <c r="FN9" s="23"/>
      <c r="FO9" s="23"/>
      <c r="FP9" s="23"/>
      <c r="FQ9" s="23"/>
      <c r="FR9" s="23"/>
      <c r="FS9" s="23"/>
    </row>
    <row r="10" spans="1:175" ht="15" customHeight="1" thickBot="1" x14ac:dyDescent="0.4">
      <c r="A10" s="91"/>
      <c r="B10" s="92"/>
      <c r="C10" s="92"/>
      <c r="D10" s="92"/>
      <c r="E10" s="92"/>
      <c r="F10" s="93"/>
      <c r="G10" s="25"/>
      <c r="H10" s="25"/>
      <c r="I10" s="104"/>
      <c r="J10" s="105"/>
      <c r="K10" s="105"/>
      <c r="L10" s="105"/>
      <c r="M10" s="105"/>
      <c r="N10" s="105"/>
      <c r="O10" s="105"/>
      <c r="P10" s="105"/>
      <c r="Q10" s="105"/>
      <c r="R10" s="106"/>
      <c r="S10" s="23"/>
      <c r="T10" s="23"/>
      <c r="U10" s="23"/>
      <c r="V10" s="23"/>
      <c r="W10" s="23"/>
      <c r="X10" s="23"/>
      <c r="Y10" s="23"/>
      <c r="Z10" s="91"/>
      <c r="AA10" s="92"/>
      <c r="AB10" s="92"/>
      <c r="AC10" s="92"/>
      <c r="AD10" s="92"/>
      <c r="AE10" s="93"/>
      <c r="AF10" s="25"/>
      <c r="AG10" s="25"/>
      <c r="AH10" s="104"/>
      <c r="AI10" s="105"/>
      <c r="AJ10" s="105"/>
      <c r="AK10" s="105"/>
      <c r="AL10" s="105"/>
      <c r="AM10" s="105"/>
      <c r="AN10" s="105"/>
      <c r="AO10" s="105"/>
      <c r="AP10" s="105"/>
      <c r="AQ10" s="106"/>
      <c r="AR10" s="23"/>
      <c r="AS10" s="23"/>
      <c r="AT10" s="23"/>
      <c r="AU10" s="23"/>
      <c r="AV10" s="23"/>
      <c r="AW10" s="23"/>
      <c r="AX10" s="23"/>
      <c r="AY10" s="91"/>
      <c r="AZ10" s="92"/>
      <c r="BA10" s="92"/>
      <c r="BB10" s="92"/>
      <c r="BC10" s="92"/>
      <c r="BD10" s="93"/>
      <c r="BE10" s="25"/>
      <c r="BF10" s="25"/>
      <c r="BG10" s="104"/>
      <c r="BH10" s="105"/>
      <c r="BI10" s="105"/>
      <c r="BJ10" s="105"/>
      <c r="BK10" s="105"/>
      <c r="BL10" s="105"/>
      <c r="BM10" s="105"/>
      <c r="BN10" s="105"/>
      <c r="BO10" s="105"/>
      <c r="BP10" s="106"/>
      <c r="BQ10" s="23"/>
      <c r="BR10" s="23"/>
      <c r="BS10" s="23"/>
      <c r="BT10" s="23"/>
      <c r="BU10" s="23"/>
      <c r="BV10" s="23"/>
      <c r="BW10" s="23"/>
      <c r="BX10" s="91"/>
      <c r="BY10" s="92"/>
      <c r="BZ10" s="92"/>
      <c r="CA10" s="92"/>
      <c r="CB10" s="92"/>
      <c r="CC10" s="93"/>
      <c r="CD10" s="25"/>
      <c r="CE10" s="25"/>
      <c r="CF10" s="104"/>
      <c r="CG10" s="105"/>
      <c r="CH10" s="105"/>
      <c r="CI10" s="105"/>
      <c r="CJ10" s="105"/>
      <c r="CK10" s="105"/>
      <c r="CL10" s="105"/>
      <c r="CM10" s="105"/>
      <c r="CN10" s="105"/>
      <c r="CO10" s="106"/>
      <c r="CP10" s="23"/>
      <c r="CQ10" s="23"/>
      <c r="CR10" s="23"/>
      <c r="CS10" s="23"/>
      <c r="CT10" s="23"/>
      <c r="CU10" s="23"/>
      <c r="CV10" s="23"/>
      <c r="CW10" s="91"/>
      <c r="CX10" s="92"/>
      <c r="CY10" s="92"/>
      <c r="CZ10" s="92"/>
      <c r="DA10" s="92"/>
      <c r="DB10" s="93"/>
      <c r="DC10" s="25"/>
      <c r="DD10" s="25"/>
      <c r="DE10" s="104"/>
      <c r="DF10" s="105"/>
      <c r="DG10" s="105"/>
      <c r="DH10" s="105"/>
      <c r="DI10" s="105"/>
      <c r="DJ10" s="105"/>
      <c r="DK10" s="105"/>
      <c r="DL10" s="105"/>
      <c r="DM10" s="105"/>
      <c r="DN10" s="106"/>
      <c r="DO10" s="23"/>
      <c r="DP10" s="23"/>
      <c r="DQ10" s="23"/>
      <c r="DR10" s="23"/>
      <c r="DS10" s="23"/>
      <c r="DT10" s="23"/>
      <c r="DU10" s="23"/>
      <c r="DV10" s="91"/>
      <c r="DW10" s="92"/>
      <c r="DX10" s="92"/>
      <c r="DY10" s="92"/>
      <c r="DZ10" s="92"/>
      <c r="EA10" s="93"/>
      <c r="EB10" s="25"/>
      <c r="EC10" s="25"/>
      <c r="ED10" s="104"/>
      <c r="EE10" s="105"/>
      <c r="EF10" s="105"/>
      <c r="EG10" s="105"/>
      <c r="EH10" s="105"/>
      <c r="EI10" s="105"/>
      <c r="EJ10" s="105"/>
      <c r="EK10" s="105"/>
      <c r="EL10" s="105"/>
      <c r="EM10" s="106"/>
      <c r="EN10" s="23"/>
      <c r="EO10" s="23"/>
      <c r="EP10" s="23"/>
      <c r="EQ10" s="23"/>
      <c r="ER10" s="23"/>
      <c r="ES10" s="23"/>
      <c r="ET10" s="23"/>
      <c r="EU10" s="91"/>
      <c r="EV10" s="92"/>
      <c r="EW10" s="92"/>
      <c r="EX10" s="92"/>
      <c r="EY10" s="92"/>
      <c r="EZ10" s="93"/>
      <c r="FA10" s="25"/>
      <c r="FB10" s="25"/>
      <c r="FC10" s="104"/>
      <c r="FD10" s="105"/>
      <c r="FE10" s="105"/>
      <c r="FF10" s="105"/>
      <c r="FG10" s="105"/>
      <c r="FH10" s="105"/>
      <c r="FI10" s="105"/>
      <c r="FJ10" s="105"/>
      <c r="FK10" s="105"/>
      <c r="FL10" s="106"/>
      <c r="FM10" s="23"/>
      <c r="FN10" s="23"/>
      <c r="FO10" s="23"/>
      <c r="FP10" s="23"/>
      <c r="FQ10" s="23"/>
      <c r="FR10" s="23"/>
      <c r="FS10" s="23"/>
    </row>
    <row r="11" spans="1:175" ht="16" x14ac:dyDescent="0.35">
      <c r="A11" s="107" t="s">
        <v>1</v>
      </c>
      <c r="B11" s="108"/>
      <c r="C11" s="113" t="s">
        <v>6</v>
      </c>
      <c r="D11" s="107" t="s">
        <v>55</v>
      </c>
      <c r="E11" s="108"/>
      <c r="F11" s="116">
        <f>VLOOKUP(C11,BREAKFASTTABLE,2,FALSE)</f>
        <v>310</v>
      </c>
      <c r="G11" s="23"/>
      <c r="H11" s="23"/>
      <c r="I11" s="17" t="s">
        <v>56</v>
      </c>
      <c r="J11" s="28"/>
      <c r="K11" s="17" t="s">
        <v>4</v>
      </c>
      <c r="L11" s="28"/>
      <c r="M11" s="17" t="s">
        <v>57</v>
      </c>
      <c r="N11" s="28"/>
      <c r="O11" s="17" t="s">
        <v>58</v>
      </c>
      <c r="P11" s="28"/>
      <c r="Q11" s="17" t="s">
        <v>59</v>
      </c>
      <c r="R11" s="28"/>
      <c r="S11" s="23"/>
      <c r="T11" s="23"/>
      <c r="U11" s="23"/>
      <c r="V11" s="23"/>
      <c r="W11" s="23"/>
      <c r="X11" s="23"/>
      <c r="Y11" s="23"/>
      <c r="Z11" s="107" t="s">
        <v>1</v>
      </c>
      <c r="AA11" s="108"/>
      <c r="AB11" s="113" t="s">
        <v>7</v>
      </c>
      <c r="AC11" s="107" t="s">
        <v>55</v>
      </c>
      <c r="AD11" s="108"/>
      <c r="AE11" s="116">
        <f>VLOOKUP(AB11,BREAKFASTTABLE,2,FALSE)</f>
        <v>265</v>
      </c>
      <c r="AF11" s="23"/>
      <c r="AG11" s="23"/>
      <c r="AH11" s="17" t="s">
        <v>56</v>
      </c>
      <c r="AI11" s="28"/>
      <c r="AJ11" s="17" t="s">
        <v>4</v>
      </c>
      <c r="AK11" s="28"/>
      <c r="AL11" s="17" t="s">
        <v>57</v>
      </c>
      <c r="AM11" s="28"/>
      <c r="AN11" s="17" t="s">
        <v>58</v>
      </c>
      <c r="AO11" s="28"/>
      <c r="AP11" s="17" t="s">
        <v>59</v>
      </c>
      <c r="AQ11" s="28"/>
      <c r="AR11" s="23"/>
      <c r="AS11" s="23"/>
      <c r="AT11" s="23"/>
      <c r="AU11" s="23"/>
      <c r="AV11" s="23"/>
      <c r="AW11" s="23"/>
      <c r="AX11" s="23"/>
      <c r="AY11" s="107" t="s">
        <v>1</v>
      </c>
      <c r="AZ11" s="108"/>
      <c r="BA11" s="113" t="s">
        <v>9</v>
      </c>
      <c r="BB11" s="107" t="s">
        <v>55</v>
      </c>
      <c r="BC11" s="108"/>
      <c r="BD11" s="116">
        <f>VLOOKUP(BA11,BREAKFASTTABLE,2,FALSE)</f>
        <v>340</v>
      </c>
      <c r="BE11" s="23"/>
      <c r="BF11" s="23"/>
      <c r="BG11" s="17" t="s">
        <v>56</v>
      </c>
      <c r="BH11" s="28"/>
      <c r="BI11" s="17" t="s">
        <v>4</v>
      </c>
      <c r="BJ11" s="28"/>
      <c r="BK11" s="17" t="s">
        <v>57</v>
      </c>
      <c r="BL11" s="28"/>
      <c r="BM11" s="17" t="s">
        <v>58</v>
      </c>
      <c r="BN11" s="28"/>
      <c r="BO11" s="17" t="s">
        <v>59</v>
      </c>
      <c r="BP11" s="28"/>
      <c r="BQ11" s="23"/>
      <c r="BR11" s="23"/>
      <c r="BS11" s="23"/>
      <c r="BT11" s="23"/>
      <c r="BU11" s="23"/>
      <c r="BV11" s="23"/>
      <c r="BW11" s="23"/>
      <c r="BX11" s="107" t="s">
        <v>1</v>
      </c>
      <c r="BY11" s="108"/>
      <c r="BZ11" s="113" t="s">
        <v>11</v>
      </c>
      <c r="CA11" s="107" t="s">
        <v>55</v>
      </c>
      <c r="CB11" s="108"/>
      <c r="CC11" s="116">
        <f>VLOOKUP(BZ11,BREAKFASTTABLE,2,FALSE)</f>
        <v>300</v>
      </c>
      <c r="CD11" s="23"/>
      <c r="CE11" s="23"/>
      <c r="CF11" s="17" t="s">
        <v>56</v>
      </c>
      <c r="CG11" s="28"/>
      <c r="CH11" s="17" t="s">
        <v>4</v>
      </c>
      <c r="CI11" s="28"/>
      <c r="CJ11" s="17" t="s">
        <v>57</v>
      </c>
      <c r="CK11" s="28"/>
      <c r="CL11" s="17" t="s">
        <v>58</v>
      </c>
      <c r="CM11" s="28"/>
      <c r="CN11" s="17" t="s">
        <v>59</v>
      </c>
      <c r="CO11" s="28"/>
      <c r="CP11" s="23"/>
      <c r="CQ11" s="23"/>
      <c r="CR11" s="23"/>
      <c r="CS11" s="23"/>
      <c r="CT11" s="23"/>
      <c r="CU11" s="23"/>
      <c r="CV11" s="23"/>
      <c r="CW11" s="107" t="s">
        <v>1</v>
      </c>
      <c r="CX11" s="108"/>
      <c r="CY11" s="113" t="s">
        <v>13</v>
      </c>
      <c r="CZ11" s="107" t="s">
        <v>55</v>
      </c>
      <c r="DA11" s="108"/>
      <c r="DB11" s="116">
        <f>VLOOKUP(CY11,BREAKFASTTABLE,2,FALSE)</f>
        <v>250</v>
      </c>
      <c r="DC11" s="23"/>
      <c r="DD11" s="23"/>
      <c r="DE11" s="17" t="s">
        <v>56</v>
      </c>
      <c r="DF11" s="28"/>
      <c r="DG11" s="17" t="s">
        <v>4</v>
      </c>
      <c r="DH11" s="28"/>
      <c r="DI11" s="17" t="s">
        <v>57</v>
      </c>
      <c r="DJ11" s="28"/>
      <c r="DK11" s="17" t="s">
        <v>58</v>
      </c>
      <c r="DL11" s="28"/>
      <c r="DM11" s="17" t="s">
        <v>59</v>
      </c>
      <c r="DN11" s="28"/>
      <c r="DO11" s="23"/>
      <c r="DP11" s="23"/>
      <c r="DQ11" s="23"/>
      <c r="DR11" s="23"/>
      <c r="DS11" s="23"/>
      <c r="DT11" s="23"/>
      <c r="DU11" s="23"/>
      <c r="DV11" s="107" t="s">
        <v>1</v>
      </c>
      <c r="DW11" s="108"/>
      <c r="DX11" s="113" t="s">
        <v>6</v>
      </c>
      <c r="DY11" s="107" t="s">
        <v>55</v>
      </c>
      <c r="DZ11" s="108"/>
      <c r="EA11" s="116">
        <f>VLOOKUP(DX11,BREAKFASTTABLE,2,FALSE)</f>
        <v>310</v>
      </c>
      <c r="EB11" s="23"/>
      <c r="EC11" s="23"/>
      <c r="ED11" s="17" t="s">
        <v>56</v>
      </c>
      <c r="EE11" s="28"/>
      <c r="EF11" s="17" t="s">
        <v>4</v>
      </c>
      <c r="EG11" s="28"/>
      <c r="EH11" s="17" t="s">
        <v>57</v>
      </c>
      <c r="EI11" s="28"/>
      <c r="EJ11" s="17" t="s">
        <v>58</v>
      </c>
      <c r="EK11" s="28"/>
      <c r="EL11" s="17" t="s">
        <v>59</v>
      </c>
      <c r="EM11" s="28"/>
      <c r="EN11" s="23"/>
      <c r="EO11" s="23"/>
      <c r="EP11" s="23"/>
      <c r="EQ11" s="23"/>
      <c r="ER11" s="23"/>
      <c r="ES11" s="23"/>
      <c r="ET11" s="23"/>
      <c r="EU11" s="107" t="s">
        <v>1</v>
      </c>
      <c r="EV11" s="108"/>
      <c r="EW11" s="113" t="s">
        <v>6</v>
      </c>
      <c r="EX11" s="107" t="s">
        <v>55</v>
      </c>
      <c r="EY11" s="108"/>
      <c r="EZ11" s="116">
        <f>VLOOKUP(EW11,BREAKFASTTABLE,2,FALSE)</f>
        <v>310</v>
      </c>
      <c r="FA11" s="23"/>
      <c r="FB11" s="23"/>
      <c r="FC11" s="17" t="s">
        <v>56</v>
      </c>
      <c r="FD11" s="28"/>
      <c r="FE11" s="17" t="s">
        <v>4</v>
      </c>
      <c r="FF11" s="28"/>
      <c r="FG11" s="17" t="s">
        <v>57</v>
      </c>
      <c r="FH11" s="28"/>
      <c r="FI11" s="17" t="s">
        <v>58</v>
      </c>
      <c r="FJ11" s="28"/>
      <c r="FK11" s="17" t="s">
        <v>59</v>
      </c>
      <c r="FL11" s="28"/>
      <c r="FM11" s="23"/>
      <c r="FN11" s="23"/>
      <c r="FO11" s="23"/>
      <c r="FP11" s="23"/>
      <c r="FQ11" s="23"/>
      <c r="FR11" s="23"/>
      <c r="FS11" s="23"/>
    </row>
    <row r="12" spans="1:175" ht="16.5" thickBot="1" x14ac:dyDescent="0.4">
      <c r="A12" s="109"/>
      <c r="B12" s="110"/>
      <c r="C12" s="114"/>
      <c r="D12" s="109"/>
      <c r="E12" s="110"/>
      <c r="F12" s="117"/>
      <c r="G12" s="23"/>
      <c r="H12" s="23"/>
      <c r="I12" s="19"/>
      <c r="J12" s="29"/>
      <c r="K12" s="19"/>
      <c r="L12" s="29"/>
      <c r="M12" s="19"/>
      <c r="N12" s="29"/>
      <c r="O12" s="19"/>
      <c r="P12" s="29"/>
      <c r="Q12" s="19"/>
      <c r="R12" s="29"/>
      <c r="S12" s="23"/>
      <c r="T12" s="23"/>
      <c r="U12" s="23"/>
      <c r="V12" s="23"/>
      <c r="W12" s="23"/>
      <c r="X12" s="23"/>
      <c r="Y12" s="23"/>
      <c r="Z12" s="109"/>
      <c r="AA12" s="110"/>
      <c r="AB12" s="114"/>
      <c r="AC12" s="109"/>
      <c r="AD12" s="110"/>
      <c r="AE12" s="117"/>
      <c r="AF12" s="23"/>
      <c r="AG12" s="23"/>
      <c r="AH12" s="19"/>
      <c r="AI12" s="29"/>
      <c r="AJ12" s="19"/>
      <c r="AK12" s="29"/>
      <c r="AL12" s="19"/>
      <c r="AM12" s="29"/>
      <c r="AN12" s="19"/>
      <c r="AO12" s="29"/>
      <c r="AP12" s="19"/>
      <c r="AQ12" s="29"/>
      <c r="AR12" s="23"/>
      <c r="AS12" s="23"/>
      <c r="AT12" s="23"/>
      <c r="AU12" s="23"/>
      <c r="AV12" s="23"/>
      <c r="AW12" s="23"/>
      <c r="AX12" s="23"/>
      <c r="AY12" s="109"/>
      <c r="AZ12" s="110"/>
      <c r="BA12" s="114"/>
      <c r="BB12" s="109"/>
      <c r="BC12" s="110"/>
      <c r="BD12" s="117"/>
      <c r="BE12" s="23"/>
      <c r="BF12" s="23"/>
      <c r="BG12" s="19"/>
      <c r="BH12" s="29"/>
      <c r="BI12" s="19"/>
      <c r="BJ12" s="29"/>
      <c r="BK12" s="19"/>
      <c r="BL12" s="29"/>
      <c r="BM12" s="19"/>
      <c r="BN12" s="29"/>
      <c r="BO12" s="19"/>
      <c r="BP12" s="29"/>
      <c r="BQ12" s="23"/>
      <c r="BR12" s="23"/>
      <c r="BS12" s="23"/>
      <c r="BT12" s="23"/>
      <c r="BU12" s="23"/>
      <c r="BV12" s="23"/>
      <c r="BW12" s="23"/>
      <c r="BX12" s="109"/>
      <c r="BY12" s="110"/>
      <c r="BZ12" s="114"/>
      <c r="CA12" s="109"/>
      <c r="CB12" s="110"/>
      <c r="CC12" s="117"/>
      <c r="CD12" s="23"/>
      <c r="CE12" s="23"/>
      <c r="CF12" s="19"/>
      <c r="CG12" s="29"/>
      <c r="CH12" s="19"/>
      <c r="CI12" s="29"/>
      <c r="CJ12" s="19"/>
      <c r="CK12" s="29"/>
      <c r="CL12" s="19"/>
      <c r="CM12" s="29"/>
      <c r="CN12" s="19"/>
      <c r="CO12" s="29"/>
      <c r="CP12" s="23"/>
      <c r="CQ12" s="23"/>
      <c r="CR12" s="23"/>
      <c r="CS12" s="23"/>
      <c r="CT12" s="23"/>
      <c r="CU12" s="23"/>
      <c r="CV12" s="23"/>
      <c r="CW12" s="109"/>
      <c r="CX12" s="110"/>
      <c r="CY12" s="114"/>
      <c r="CZ12" s="109"/>
      <c r="DA12" s="110"/>
      <c r="DB12" s="117"/>
      <c r="DC12" s="23"/>
      <c r="DD12" s="23"/>
      <c r="DE12" s="19"/>
      <c r="DF12" s="29"/>
      <c r="DG12" s="19"/>
      <c r="DH12" s="29"/>
      <c r="DI12" s="19"/>
      <c r="DJ12" s="29"/>
      <c r="DK12" s="19"/>
      <c r="DL12" s="29"/>
      <c r="DM12" s="19"/>
      <c r="DN12" s="29"/>
      <c r="DO12" s="23"/>
      <c r="DP12" s="23"/>
      <c r="DQ12" s="23"/>
      <c r="DR12" s="23"/>
      <c r="DS12" s="23"/>
      <c r="DT12" s="23"/>
      <c r="DU12" s="23"/>
      <c r="DV12" s="109"/>
      <c r="DW12" s="110"/>
      <c r="DX12" s="114"/>
      <c r="DY12" s="109"/>
      <c r="DZ12" s="110"/>
      <c r="EA12" s="117"/>
      <c r="EB12" s="23"/>
      <c r="EC12" s="23"/>
      <c r="ED12" s="19"/>
      <c r="EE12" s="29"/>
      <c r="EF12" s="19"/>
      <c r="EG12" s="29"/>
      <c r="EH12" s="19"/>
      <c r="EI12" s="29"/>
      <c r="EJ12" s="19"/>
      <c r="EK12" s="29"/>
      <c r="EL12" s="19"/>
      <c r="EM12" s="29"/>
      <c r="EN12" s="23"/>
      <c r="EO12" s="23"/>
      <c r="EP12" s="23"/>
      <c r="EQ12" s="23"/>
      <c r="ER12" s="23"/>
      <c r="ES12" s="23"/>
      <c r="ET12" s="23"/>
      <c r="EU12" s="109"/>
      <c r="EV12" s="110"/>
      <c r="EW12" s="114"/>
      <c r="EX12" s="109"/>
      <c r="EY12" s="110"/>
      <c r="EZ12" s="117"/>
      <c r="FA12" s="23"/>
      <c r="FB12" s="23"/>
      <c r="FC12" s="19"/>
      <c r="FD12" s="29"/>
      <c r="FE12" s="19"/>
      <c r="FF12" s="29"/>
      <c r="FG12" s="19"/>
      <c r="FH12" s="29"/>
      <c r="FI12" s="19"/>
      <c r="FJ12" s="29"/>
      <c r="FK12" s="19"/>
      <c r="FL12" s="29"/>
      <c r="FM12" s="23"/>
      <c r="FN12" s="23"/>
      <c r="FO12" s="23"/>
      <c r="FP12" s="23"/>
      <c r="FQ12" s="23"/>
      <c r="FR12" s="23"/>
      <c r="FS12" s="23"/>
    </row>
    <row r="13" spans="1:175" ht="16" x14ac:dyDescent="0.35">
      <c r="A13" s="109"/>
      <c r="B13" s="110"/>
      <c r="C13" s="114"/>
      <c r="D13" s="109"/>
      <c r="E13" s="110"/>
      <c r="F13" s="117"/>
      <c r="G13" s="23"/>
      <c r="H13" s="23"/>
      <c r="I13" s="30" t="s">
        <v>8</v>
      </c>
      <c r="J13" s="31"/>
      <c r="K13" s="17">
        <f>VLOOKUP(I13,METVALUE,2,FALSE)</f>
        <v>5.5</v>
      </c>
      <c r="L13" s="18"/>
      <c r="M13" s="17">
        <v>2</v>
      </c>
      <c r="N13" s="18"/>
      <c r="O13" s="17">
        <f>K13*D3</f>
        <v>1002.6890480927664</v>
      </c>
      <c r="P13" s="18"/>
      <c r="Q13" s="17">
        <f>M13*O13</f>
        <v>2005.3780961855327</v>
      </c>
      <c r="R13" s="18"/>
      <c r="S13" s="23"/>
      <c r="T13" s="23"/>
      <c r="U13" s="23"/>
      <c r="V13" s="23"/>
      <c r="W13" s="23"/>
      <c r="X13" s="23"/>
      <c r="Y13" s="23"/>
      <c r="Z13" s="109"/>
      <c r="AA13" s="110"/>
      <c r="AB13" s="114"/>
      <c r="AC13" s="109"/>
      <c r="AD13" s="110"/>
      <c r="AE13" s="117"/>
      <c r="AF13" s="23"/>
      <c r="AG13" s="23"/>
      <c r="AH13" s="30" t="s">
        <v>8</v>
      </c>
      <c r="AI13" s="31"/>
      <c r="AJ13" s="17">
        <f>VLOOKUP(AH13,METVALUE,2,FALSE)</f>
        <v>5.5</v>
      </c>
      <c r="AK13" s="18"/>
      <c r="AL13" s="17">
        <v>0.25</v>
      </c>
      <c r="AM13" s="18"/>
      <c r="AN13" s="17">
        <f>AJ13*AC3</f>
        <v>1002.6890480927664</v>
      </c>
      <c r="AO13" s="18"/>
      <c r="AP13" s="17">
        <f>AL13*AN13</f>
        <v>250.67226202319159</v>
      </c>
      <c r="AQ13" s="18"/>
      <c r="AR13" s="23"/>
      <c r="AS13" s="23"/>
      <c r="AT13" s="23"/>
      <c r="AU13" s="23"/>
      <c r="AV13" s="23"/>
      <c r="AW13" s="23"/>
      <c r="AX13" s="23"/>
      <c r="AY13" s="109"/>
      <c r="AZ13" s="110"/>
      <c r="BA13" s="114"/>
      <c r="BB13" s="109"/>
      <c r="BC13" s="110"/>
      <c r="BD13" s="117"/>
      <c r="BE13" s="23"/>
      <c r="BF13" s="23"/>
      <c r="BG13" s="30" t="s">
        <v>8</v>
      </c>
      <c r="BH13" s="31"/>
      <c r="BI13" s="17">
        <f>VLOOKUP(BG13,METVALUE,2,FALSE)</f>
        <v>5.5</v>
      </c>
      <c r="BJ13" s="18"/>
      <c r="BK13" s="17">
        <v>0.25</v>
      </c>
      <c r="BL13" s="18"/>
      <c r="BM13" s="17">
        <f>BI13*BB3</f>
        <v>1002.6890480927664</v>
      </c>
      <c r="BN13" s="18"/>
      <c r="BO13" s="17">
        <f>BK13*BM13</f>
        <v>250.67226202319159</v>
      </c>
      <c r="BP13" s="18"/>
      <c r="BQ13" s="23"/>
      <c r="BR13" s="23"/>
      <c r="BS13" s="23"/>
      <c r="BT13" s="23"/>
      <c r="BU13" s="23"/>
      <c r="BV13" s="23"/>
      <c r="BW13" s="23"/>
      <c r="BX13" s="109"/>
      <c r="BY13" s="110"/>
      <c r="BZ13" s="114"/>
      <c r="CA13" s="109"/>
      <c r="CB13" s="110"/>
      <c r="CC13" s="117"/>
      <c r="CD13" s="23"/>
      <c r="CE13" s="23"/>
      <c r="CF13" s="30" t="s">
        <v>8</v>
      </c>
      <c r="CG13" s="31"/>
      <c r="CH13" s="17">
        <f>VLOOKUP(CF13,METVALUE,2,FALSE)</f>
        <v>5.5</v>
      </c>
      <c r="CI13" s="18"/>
      <c r="CJ13" s="17">
        <v>2</v>
      </c>
      <c r="CK13" s="18"/>
      <c r="CL13" s="17">
        <f>CH13*CA3</f>
        <v>1002.6890480927664</v>
      </c>
      <c r="CM13" s="18"/>
      <c r="CN13" s="17">
        <f>CJ13*CL13</f>
        <v>2005.3780961855327</v>
      </c>
      <c r="CO13" s="18"/>
      <c r="CP13" s="23"/>
      <c r="CQ13" s="23"/>
      <c r="CR13" s="23"/>
      <c r="CS13" s="23"/>
      <c r="CT13" s="23"/>
      <c r="CU13" s="23"/>
      <c r="CV13" s="23"/>
      <c r="CW13" s="109"/>
      <c r="CX13" s="110"/>
      <c r="CY13" s="114"/>
      <c r="CZ13" s="109"/>
      <c r="DA13" s="110"/>
      <c r="DB13" s="117"/>
      <c r="DC13" s="23"/>
      <c r="DD13" s="23"/>
      <c r="DE13" s="30" t="s">
        <v>8</v>
      </c>
      <c r="DF13" s="31"/>
      <c r="DG13" s="17">
        <f>VLOOKUP(DE13,METVALUE,2,FALSE)</f>
        <v>5.5</v>
      </c>
      <c r="DH13" s="18"/>
      <c r="DI13" s="17">
        <v>0</v>
      </c>
      <c r="DJ13" s="18"/>
      <c r="DK13" s="17">
        <f>DG13*CZ3</f>
        <v>1002.6890480927664</v>
      </c>
      <c r="DL13" s="18"/>
      <c r="DM13" s="17">
        <f>DI13*DK13</f>
        <v>0</v>
      </c>
      <c r="DN13" s="18"/>
      <c r="DO13" s="23"/>
      <c r="DP13" s="23"/>
      <c r="DQ13" s="23"/>
      <c r="DR13" s="23"/>
      <c r="DS13" s="23"/>
      <c r="DT13" s="23"/>
      <c r="DU13" s="23"/>
      <c r="DV13" s="109"/>
      <c r="DW13" s="110"/>
      <c r="DX13" s="114"/>
      <c r="DY13" s="109"/>
      <c r="DZ13" s="110"/>
      <c r="EA13" s="117"/>
      <c r="EB13" s="23"/>
      <c r="EC13" s="23"/>
      <c r="ED13" s="30" t="s">
        <v>8</v>
      </c>
      <c r="EE13" s="31"/>
      <c r="EF13" s="17">
        <f>VLOOKUP(ED13,METVALUE,2,FALSE)</f>
        <v>5.5</v>
      </c>
      <c r="EG13" s="18"/>
      <c r="EH13" s="17">
        <v>0.5</v>
      </c>
      <c r="EI13" s="18"/>
      <c r="EJ13" s="17">
        <f>EF13*DY3</f>
        <v>1002.6890480927664</v>
      </c>
      <c r="EK13" s="18"/>
      <c r="EL13" s="17">
        <f>EH13*EJ13</f>
        <v>501.34452404638319</v>
      </c>
      <c r="EM13" s="18"/>
      <c r="EN13" s="23"/>
      <c r="EO13" s="23"/>
      <c r="EP13" s="23"/>
      <c r="EQ13" s="23"/>
      <c r="ER13" s="23"/>
      <c r="ES13" s="23"/>
      <c r="ET13" s="23"/>
      <c r="EU13" s="109"/>
      <c r="EV13" s="110"/>
      <c r="EW13" s="114"/>
      <c r="EX13" s="109"/>
      <c r="EY13" s="110"/>
      <c r="EZ13" s="117"/>
      <c r="FA13" s="23"/>
      <c r="FB13" s="23"/>
      <c r="FC13" s="30" t="s">
        <v>8</v>
      </c>
      <c r="FD13" s="31"/>
      <c r="FE13" s="17">
        <f>VLOOKUP(FC13,METVALUE,2,FALSE)</f>
        <v>5.5</v>
      </c>
      <c r="FF13" s="18"/>
      <c r="FG13" s="17">
        <v>0.25</v>
      </c>
      <c r="FH13" s="18"/>
      <c r="FI13" s="17">
        <f>FE13*EX3</f>
        <v>1002.6890480927664</v>
      </c>
      <c r="FJ13" s="18"/>
      <c r="FK13" s="17">
        <f>FG13*FI13</f>
        <v>250.67226202319159</v>
      </c>
      <c r="FL13" s="18"/>
      <c r="FM13" s="23"/>
      <c r="FN13" s="23"/>
      <c r="FO13" s="23"/>
      <c r="FP13" s="23"/>
      <c r="FQ13" s="23"/>
      <c r="FR13" s="23"/>
      <c r="FS13" s="23"/>
    </row>
    <row r="14" spans="1:175" ht="16.5" thickBot="1" x14ac:dyDescent="0.4">
      <c r="A14" s="111"/>
      <c r="B14" s="112"/>
      <c r="C14" s="115"/>
      <c r="D14" s="111"/>
      <c r="E14" s="112"/>
      <c r="F14" s="118"/>
      <c r="G14" s="23"/>
      <c r="H14" s="23"/>
      <c r="I14" s="32"/>
      <c r="J14" s="33"/>
      <c r="K14" s="19"/>
      <c r="L14" s="20"/>
      <c r="M14" s="19"/>
      <c r="N14" s="20"/>
      <c r="O14" s="19"/>
      <c r="P14" s="20"/>
      <c r="Q14" s="19"/>
      <c r="R14" s="20"/>
      <c r="S14" s="23"/>
      <c r="T14" s="23"/>
      <c r="U14" s="23"/>
      <c r="V14" s="23"/>
      <c r="W14" s="23"/>
      <c r="X14" s="23"/>
      <c r="Y14" s="23"/>
      <c r="Z14" s="111"/>
      <c r="AA14" s="112"/>
      <c r="AB14" s="115"/>
      <c r="AC14" s="111"/>
      <c r="AD14" s="112"/>
      <c r="AE14" s="118"/>
      <c r="AF14" s="23"/>
      <c r="AG14" s="23"/>
      <c r="AH14" s="32"/>
      <c r="AI14" s="33"/>
      <c r="AJ14" s="19"/>
      <c r="AK14" s="20"/>
      <c r="AL14" s="19"/>
      <c r="AM14" s="20"/>
      <c r="AN14" s="19"/>
      <c r="AO14" s="20"/>
      <c r="AP14" s="19"/>
      <c r="AQ14" s="20"/>
      <c r="AR14" s="23"/>
      <c r="AS14" s="23"/>
      <c r="AT14" s="23"/>
      <c r="AU14" s="23"/>
      <c r="AV14" s="23"/>
      <c r="AW14" s="23"/>
      <c r="AX14" s="23"/>
      <c r="AY14" s="111"/>
      <c r="AZ14" s="112"/>
      <c r="BA14" s="115"/>
      <c r="BB14" s="111"/>
      <c r="BC14" s="112"/>
      <c r="BD14" s="118"/>
      <c r="BE14" s="23"/>
      <c r="BF14" s="23"/>
      <c r="BG14" s="32"/>
      <c r="BH14" s="33"/>
      <c r="BI14" s="19"/>
      <c r="BJ14" s="20"/>
      <c r="BK14" s="19"/>
      <c r="BL14" s="20"/>
      <c r="BM14" s="19"/>
      <c r="BN14" s="20"/>
      <c r="BO14" s="19"/>
      <c r="BP14" s="20"/>
      <c r="BQ14" s="23"/>
      <c r="BR14" s="23"/>
      <c r="BS14" s="23"/>
      <c r="BT14" s="23"/>
      <c r="BU14" s="23"/>
      <c r="BV14" s="23"/>
      <c r="BW14" s="23"/>
      <c r="BX14" s="111"/>
      <c r="BY14" s="112"/>
      <c r="BZ14" s="115"/>
      <c r="CA14" s="111"/>
      <c r="CB14" s="112"/>
      <c r="CC14" s="118"/>
      <c r="CD14" s="23"/>
      <c r="CE14" s="23"/>
      <c r="CF14" s="32"/>
      <c r="CG14" s="33"/>
      <c r="CH14" s="19"/>
      <c r="CI14" s="20"/>
      <c r="CJ14" s="19"/>
      <c r="CK14" s="20"/>
      <c r="CL14" s="19"/>
      <c r="CM14" s="20"/>
      <c r="CN14" s="19"/>
      <c r="CO14" s="20"/>
      <c r="CP14" s="23"/>
      <c r="CQ14" s="23"/>
      <c r="CR14" s="23"/>
      <c r="CS14" s="23"/>
      <c r="CT14" s="23"/>
      <c r="CU14" s="23"/>
      <c r="CV14" s="23"/>
      <c r="CW14" s="111"/>
      <c r="CX14" s="112"/>
      <c r="CY14" s="115"/>
      <c r="CZ14" s="111"/>
      <c r="DA14" s="112"/>
      <c r="DB14" s="118"/>
      <c r="DC14" s="23"/>
      <c r="DD14" s="23"/>
      <c r="DE14" s="32"/>
      <c r="DF14" s="33"/>
      <c r="DG14" s="19"/>
      <c r="DH14" s="20"/>
      <c r="DI14" s="19"/>
      <c r="DJ14" s="20"/>
      <c r="DK14" s="19"/>
      <c r="DL14" s="20"/>
      <c r="DM14" s="19"/>
      <c r="DN14" s="20"/>
      <c r="DO14" s="23"/>
      <c r="DP14" s="23"/>
      <c r="DQ14" s="23"/>
      <c r="DR14" s="23"/>
      <c r="DS14" s="23"/>
      <c r="DT14" s="23"/>
      <c r="DU14" s="23"/>
      <c r="DV14" s="111"/>
      <c r="DW14" s="112"/>
      <c r="DX14" s="115"/>
      <c r="DY14" s="111"/>
      <c r="DZ14" s="112"/>
      <c r="EA14" s="118"/>
      <c r="EB14" s="23"/>
      <c r="EC14" s="23"/>
      <c r="ED14" s="32"/>
      <c r="EE14" s="33"/>
      <c r="EF14" s="19"/>
      <c r="EG14" s="20"/>
      <c r="EH14" s="19"/>
      <c r="EI14" s="20"/>
      <c r="EJ14" s="19"/>
      <c r="EK14" s="20"/>
      <c r="EL14" s="19"/>
      <c r="EM14" s="20"/>
      <c r="EN14" s="23"/>
      <c r="EO14" s="23"/>
      <c r="EP14" s="23"/>
      <c r="EQ14" s="23"/>
      <c r="ER14" s="23"/>
      <c r="ES14" s="23"/>
      <c r="ET14" s="23"/>
      <c r="EU14" s="111"/>
      <c r="EV14" s="112"/>
      <c r="EW14" s="115"/>
      <c r="EX14" s="111"/>
      <c r="EY14" s="112"/>
      <c r="EZ14" s="118"/>
      <c r="FA14" s="23"/>
      <c r="FB14" s="23"/>
      <c r="FC14" s="32"/>
      <c r="FD14" s="33"/>
      <c r="FE14" s="19"/>
      <c r="FF14" s="20"/>
      <c r="FG14" s="19"/>
      <c r="FH14" s="20"/>
      <c r="FI14" s="19"/>
      <c r="FJ14" s="20"/>
      <c r="FK14" s="19"/>
      <c r="FL14" s="20"/>
      <c r="FM14" s="23"/>
      <c r="FN14" s="23"/>
      <c r="FO14" s="23"/>
      <c r="FP14" s="23"/>
      <c r="FQ14" s="23"/>
      <c r="FR14" s="23"/>
      <c r="FS14" s="23"/>
    </row>
    <row r="15" spans="1:175" ht="16.5" thickBot="1" x14ac:dyDescent="0.4">
      <c r="A15" s="107" t="s">
        <v>15</v>
      </c>
      <c r="B15" s="108"/>
      <c r="C15" s="113" t="s">
        <v>18</v>
      </c>
      <c r="D15" s="107" t="s">
        <v>55</v>
      </c>
      <c r="E15" s="108"/>
      <c r="F15" s="116">
        <f>VLOOKUP(C15,LUNCHTABLE,2,FALSE)</f>
        <v>350</v>
      </c>
      <c r="G15" s="23"/>
      <c r="H15" s="23"/>
      <c r="I15" s="34"/>
      <c r="J15" s="35"/>
      <c r="K15" s="21"/>
      <c r="L15" s="22"/>
      <c r="M15" s="21"/>
      <c r="N15" s="22"/>
      <c r="O15" s="21"/>
      <c r="P15" s="22"/>
      <c r="Q15" s="21"/>
      <c r="R15" s="22"/>
      <c r="S15" s="23"/>
      <c r="T15" s="23"/>
      <c r="U15" s="23"/>
      <c r="V15" s="23"/>
      <c r="W15" s="23"/>
      <c r="X15" s="23"/>
      <c r="Y15" s="23"/>
      <c r="Z15" s="107" t="s">
        <v>15</v>
      </c>
      <c r="AA15" s="108"/>
      <c r="AB15" s="113" t="s">
        <v>20</v>
      </c>
      <c r="AC15" s="107" t="s">
        <v>55</v>
      </c>
      <c r="AD15" s="108"/>
      <c r="AE15" s="116">
        <f>VLOOKUP(AB15,LUNCHTABLE,2,FALSE)</f>
        <v>400</v>
      </c>
      <c r="AF15" s="23"/>
      <c r="AG15" s="23"/>
      <c r="AH15" s="34"/>
      <c r="AI15" s="35"/>
      <c r="AJ15" s="21"/>
      <c r="AK15" s="22"/>
      <c r="AL15" s="21"/>
      <c r="AM15" s="22"/>
      <c r="AN15" s="21"/>
      <c r="AO15" s="22"/>
      <c r="AP15" s="21"/>
      <c r="AQ15" s="22"/>
      <c r="AR15" s="23"/>
      <c r="AS15" s="23"/>
      <c r="AT15" s="23"/>
      <c r="AU15" s="23"/>
      <c r="AV15" s="23"/>
      <c r="AW15" s="23"/>
      <c r="AX15" s="23"/>
      <c r="AY15" s="107" t="s">
        <v>15</v>
      </c>
      <c r="AZ15" s="108"/>
      <c r="BA15" s="113" t="s">
        <v>22</v>
      </c>
      <c r="BB15" s="107" t="s">
        <v>55</v>
      </c>
      <c r="BC15" s="108"/>
      <c r="BD15" s="116">
        <f>VLOOKUP(BA15,LUNCHTABLE,2,FALSE)</f>
        <v>450</v>
      </c>
      <c r="BE15" s="23"/>
      <c r="BF15" s="23"/>
      <c r="BG15" s="34"/>
      <c r="BH15" s="35"/>
      <c r="BI15" s="21"/>
      <c r="BJ15" s="22"/>
      <c r="BK15" s="21"/>
      <c r="BL15" s="22"/>
      <c r="BM15" s="21"/>
      <c r="BN15" s="22"/>
      <c r="BO15" s="21"/>
      <c r="BP15" s="22"/>
      <c r="BQ15" s="23"/>
      <c r="BR15" s="23"/>
      <c r="BS15" s="23"/>
      <c r="BT15" s="23"/>
      <c r="BU15" s="23"/>
      <c r="BV15" s="23"/>
      <c r="BW15" s="23"/>
      <c r="BX15" s="107" t="s">
        <v>15</v>
      </c>
      <c r="BY15" s="108"/>
      <c r="BZ15" s="113" t="s">
        <v>24</v>
      </c>
      <c r="CA15" s="107" t="s">
        <v>55</v>
      </c>
      <c r="CB15" s="108"/>
      <c r="CC15" s="116">
        <f>VLOOKUP(BZ15,LUNCHTABLE,2,FALSE)</f>
        <v>400</v>
      </c>
      <c r="CD15" s="23"/>
      <c r="CE15" s="23"/>
      <c r="CF15" s="34"/>
      <c r="CG15" s="35"/>
      <c r="CH15" s="21"/>
      <c r="CI15" s="22"/>
      <c r="CJ15" s="21"/>
      <c r="CK15" s="22"/>
      <c r="CL15" s="21"/>
      <c r="CM15" s="22"/>
      <c r="CN15" s="21"/>
      <c r="CO15" s="22"/>
      <c r="CP15" s="23"/>
      <c r="CQ15" s="23"/>
      <c r="CR15" s="23"/>
      <c r="CS15" s="23"/>
      <c r="CT15" s="23"/>
      <c r="CU15" s="23"/>
      <c r="CV15" s="23"/>
      <c r="CW15" s="107" t="s">
        <v>15</v>
      </c>
      <c r="CX15" s="108"/>
      <c r="CY15" s="113" t="s">
        <v>26</v>
      </c>
      <c r="CZ15" s="107" t="s">
        <v>55</v>
      </c>
      <c r="DA15" s="108"/>
      <c r="DB15" s="116">
        <f>VLOOKUP(CY15,LUNCHTABLE,2,FALSE)</f>
        <v>350</v>
      </c>
      <c r="DC15" s="23"/>
      <c r="DD15" s="23"/>
      <c r="DE15" s="34"/>
      <c r="DF15" s="35"/>
      <c r="DG15" s="21"/>
      <c r="DH15" s="22"/>
      <c r="DI15" s="21"/>
      <c r="DJ15" s="22"/>
      <c r="DK15" s="21"/>
      <c r="DL15" s="22"/>
      <c r="DM15" s="21"/>
      <c r="DN15" s="22"/>
      <c r="DO15" s="23"/>
      <c r="DP15" s="23"/>
      <c r="DQ15" s="23"/>
      <c r="DR15" s="23"/>
      <c r="DS15" s="23"/>
      <c r="DT15" s="23"/>
      <c r="DU15" s="23"/>
      <c r="DV15" s="107" t="s">
        <v>15</v>
      </c>
      <c r="DW15" s="108"/>
      <c r="DX15" s="113" t="s">
        <v>18</v>
      </c>
      <c r="DY15" s="107" t="s">
        <v>55</v>
      </c>
      <c r="DZ15" s="108"/>
      <c r="EA15" s="116">
        <f>VLOOKUP(DX15,LUNCHTABLE,2,FALSE)</f>
        <v>350</v>
      </c>
      <c r="EB15" s="23"/>
      <c r="EC15" s="23"/>
      <c r="ED15" s="34"/>
      <c r="EE15" s="35"/>
      <c r="EF15" s="21"/>
      <c r="EG15" s="22"/>
      <c r="EH15" s="21"/>
      <c r="EI15" s="22"/>
      <c r="EJ15" s="21"/>
      <c r="EK15" s="22"/>
      <c r="EL15" s="21"/>
      <c r="EM15" s="22"/>
      <c r="EN15" s="23"/>
      <c r="EO15" s="23"/>
      <c r="EP15" s="23"/>
      <c r="EQ15" s="23"/>
      <c r="ER15" s="23"/>
      <c r="ES15" s="23"/>
      <c r="ET15" s="23"/>
      <c r="EU15" s="107" t="s">
        <v>15</v>
      </c>
      <c r="EV15" s="108"/>
      <c r="EW15" s="113" t="s">
        <v>18</v>
      </c>
      <c r="EX15" s="107" t="s">
        <v>55</v>
      </c>
      <c r="EY15" s="108"/>
      <c r="EZ15" s="116">
        <f>VLOOKUP(EW15,LUNCHTABLE,2,FALSE)</f>
        <v>350</v>
      </c>
      <c r="FA15" s="23"/>
      <c r="FB15" s="23"/>
      <c r="FC15" s="34"/>
      <c r="FD15" s="35"/>
      <c r="FE15" s="21"/>
      <c r="FF15" s="22"/>
      <c r="FG15" s="21"/>
      <c r="FH15" s="22"/>
      <c r="FI15" s="21"/>
      <c r="FJ15" s="22"/>
      <c r="FK15" s="21"/>
      <c r="FL15" s="22"/>
      <c r="FM15" s="23"/>
      <c r="FN15" s="23"/>
      <c r="FO15" s="23"/>
      <c r="FP15" s="23"/>
      <c r="FQ15" s="23"/>
      <c r="FR15" s="23"/>
      <c r="FS15" s="23"/>
    </row>
    <row r="16" spans="1:175" ht="16" x14ac:dyDescent="0.35">
      <c r="A16" s="109"/>
      <c r="B16" s="110"/>
      <c r="C16" s="114"/>
      <c r="D16" s="109"/>
      <c r="E16" s="110"/>
      <c r="F16" s="117"/>
      <c r="G16" s="23"/>
      <c r="H16" s="23"/>
      <c r="I16" s="30" t="s">
        <v>10</v>
      </c>
      <c r="J16" s="31"/>
      <c r="K16" s="17">
        <f>VLOOKUP(I16,METVALUE,2,FALSE)</f>
        <v>8</v>
      </c>
      <c r="L16" s="18"/>
      <c r="M16" s="17">
        <v>1</v>
      </c>
      <c r="N16" s="18"/>
      <c r="O16" s="17">
        <f>D3*K16</f>
        <v>1458.4567972258419</v>
      </c>
      <c r="P16" s="18"/>
      <c r="Q16" s="17">
        <f>M16*O16</f>
        <v>1458.4567972258419</v>
      </c>
      <c r="R16" s="18"/>
      <c r="S16" s="23"/>
      <c r="T16" s="23"/>
      <c r="U16" s="23"/>
      <c r="V16" s="23"/>
      <c r="W16" s="23"/>
      <c r="X16" s="23"/>
      <c r="Y16" s="23"/>
      <c r="Z16" s="109"/>
      <c r="AA16" s="110"/>
      <c r="AB16" s="114"/>
      <c r="AC16" s="109"/>
      <c r="AD16" s="110"/>
      <c r="AE16" s="117"/>
      <c r="AF16" s="23"/>
      <c r="AG16" s="23"/>
      <c r="AH16" s="30" t="s">
        <v>10</v>
      </c>
      <c r="AI16" s="31"/>
      <c r="AJ16" s="17">
        <f>VLOOKUP(AH16,METVALUE,2,FALSE)</f>
        <v>8</v>
      </c>
      <c r="AK16" s="18"/>
      <c r="AL16" s="17">
        <v>0.75</v>
      </c>
      <c r="AM16" s="18"/>
      <c r="AN16" s="17">
        <f>AC3*AJ16</f>
        <v>1458.4567972258419</v>
      </c>
      <c r="AO16" s="18"/>
      <c r="AP16" s="17">
        <f>AL16*AN16</f>
        <v>1093.8425979193814</v>
      </c>
      <c r="AQ16" s="18"/>
      <c r="AR16" s="23"/>
      <c r="AS16" s="23"/>
      <c r="AT16" s="23"/>
      <c r="AU16" s="23"/>
      <c r="AV16" s="23"/>
      <c r="AW16" s="23"/>
      <c r="AX16" s="23"/>
      <c r="AY16" s="109"/>
      <c r="AZ16" s="110"/>
      <c r="BA16" s="114"/>
      <c r="BB16" s="109"/>
      <c r="BC16" s="110"/>
      <c r="BD16" s="117"/>
      <c r="BE16" s="23"/>
      <c r="BF16" s="23"/>
      <c r="BG16" s="30" t="s">
        <v>10</v>
      </c>
      <c r="BH16" s="31"/>
      <c r="BI16" s="17">
        <f>VLOOKUP(BG16,METVALUE,2,FALSE)</f>
        <v>8</v>
      </c>
      <c r="BJ16" s="18"/>
      <c r="BK16" s="17">
        <v>0.5</v>
      </c>
      <c r="BL16" s="18"/>
      <c r="BM16" s="17">
        <f>BB3*BI16</f>
        <v>1458.4567972258419</v>
      </c>
      <c r="BN16" s="18"/>
      <c r="BO16" s="17">
        <f>BK16*BM16</f>
        <v>729.22839861292096</v>
      </c>
      <c r="BP16" s="18"/>
      <c r="BQ16" s="23"/>
      <c r="BR16" s="23"/>
      <c r="BS16" s="23"/>
      <c r="BT16" s="23"/>
      <c r="BU16" s="23"/>
      <c r="BV16" s="23"/>
      <c r="BW16" s="23"/>
      <c r="BX16" s="109"/>
      <c r="BY16" s="110"/>
      <c r="BZ16" s="114"/>
      <c r="CA16" s="109"/>
      <c r="CB16" s="110"/>
      <c r="CC16" s="117"/>
      <c r="CD16" s="23"/>
      <c r="CE16" s="23"/>
      <c r="CF16" s="30" t="s">
        <v>10</v>
      </c>
      <c r="CG16" s="31"/>
      <c r="CH16" s="17">
        <f>VLOOKUP(CF16,METVALUE,2,FALSE)</f>
        <v>8</v>
      </c>
      <c r="CI16" s="18"/>
      <c r="CJ16" s="17">
        <v>0.5</v>
      </c>
      <c r="CK16" s="18"/>
      <c r="CL16" s="17">
        <f>CA3*CH16</f>
        <v>1458.4567972258419</v>
      </c>
      <c r="CM16" s="18"/>
      <c r="CN16" s="17">
        <f>CJ16*CL16</f>
        <v>729.22839861292096</v>
      </c>
      <c r="CO16" s="18"/>
      <c r="CP16" s="23"/>
      <c r="CQ16" s="23"/>
      <c r="CR16" s="23"/>
      <c r="CS16" s="23"/>
      <c r="CT16" s="23"/>
      <c r="CU16" s="23"/>
      <c r="CV16" s="23"/>
      <c r="CW16" s="109"/>
      <c r="CX16" s="110"/>
      <c r="CY16" s="114"/>
      <c r="CZ16" s="109"/>
      <c r="DA16" s="110"/>
      <c r="DB16" s="117"/>
      <c r="DC16" s="23"/>
      <c r="DD16" s="23"/>
      <c r="DE16" s="30" t="s">
        <v>10</v>
      </c>
      <c r="DF16" s="31"/>
      <c r="DG16" s="17">
        <f>VLOOKUP(DE16,METVALUE,2,FALSE)</f>
        <v>8</v>
      </c>
      <c r="DH16" s="18"/>
      <c r="DI16" s="17">
        <v>0.25</v>
      </c>
      <c r="DJ16" s="18"/>
      <c r="DK16" s="17">
        <f>CZ3*DG16</f>
        <v>1458.4567972258419</v>
      </c>
      <c r="DL16" s="18"/>
      <c r="DM16" s="17">
        <f>DI16*DK16</f>
        <v>364.61419930646048</v>
      </c>
      <c r="DN16" s="18"/>
      <c r="DO16" s="23"/>
      <c r="DP16" s="23"/>
      <c r="DQ16" s="23"/>
      <c r="DR16" s="23"/>
      <c r="DS16" s="23"/>
      <c r="DT16" s="23"/>
      <c r="DU16" s="23"/>
      <c r="DV16" s="109"/>
      <c r="DW16" s="110"/>
      <c r="DX16" s="114"/>
      <c r="DY16" s="109"/>
      <c r="DZ16" s="110"/>
      <c r="EA16" s="117"/>
      <c r="EB16" s="23"/>
      <c r="EC16" s="23"/>
      <c r="ED16" s="30" t="s">
        <v>10</v>
      </c>
      <c r="EE16" s="31"/>
      <c r="EF16" s="17">
        <f>VLOOKUP(ED16,METVALUE,2,FALSE)</f>
        <v>8</v>
      </c>
      <c r="EG16" s="18"/>
      <c r="EH16" s="17">
        <v>1</v>
      </c>
      <c r="EI16" s="18"/>
      <c r="EJ16" s="17">
        <f>DY3*EF16</f>
        <v>1458.4567972258419</v>
      </c>
      <c r="EK16" s="18"/>
      <c r="EL16" s="17">
        <f>EH16*EJ16</f>
        <v>1458.4567972258419</v>
      </c>
      <c r="EM16" s="18"/>
      <c r="EN16" s="23"/>
      <c r="EO16" s="23"/>
      <c r="EP16" s="23"/>
      <c r="EQ16" s="23"/>
      <c r="ER16" s="23"/>
      <c r="ES16" s="23"/>
      <c r="ET16" s="23"/>
      <c r="EU16" s="109"/>
      <c r="EV16" s="110"/>
      <c r="EW16" s="114"/>
      <c r="EX16" s="109"/>
      <c r="EY16" s="110"/>
      <c r="EZ16" s="117"/>
      <c r="FA16" s="23"/>
      <c r="FB16" s="23"/>
      <c r="FC16" s="30" t="s">
        <v>10</v>
      </c>
      <c r="FD16" s="31"/>
      <c r="FE16" s="17">
        <f>VLOOKUP(FC16,METVALUE,2,FALSE)</f>
        <v>8</v>
      </c>
      <c r="FF16" s="18"/>
      <c r="FG16" s="17">
        <v>0.75</v>
      </c>
      <c r="FH16" s="18"/>
      <c r="FI16" s="17">
        <f>EX3*FE16</f>
        <v>1458.4567972258419</v>
      </c>
      <c r="FJ16" s="18"/>
      <c r="FK16" s="17">
        <f>FG16*FI16</f>
        <v>1093.8425979193814</v>
      </c>
      <c r="FL16" s="18"/>
      <c r="FM16" s="23"/>
      <c r="FN16" s="23"/>
      <c r="FO16" s="23"/>
      <c r="FP16" s="23"/>
      <c r="FQ16" s="23"/>
      <c r="FR16" s="23"/>
      <c r="FS16" s="23"/>
    </row>
    <row r="17" spans="1:175" ht="16" x14ac:dyDescent="0.35">
      <c r="A17" s="109"/>
      <c r="B17" s="110"/>
      <c r="C17" s="114"/>
      <c r="D17" s="109"/>
      <c r="E17" s="110"/>
      <c r="F17" s="117"/>
      <c r="G17" s="23"/>
      <c r="H17" s="23"/>
      <c r="I17" s="32"/>
      <c r="J17" s="33"/>
      <c r="K17" s="19"/>
      <c r="L17" s="20"/>
      <c r="M17" s="19"/>
      <c r="N17" s="20"/>
      <c r="O17" s="19"/>
      <c r="P17" s="20"/>
      <c r="Q17" s="19"/>
      <c r="R17" s="20"/>
      <c r="S17" s="23"/>
      <c r="T17" s="23"/>
      <c r="U17" s="23"/>
      <c r="V17" s="23"/>
      <c r="W17" s="23"/>
      <c r="X17" s="23"/>
      <c r="Y17" s="23"/>
      <c r="Z17" s="109"/>
      <c r="AA17" s="110"/>
      <c r="AB17" s="114"/>
      <c r="AC17" s="109"/>
      <c r="AD17" s="110"/>
      <c r="AE17" s="117"/>
      <c r="AF17" s="23"/>
      <c r="AG17" s="23"/>
      <c r="AH17" s="32"/>
      <c r="AI17" s="33"/>
      <c r="AJ17" s="19"/>
      <c r="AK17" s="20"/>
      <c r="AL17" s="19"/>
      <c r="AM17" s="20"/>
      <c r="AN17" s="19"/>
      <c r="AO17" s="20"/>
      <c r="AP17" s="19"/>
      <c r="AQ17" s="20"/>
      <c r="AR17" s="23"/>
      <c r="AS17" s="23"/>
      <c r="AT17" s="23"/>
      <c r="AU17" s="23"/>
      <c r="AV17" s="23"/>
      <c r="AW17" s="23"/>
      <c r="AX17" s="23"/>
      <c r="AY17" s="109"/>
      <c r="AZ17" s="110"/>
      <c r="BA17" s="114"/>
      <c r="BB17" s="109"/>
      <c r="BC17" s="110"/>
      <c r="BD17" s="117"/>
      <c r="BE17" s="23"/>
      <c r="BF17" s="23"/>
      <c r="BG17" s="32"/>
      <c r="BH17" s="33"/>
      <c r="BI17" s="19"/>
      <c r="BJ17" s="20"/>
      <c r="BK17" s="19"/>
      <c r="BL17" s="20"/>
      <c r="BM17" s="19"/>
      <c r="BN17" s="20"/>
      <c r="BO17" s="19"/>
      <c r="BP17" s="20"/>
      <c r="BQ17" s="23"/>
      <c r="BR17" s="23"/>
      <c r="BS17" s="23"/>
      <c r="BT17" s="23"/>
      <c r="BU17" s="23"/>
      <c r="BV17" s="23"/>
      <c r="BW17" s="23"/>
      <c r="BX17" s="109"/>
      <c r="BY17" s="110"/>
      <c r="BZ17" s="114"/>
      <c r="CA17" s="109"/>
      <c r="CB17" s="110"/>
      <c r="CC17" s="117"/>
      <c r="CD17" s="23"/>
      <c r="CE17" s="23"/>
      <c r="CF17" s="32"/>
      <c r="CG17" s="33"/>
      <c r="CH17" s="19"/>
      <c r="CI17" s="20"/>
      <c r="CJ17" s="19"/>
      <c r="CK17" s="20"/>
      <c r="CL17" s="19"/>
      <c r="CM17" s="20"/>
      <c r="CN17" s="19"/>
      <c r="CO17" s="20"/>
      <c r="CP17" s="23"/>
      <c r="CQ17" s="23"/>
      <c r="CR17" s="23"/>
      <c r="CS17" s="23"/>
      <c r="CT17" s="23"/>
      <c r="CU17" s="23"/>
      <c r="CV17" s="23"/>
      <c r="CW17" s="109"/>
      <c r="CX17" s="110"/>
      <c r="CY17" s="114"/>
      <c r="CZ17" s="109"/>
      <c r="DA17" s="110"/>
      <c r="DB17" s="117"/>
      <c r="DC17" s="23"/>
      <c r="DD17" s="23"/>
      <c r="DE17" s="32"/>
      <c r="DF17" s="33"/>
      <c r="DG17" s="19"/>
      <c r="DH17" s="20"/>
      <c r="DI17" s="19"/>
      <c r="DJ17" s="20"/>
      <c r="DK17" s="19"/>
      <c r="DL17" s="20"/>
      <c r="DM17" s="19"/>
      <c r="DN17" s="20"/>
      <c r="DO17" s="23"/>
      <c r="DP17" s="23"/>
      <c r="DQ17" s="23"/>
      <c r="DR17" s="23"/>
      <c r="DS17" s="23"/>
      <c r="DT17" s="23"/>
      <c r="DU17" s="23"/>
      <c r="DV17" s="109"/>
      <c r="DW17" s="110"/>
      <c r="DX17" s="114"/>
      <c r="DY17" s="109"/>
      <c r="DZ17" s="110"/>
      <c r="EA17" s="117"/>
      <c r="EB17" s="23"/>
      <c r="EC17" s="23"/>
      <c r="ED17" s="32"/>
      <c r="EE17" s="33"/>
      <c r="EF17" s="19"/>
      <c r="EG17" s="20"/>
      <c r="EH17" s="19"/>
      <c r="EI17" s="20"/>
      <c r="EJ17" s="19"/>
      <c r="EK17" s="20"/>
      <c r="EL17" s="19"/>
      <c r="EM17" s="20"/>
      <c r="EN17" s="23"/>
      <c r="EO17" s="23"/>
      <c r="EP17" s="23"/>
      <c r="EQ17" s="23"/>
      <c r="ER17" s="23"/>
      <c r="ES17" s="23"/>
      <c r="ET17" s="23"/>
      <c r="EU17" s="109"/>
      <c r="EV17" s="110"/>
      <c r="EW17" s="114"/>
      <c r="EX17" s="109"/>
      <c r="EY17" s="110"/>
      <c r="EZ17" s="117"/>
      <c r="FA17" s="23"/>
      <c r="FB17" s="23"/>
      <c r="FC17" s="32"/>
      <c r="FD17" s="33"/>
      <c r="FE17" s="19"/>
      <c r="FF17" s="20"/>
      <c r="FG17" s="19"/>
      <c r="FH17" s="20"/>
      <c r="FI17" s="19"/>
      <c r="FJ17" s="20"/>
      <c r="FK17" s="19"/>
      <c r="FL17" s="20"/>
      <c r="FM17" s="23"/>
      <c r="FN17" s="23"/>
      <c r="FO17" s="23"/>
      <c r="FP17" s="23"/>
      <c r="FQ17" s="23"/>
      <c r="FR17" s="23"/>
      <c r="FS17" s="23"/>
    </row>
    <row r="18" spans="1:175" ht="16.5" thickBot="1" x14ac:dyDescent="0.4">
      <c r="A18" s="111"/>
      <c r="B18" s="112"/>
      <c r="C18" s="115"/>
      <c r="D18" s="111"/>
      <c r="E18" s="112"/>
      <c r="F18" s="118"/>
      <c r="G18" s="23"/>
      <c r="H18" s="23"/>
      <c r="I18" s="34"/>
      <c r="J18" s="35"/>
      <c r="K18" s="21"/>
      <c r="L18" s="22"/>
      <c r="M18" s="21"/>
      <c r="N18" s="22"/>
      <c r="O18" s="21"/>
      <c r="P18" s="22"/>
      <c r="Q18" s="21"/>
      <c r="R18" s="22"/>
      <c r="S18" s="23"/>
      <c r="T18" s="23"/>
      <c r="U18" s="23"/>
      <c r="V18" s="23"/>
      <c r="W18" s="23"/>
      <c r="X18" s="23"/>
      <c r="Y18" s="23"/>
      <c r="Z18" s="111"/>
      <c r="AA18" s="112"/>
      <c r="AB18" s="115"/>
      <c r="AC18" s="111"/>
      <c r="AD18" s="112"/>
      <c r="AE18" s="118"/>
      <c r="AF18" s="23"/>
      <c r="AG18" s="23"/>
      <c r="AH18" s="34"/>
      <c r="AI18" s="35"/>
      <c r="AJ18" s="21"/>
      <c r="AK18" s="22"/>
      <c r="AL18" s="21"/>
      <c r="AM18" s="22"/>
      <c r="AN18" s="21"/>
      <c r="AO18" s="22"/>
      <c r="AP18" s="21"/>
      <c r="AQ18" s="22"/>
      <c r="AR18" s="23"/>
      <c r="AS18" s="23"/>
      <c r="AT18" s="23"/>
      <c r="AU18" s="23"/>
      <c r="AV18" s="23"/>
      <c r="AW18" s="23"/>
      <c r="AX18" s="23"/>
      <c r="AY18" s="111"/>
      <c r="AZ18" s="112"/>
      <c r="BA18" s="115"/>
      <c r="BB18" s="111"/>
      <c r="BC18" s="112"/>
      <c r="BD18" s="118"/>
      <c r="BE18" s="23"/>
      <c r="BF18" s="23"/>
      <c r="BG18" s="34"/>
      <c r="BH18" s="35"/>
      <c r="BI18" s="21"/>
      <c r="BJ18" s="22"/>
      <c r="BK18" s="21"/>
      <c r="BL18" s="22"/>
      <c r="BM18" s="21"/>
      <c r="BN18" s="22"/>
      <c r="BO18" s="21"/>
      <c r="BP18" s="22"/>
      <c r="BQ18" s="23"/>
      <c r="BR18" s="23"/>
      <c r="BS18" s="23"/>
      <c r="BT18" s="23"/>
      <c r="BU18" s="23"/>
      <c r="BV18" s="23"/>
      <c r="BW18" s="23"/>
      <c r="BX18" s="111"/>
      <c r="BY18" s="112"/>
      <c r="BZ18" s="115"/>
      <c r="CA18" s="111"/>
      <c r="CB18" s="112"/>
      <c r="CC18" s="118"/>
      <c r="CD18" s="23"/>
      <c r="CE18" s="23"/>
      <c r="CF18" s="34"/>
      <c r="CG18" s="35"/>
      <c r="CH18" s="21"/>
      <c r="CI18" s="22"/>
      <c r="CJ18" s="21"/>
      <c r="CK18" s="22"/>
      <c r="CL18" s="21"/>
      <c r="CM18" s="22"/>
      <c r="CN18" s="21"/>
      <c r="CO18" s="22"/>
      <c r="CP18" s="23"/>
      <c r="CQ18" s="23"/>
      <c r="CR18" s="23"/>
      <c r="CS18" s="23"/>
      <c r="CT18" s="23"/>
      <c r="CU18" s="23"/>
      <c r="CV18" s="23"/>
      <c r="CW18" s="111"/>
      <c r="CX18" s="112"/>
      <c r="CY18" s="115"/>
      <c r="CZ18" s="111"/>
      <c r="DA18" s="112"/>
      <c r="DB18" s="118"/>
      <c r="DC18" s="23"/>
      <c r="DD18" s="23"/>
      <c r="DE18" s="34"/>
      <c r="DF18" s="35"/>
      <c r="DG18" s="21"/>
      <c r="DH18" s="22"/>
      <c r="DI18" s="21"/>
      <c r="DJ18" s="22"/>
      <c r="DK18" s="21"/>
      <c r="DL18" s="22"/>
      <c r="DM18" s="21"/>
      <c r="DN18" s="22"/>
      <c r="DO18" s="23"/>
      <c r="DP18" s="23"/>
      <c r="DQ18" s="23"/>
      <c r="DR18" s="23"/>
      <c r="DS18" s="23"/>
      <c r="DT18" s="23"/>
      <c r="DU18" s="23"/>
      <c r="DV18" s="111"/>
      <c r="DW18" s="112"/>
      <c r="DX18" s="115"/>
      <c r="DY18" s="111"/>
      <c r="DZ18" s="112"/>
      <c r="EA18" s="118"/>
      <c r="EB18" s="23"/>
      <c r="EC18" s="23"/>
      <c r="ED18" s="34"/>
      <c r="EE18" s="35"/>
      <c r="EF18" s="21"/>
      <c r="EG18" s="22"/>
      <c r="EH18" s="21"/>
      <c r="EI18" s="22"/>
      <c r="EJ18" s="21"/>
      <c r="EK18" s="22"/>
      <c r="EL18" s="21"/>
      <c r="EM18" s="22"/>
      <c r="EN18" s="23"/>
      <c r="EO18" s="23"/>
      <c r="EP18" s="23"/>
      <c r="EQ18" s="23"/>
      <c r="ER18" s="23"/>
      <c r="ES18" s="23"/>
      <c r="ET18" s="23"/>
      <c r="EU18" s="111"/>
      <c r="EV18" s="112"/>
      <c r="EW18" s="115"/>
      <c r="EX18" s="111"/>
      <c r="EY18" s="112"/>
      <c r="EZ18" s="118"/>
      <c r="FA18" s="23"/>
      <c r="FB18" s="23"/>
      <c r="FC18" s="34"/>
      <c r="FD18" s="35"/>
      <c r="FE18" s="21"/>
      <c r="FF18" s="22"/>
      <c r="FG18" s="21"/>
      <c r="FH18" s="22"/>
      <c r="FI18" s="21"/>
      <c r="FJ18" s="22"/>
      <c r="FK18" s="21"/>
      <c r="FL18" s="22"/>
      <c r="FM18" s="23"/>
      <c r="FN18" s="23"/>
      <c r="FO18" s="23"/>
      <c r="FP18" s="23"/>
      <c r="FQ18" s="23"/>
      <c r="FR18" s="23"/>
      <c r="FS18" s="23"/>
    </row>
    <row r="19" spans="1:175" ht="16" x14ac:dyDescent="0.35">
      <c r="A19" s="107" t="s">
        <v>27</v>
      </c>
      <c r="B19" s="108"/>
      <c r="C19" s="113" t="s">
        <v>28</v>
      </c>
      <c r="D19" s="107" t="s">
        <v>55</v>
      </c>
      <c r="E19" s="108"/>
      <c r="F19" s="116">
        <f>VLOOKUP(C19,DINNERTABLE,2,FALSE)</f>
        <v>450</v>
      </c>
      <c r="G19" s="23"/>
      <c r="H19" s="23"/>
      <c r="I19" s="30" t="s">
        <v>12</v>
      </c>
      <c r="J19" s="31"/>
      <c r="K19" s="17">
        <f>VLOOKUP(I19,METVALUE,2,FALSE)</f>
        <v>4</v>
      </c>
      <c r="L19" s="18"/>
      <c r="M19" s="17">
        <v>1</v>
      </c>
      <c r="N19" s="18"/>
      <c r="O19" s="17">
        <f>D3*K19</f>
        <v>729.22839861292096</v>
      </c>
      <c r="P19" s="18"/>
      <c r="Q19" s="17">
        <f>M19*O19</f>
        <v>729.22839861292096</v>
      </c>
      <c r="R19" s="18"/>
      <c r="S19" s="23"/>
      <c r="T19" s="23"/>
      <c r="U19" s="23"/>
      <c r="V19" s="23"/>
      <c r="W19" s="23"/>
      <c r="X19" s="23"/>
      <c r="Y19" s="23"/>
      <c r="Z19" s="107" t="s">
        <v>27</v>
      </c>
      <c r="AA19" s="108"/>
      <c r="AB19" s="113" t="s">
        <v>29</v>
      </c>
      <c r="AC19" s="107" t="s">
        <v>55</v>
      </c>
      <c r="AD19" s="108"/>
      <c r="AE19" s="116">
        <f>VLOOKUP(AB19,DINNERTABLE,2,FALSE)</f>
        <v>500</v>
      </c>
      <c r="AF19" s="23"/>
      <c r="AG19" s="23"/>
      <c r="AH19" s="30" t="s">
        <v>12</v>
      </c>
      <c r="AI19" s="31"/>
      <c r="AJ19" s="17">
        <f>VLOOKUP(AH19,METVALUE,2,FALSE)</f>
        <v>4</v>
      </c>
      <c r="AK19" s="18"/>
      <c r="AL19" s="17">
        <v>1.25</v>
      </c>
      <c r="AM19" s="18"/>
      <c r="AN19" s="17">
        <f>AC3*AJ19</f>
        <v>729.22839861292096</v>
      </c>
      <c r="AO19" s="18"/>
      <c r="AP19" s="17">
        <f>AL19*AN19</f>
        <v>911.53549826615119</v>
      </c>
      <c r="AQ19" s="18"/>
      <c r="AR19" s="23"/>
      <c r="AS19" s="23"/>
      <c r="AT19" s="23"/>
      <c r="AU19" s="23"/>
      <c r="AV19" s="23"/>
      <c r="AW19" s="23"/>
      <c r="AX19" s="23"/>
      <c r="AY19" s="107" t="s">
        <v>27</v>
      </c>
      <c r="AZ19" s="108"/>
      <c r="BA19" s="113" t="s">
        <v>30</v>
      </c>
      <c r="BB19" s="107" t="s">
        <v>55</v>
      </c>
      <c r="BC19" s="108"/>
      <c r="BD19" s="116">
        <f>VLOOKUP(BA19,DINNERTABLE,2,FALSE)</f>
        <v>480</v>
      </c>
      <c r="BE19" s="23"/>
      <c r="BF19" s="23"/>
      <c r="BG19" s="30" t="s">
        <v>12</v>
      </c>
      <c r="BH19" s="31"/>
      <c r="BI19" s="17">
        <f>VLOOKUP(BG19,METVALUE,2,FALSE)</f>
        <v>4</v>
      </c>
      <c r="BJ19" s="18"/>
      <c r="BK19" s="17">
        <v>0.75</v>
      </c>
      <c r="BL19" s="18"/>
      <c r="BM19" s="17">
        <f>BB3*BI19</f>
        <v>729.22839861292096</v>
      </c>
      <c r="BN19" s="18"/>
      <c r="BO19" s="17">
        <f>BK19*BM19</f>
        <v>546.92129895969072</v>
      </c>
      <c r="BP19" s="18"/>
      <c r="BQ19" s="23"/>
      <c r="BR19" s="23"/>
      <c r="BS19" s="23"/>
      <c r="BT19" s="23"/>
      <c r="BU19" s="23"/>
      <c r="BV19" s="23"/>
      <c r="BW19" s="23"/>
      <c r="BX19" s="107" t="s">
        <v>27</v>
      </c>
      <c r="BY19" s="108"/>
      <c r="BZ19" s="113" t="s">
        <v>31</v>
      </c>
      <c r="CA19" s="107" t="s">
        <v>55</v>
      </c>
      <c r="CB19" s="108"/>
      <c r="CC19" s="116">
        <f>VLOOKUP(BZ19,DINNERTABLE,2,FALSE)</f>
        <v>470</v>
      </c>
      <c r="CD19" s="23"/>
      <c r="CE19" s="23"/>
      <c r="CF19" s="30" t="s">
        <v>12</v>
      </c>
      <c r="CG19" s="31"/>
      <c r="CH19" s="17">
        <f>VLOOKUP(CF19,METVALUE,2,FALSE)</f>
        <v>4</v>
      </c>
      <c r="CI19" s="18"/>
      <c r="CJ19" s="17">
        <v>0.5</v>
      </c>
      <c r="CK19" s="18"/>
      <c r="CL19" s="17">
        <f>CA3*CH19</f>
        <v>729.22839861292096</v>
      </c>
      <c r="CM19" s="18"/>
      <c r="CN19" s="17">
        <f>CJ19*CL19</f>
        <v>364.61419930646048</v>
      </c>
      <c r="CO19" s="18"/>
      <c r="CP19" s="23"/>
      <c r="CQ19" s="23"/>
      <c r="CR19" s="23"/>
      <c r="CS19" s="23"/>
      <c r="CT19" s="23"/>
      <c r="CU19" s="23"/>
      <c r="CV19" s="23"/>
      <c r="CW19" s="107" t="s">
        <v>27</v>
      </c>
      <c r="CX19" s="108"/>
      <c r="CY19" s="113" t="s">
        <v>32</v>
      </c>
      <c r="CZ19" s="107" t="s">
        <v>55</v>
      </c>
      <c r="DA19" s="108"/>
      <c r="DB19" s="116">
        <f>VLOOKUP(CY19,DINNERTABLE,2,FALSE)</f>
        <v>520</v>
      </c>
      <c r="DC19" s="23"/>
      <c r="DD19" s="23"/>
      <c r="DE19" s="30" t="s">
        <v>12</v>
      </c>
      <c r="DF19" s="31"/>
      <c r="DG19" s="17">
        <f>VLOOKUP(DE19,METVALUE,2,FALSE)</f>
        <v>4</v>
      </c>
      <c r="DH19" s="18"/>
      <c r="DI19" s="17">
        <v>0.5</v>
      </c>
      <c r="DJ19" s="18"/>
      <c r="DK19" s="17">
        <f>CZ3*DG19</f>
        <v>729.22839861292096</v>
      </c>
      <c r="DL19" s="18"/>
      <c r="DM19" s="17">
        <f>DI19*DK19</f>
        <v>364.61419930646048</v>
      </c>
      <c r="DN19" s="18"/>
      <c r="DO19" s="23"/>
      <c r="DP19" s="23"/>
      <c r="DQ19" s="23"/>
      <c r="DR19" s="23"/>
      <c r="DS19" s="23"/>
      <c r="DT19" s="23"/>
      <c r="DU19" s="23"/>
      <c r="DV19" s="107" t="s">
        <v>27</v>
      </c>
      <c r="DW19" s="108"/>
      <c r="DX19" s="113" t="s">
        <v>28</v>
      </c>
      <c r="DY19" s="107" t="s">
        <v>55</v>
      </c>
      <c r="DZ19" s="108"/>
      <c r="EA19" s="116">
        <f>VLOOKUP(DX19,DINNERTABLE,2,FALSE)</f>
        <v>450</v>
      </c>
      <c r="EB19" s="23"/>
      <c r="EC19" s="23"/>
      <c r="ED19" s="30" t="s">
        <v>12</v>
      </c>
      <c r="EE19" s="31"/>
      <c r="EF19" s="17">
        <f>VLOOKUP(ED19,METVALUE,2,FALSE)</f>
        <v>4</v>
      </c>
      <c r="EG19" s="18"/>
      <c r="EH19" s="17">
        <v>0.75</v>
      </c>
      <c r="EI19" s="18"/>
      <c r="EJ19" s="17">
        <f>DY3*EF19</f>
        <v>729.22839861292096</v>
      </c>
      <c r="EK19" s="18"/>
      <c r="EL19" s="17">
        <f>EH19*EJ19</f>
        <v>546.92129895969072</v>
      </c>
      <c r="EM19" s="18"/>
      <c r="EN19" s="23"/>
      <c r="EO19" s="23"/>
      <c r="EP19" s="23"/>
      <c r="EQ19" s="23"/>
      <c r="ER19" s="23"/>
      <c r="ES19" s="23"/>
      <c r="ET19" s="23"/>
      <c r="EU19" s="107" t="s">
        <v>27</v>
      </c>
      <c r="EV19" s="108"/>
      <c r="EW19" s="113" t="s">
        <v>28</v>
      </c>
      <c r="EX19" s="107" t="s">
        <v>55</v>
      </c>
      <c r="EY19" s="108"/>
      <c r="EZ19" s="116">
        <f>VLOOKUP(EW19,DINNERTABLE,2,FALSE)</f>
        <v>450</v>
      </c>
      <c r="FA19" s="23"/>
      <c r="FB19" s="23"/>
      <c r="FC19" s="30" t="s">
        <v>12</v>
      </c>
      <c r="FD19" s="31"/>
      <c r="FE19" s="17">
        <f>VLOOKUP(FC19,METVALUE,2,FALSE)</f>
        <v>4</v>
      </c>
      <c r="FF19" s="18"/>
      <c r="FG19" s="17">
        <v>0</v>
      </c>
      <c r="FH19" s="18"/>
      <c r="FI19" s="17">
        <f>EX3*FE19</f>
        <v>729.22839861292096</v>
      </c>
      <c r="FJ19" s="18"/>
      <c r="FK19" s="17">
        <f>FG19*FI19</f>
        <v>0</v>
      </c>
      <c r="FL19" s="18"/>
      <c r="FM19" s="23"/>
      <c r="FN19" s="23"/>
      <c r="FO19" s="23"/>
      <c r="FP19" s="23"/>
      <c r="FQ19" s="23"/>
      <c r="FR19" s="23"/>
      <c r="FS19" s="23"/>
    </row>
    <row r="20" spans="1:175" ht="16" x14ac:dyDescent="0.35">
      <c r="A20" s="109"/>
      <c r="B20" s="110"/>
      <c r="C20" s="114"/>
      <c r="D20" s="109"/>
      <c r="E20" s="110"/>
      <c r="F20" s="117"/>
      <c r="G20" s="23"/>
      <c r="H20" s="23"/>
      <c r="I20" s="32"/>
      <c r="J20" s="33"/>
      <c r="K20" s="19"/>
      <c r="L20" s="20"/>
      <c r="M20" s="19"/>
      <c r="N20" s="20"/>
      <c r="O20" s="19"/>
      <c r="P20" s="20"/>
      <c r="Q20" s="19"/>
      <c r="R20" s="20"/>
      <c r="S20" s="23"/>
      <c r="T20" s="23"/>
      <c r="U20" s="23"/>
      <c r="V20" s="23"/>
      <c r="W20" s="23"/>
      <c r="X20" s="23"/>
      <c r="Y20" s="23"/>
      <c r="Z20" s="109"/>
      <c r="AA20" s="110"/>
      <c r="AB20" s="114"/>
      <c r="AC20" s="109"/>
      <c r="AD20" s="110"/>
      <c r="AE20" s="117"/>
      <c r="AF20" s="23"/>
      <c r="AG20" s="23"/>
      <c r="AH20" s="32"/>
      <c r="AI20" s="33"/>
      <c r="AJ20" s="19"/>
      <c r="AK20" s="20"/>
      <c r="AL20" s="19"/>
      <c r="AM20" s="20"/>
      <c r="AN20" s="19"/>
      <c r="AO20" s="20"/>
      <c r="AP20" s="19"/>
      <c r="AQ20" s="20"/>
      <c r="AR20" s="23"/>
      <c r="AS20" s="23"/>
      <c r="AT20" s="23"/>
      <c r="AU20" s="23"/>
      <c r="AV20" s="23"/>
      <c r="AW20" s="23"/>
      <c r="AX20" s="23"/>
      <c r="AY20" s="109"/>
      <c r="AZ20" s="110"/>
      <c r="BA20" s="114"/>
      <c r="BB20" s="109"/>
      <c r="BC20" s="110"/>
      <c r="BD20" s="117"/>
      <c r="BE20" s="23"/>
      <c r="BF20" s="23"/>
      <c r="BG20" s="32"/>
      <c r="BH20" s="33"/>
      <c r="BI20" s="19"/>
      <c r="BJ20" s="20"/>
      <c r="BK20" s="19"/>
      <c r="BL20" s="20"/>
      <c r="BM20" s="19"/>
      <c r="BN20" s="20"/>
      <c r="BO20" s="19"/>
      <c r="BP20" s="20"/>
      <c r="BQ20" s="23"/>
      <c r="BR20" s="23"/>
      <c r="BS20" s="23"/>
      <c r="BT20" s="23"/>
      <c r="BU20" s="23"/>
      <c r="BV20" s="23"/>
      <c r="BW20" s="23"/>
      <c r="BX20" s="109"/>
      <c r="BY20" s="110"/>
      <c r="BZ20" s="114"/>
      <c r="CA20" s="109"/>
      <c r="CB20" s="110"/>
      <c r="CC20" s="117"/>
      <c r="CD20" s="23"/>
      <c r="CE20" s="23"/>
      <c r="CF20" s="32"/>
      <c r="CG20" s="33"/>
      <c r="CH20" s="19"/>
      <c r="CI20" s="20"/>
      <c r="CJ20" s="19"/>
      <c r="CK20" s="20"/>
      <c r="CL20" s="19"/>
      <c r="CM20" s="20"/>
      <c r="CN20" s="19"/>
      <c r="CO20" s="20"/>
      <c r="CP20" s="23"/>
      <c r="CQ20" s="23"/>
      <c r="CR20" s="23"/>
      <c r="CS20" s="23"/>
      <c r="CT20" s="23"/>
      <c r="CU20" s="23"/>
      <c r="CV20" s="23"/>
      <c r="CW20" s="109"/>
      <c r="CX20" s="110"/>
      <c r="CY20" s="114"/>
      <c r="CZ20" s="109"/>
      <c r="DA20" s="110"/>
      <c r="DB20" s="117"/>
      <c r="DC20" s="23"/>
      <c r="DD20" s="23"/>
      <c r="DE20" s="32"/>
      <c r="DF20" s="33"/>
      <c r="DG20" s="19"/>
      <c r="DH20" s="20"/>
      <c r="DI20" s="19"/>
      <c r="DJ20" s="20"/>
      <c r="DK20" s="19"/>
      <c r="DL20" s="20"/>
      <c r="DM20" s="19"/>
      <c r="DN20" s="20"/>
      <c r="DO20" s="23"/>
      <c r="DP20" s="23"/>
      <c r="DQ20" s="23"/>
      <c r="DR20" s="23"/>
      <c r="DS20" s="23"/>
      <c r="DT20" s="23"/>
      <c r="DU20" s="23"/>
      <c r="DV20" s="109"/>
      <c r="DW20" s="110"/>
      <c r="DX20" s="114"/>
      <c r="DY20" s="109"/>
      <c r="DZ20" s="110"/>
      <c r="EA20" s="117"/>
      <c r="EB20" s="23"/>
      <c r="EC20" s="23"/>
      <c r="ED20" s="32"/>
      <c r="EE20" s="33"/>
      <c r="EF20" s="19"/>
      <c r="EG20" s="20"/>
      <c r="EH20" s="19"/>
      <c r="EI20" s="20"/>
      <c r="EJ20" s="19"/>
      <c r="EK20" s="20"/>
      <c r="EL20" s="19"/>
      <c r="EM20" s="20"/>
      <c r="EN20" s="23"/>
      <c r="EO20" s="23"/>
      <c r="EP20" s="23"/>
      <c r="EQ20" s="23"/>
      <c r="ER20" s="23"/>
      <c r="ES20" s="23"/>
      <c r="ET20" s="23"/>
      <c r="EU20" s="109"/>
      <c r="EV20" s="110"/>
      <c r="EW20" s="114"/>
      <c r="EX20" s="109"/>
      <c r="EY20" s="110"/>
      <c r="EZ20" s="117"/>
      <c r="FA20" s="23"/>
      <c r="FB20" s="23"/>
      <c r="FC20" s="32"/>
      <c r="FD20" s="33"/>
      <c r="FE20" s="19"/>
      <c r="FF20" s="20"/>
      <c r="FG20" s="19"/>
      <c r="FH20" s="20"/>
      <c r="FI20" s="19"/>
      <c r="FJ20" s="20"/>
      <c r="FK20" s="19"/>
      <c r="FL20" s="20"/>
      <c r="FM20" s="23"/>
      <c r="FN20" s="23"/>
      <c r="FO20" s="23"/>
      <c r="FP20" s="23"/>
      <c r="FQ20" s="23"/>
      <c r="FR20" s="23"/>
      <c r="FS20" s="23"/>
    </row>
    <row r="21" spans="1:175" ht="16.5" thickBot="1" x14ac:dyDescent="0.4">
      <c r="A21" s="109"/>
      <c r="B21" s="110"/>
      <c r="C21" s="114"/>
      <c r="D21" s="109"/>
      <c r="E21" s="110"/>
      <c r="F21" s="117"/>
      <c r="G21" s="23"/>
      <c r="H21" s="23"/>
      <c r="I21" s="34"/>
      <c r="J21" s="35"/>
      <c r="K21" s="21"/>
      <c r="L21" s="22"/>
      <c r="M21" s="21"/>
      <c r="N21" s="22"/>
      <c r="O21" s="21"/>
      <c r="P21" s="22"/>
      <c r="Q21" s="21"/>
      <c r="R21" s="22"/>
      <c r="S21" s="23"/>
      <c r="T21" s="23"/>
      <c r="U21" s="23"/>
      <c r="V21" s="23"/>
      <c r="W21" s="23"/>
      <c r="X21" s="23"/>
      <c r="Y21" s="23"/>
      <c r="Z21" s="109"/>
      <c r="AA21" s="110"/>
      <c r="AB21" s="114"/>
      <c r="AC21" s="109"/>
      <c r="AD21" s="110"/>
      <c r="AE21" s="117"/>
      <c r="AF21" s="23"/>
      <c r="AG21" s="23"/>
      <c r="AH21" s="34"/>
      <c r="AI21" s="35"/>
      <c r="AJ21" s="21"/>
      <c r="AK21" s="22"/>
      <c r="AL21" s="21"/>
      <c r="AM21" s="22"/>
      <c r="AN21" s="21"/>
      <c r="AO21" s="22"/>
      <c r="AP21" s="21"/>
      <c r="AQ21" s="22"/>
      <c r="AR21" s="23"/>
      <c r="AS21" s="23"/>
      <c r="AT21" s="23"/>
      <c r="AU21" s="23"/>
      <c r="AV21" s="23"/>
      <c r="AW21" s="23"/>
      <c r="AX21" s="23"/>
      <c r="AY21" s="109"/>
      <c r="AZ21" s="110"/>
      <c r="BA21" s="114"/>
      <c r="BB21" s="109"/>
      <c r="BC21" s="110"/>
      <c r="BD21" s="117"/>
      <c r="BE21" s="23"/>
      <c r="BF21" s="23"/>
      <c r="BG21" s="34"/>
      <c r="BH21" s="35"/>
      <c r="BI21" s="21"/>
      <c r="BJ21" s="22"/>
      <c r="BK21" s="21"/>
      <c r="BL21" s="22"/>
      <c r="BM21" s="21"/>
      <c r="BN21" s="22"/>
      <c r="BO21" s="21"/>
      <c r="BP21" s="22"/>
      <c r="BQ21" s="23"/>
      <c r="BR21" s="23"/>
      <c r="BS21" s="23"/>
      <c r="BT21" s="23"/>
      <c r="BU21" s="23"/>
      <c r="BV21" s="23"/>
      <c r="BW21" s="23"/>
      <c r="BX21" s="109"/>
      <c r="BY21" s="110"/>
      <c r="BZ21" s="114"/>
      <c r="CA21" s="109"/>
      <c r="CB21" s="110"/>
      <c r="CC21" s="117"/>
      <c r="CD21" s="23"/>
      <c r="CE21" s="23"/>
      <c r="CF21" s="34"/>
      <c r="CG21" s="35"/>
      <c r="CH21" s="21"/>
      <c r="CI21" s="22"/>
      <c r="CJ21" s="21"/>
      <c r="CK21" s="22"/>
      <c r="CL21" s="21"/>
      <c r="CM21" s="22"/>
      <c r="CN21" s="21"/>
      <c r="CO21" s="22"/>
      <c r="CP21" s="23"/>
      <c r="CQ21" s="23"/>
      <c r="CR21" s="23"/>
      <c r="CS21" s="23"/>
      <c r="CT21" s="23"/>
      <c r="CU21" s="23"/>
      <c r="CV21" s="23"/>
      <c r="CW21" s="109"/>
      <c r="CX21" s="110"/>
      <c r="CY21" s="114"/>
      <c r="CZ21" s="109"/>
      <c r="DA21" s="110"/>
      <c r="DB21" s="117"/>
      <c r="DC21" s="23"/>
      <c r="DD21" s="23"/>
      <c r="DE21" s="34"/>
      <c r="DF21" s="35"/>
      <c r="DG21" s="21"/>
      <c r="DH21" s="22"/>
      <c r="DI21" s="21"/>
      <c r="DJ21" s="22"/>
      <c r="DK21" s="21"/>
      <c r="DL21" s="22"/>
      <c r="DM21" s="21"/>
      <c r="DN21" s="22"/>
      <c r="DO21" s="23"/>
      <c r="DP21" s="23"/>
      <c r="DQ21" s="23"/>
      <c r="DR21" s="23"/>
      <c r="DS21" s="23"/>
      <c r="DT21" s="23"/>
      <c r="DU21" s="23"/>
      <c r="DV21" s="109"/>
      <c r="DW21" s="110"/>
      <c r="DX21" s="114"/>
      <c r="DY21" s="109"/>
      <c r="DZ21" s="110"/>
      <c r="EA21" s="117"/>
      <c r="EB21" s="23"/>
      <c r="EC21" s="23"/>
      <c r="ED21" s="34"/>
      <c r="EE21" s="35"/>
      <c r="EF21" s="21"/>
      <c r="EG21" s="22"/>
      <c r="EH21" s="21"/>
      <c r="EI21" s="22"/>
      <c r="EJ21" s="21"/>
      <c r="EK21" s="22"/>
      <c r="EL21" s="21"/>
      <c r="EM21" s="22"/>
      <c r="EN21" s="23"/>
      <c r="EO21" s="23"/>
      <c r="EP21" s="23"/>
      <c r="EQ21" s="23"/>
      <c r="ER21" s="23"/>
      <c r="ES21" s="23"/>
      <c r="ET21" s="23"/>
      <c r="EU21" s="109"/>
      <c r="EV21" s="110"/>
      <c r="EW21" s="114"/>
      <c r="EX21" s="109"/>
      <c r="EY21" s="110"/>
      <c r="EZ21" s="117"/>
      <c r="FA21" s="23"/>
      <c r="FB21" s="23"/>
      <c r="FC21" s="34"/>
      <c r="FD21" s="35"/>
      <c r="FE21" s="21"/>
      <c r="FF21" s="22"/>
      <c r="FG21" s="21"/>
      <c r="FH21" s="22"/>
      <c r="FI21" s="21"/>
      <c r="FJ21" s="22"/>
      <c r="FK21" s="21"/>
      <c r="FL21" s="22"/>
      <c r="FM21" s="23"/>
      <c r="FN21" s="23"/>
      <c r="FO21" s="23"/>
      <c r="FP21" s="23"/>
      <c r="FQ21" s="23"/>
      <c r="FR21" s="23"/>
      <c r="FS21" s="23"/>
    </row>
    <row r="22" spans="1:175" ht="16.5" thickBot="1" x14ac:dyDescent="0.4">
      <c r="A22" s="111"/>
      <c r="B22" s="112"/>
      <c r="C22" s="115"/>
      <c r="D22" s="111"/>
      <c r="E22" s="112"/>
      <c r="F22" s="118"/>
      <c r="G22" s="23"/>
      <c r="H22" s="23"/>
      <c r="I22" s="30" t="s">
        <v>14</v>
      </c>
      <c r="J22" s="31"/>
      <c r="K22" s="17">
        <f>VLOOKUP(I22,METVALUE,2,FALSE)</f>
        <v>9.8000000000000007</v>
      </c>
      <c r="L22" s="18"/>
      <c r="M22" s="17">
        <v>1</v>
      </c>
      <c r="N22" s="18"/>
      <c r="O22" s="17">
        <f>D3*K22</f>
        <v>1786.6095766016565</v>
      </c>
      <c r="P22" s="18"/>
      <c r="Q22" s="17">
        <f>M22*O22</f>
        <v>1786.6095766016565</v>
      </c>
      <c r="R22" s="18"/>
      <c r="S22" s="23"/>
      <c r="T22" s="23"/>
      <c r="U22" s="23"/>
      <c r="V22" s="23"/>
      <c r="W22" s="23"/>
      <c r="X22" s="23"/>
      <c r="Y22" s="23"/>
      <c r="Z22" s="111"/>
      <c r="AA22" s="112"/>
      <c r="AB22" s="115"/>
      <c r="AC22" s="111"/>
      <c r="AD22" s="112"/>
      <c r="AE22" s="118"/>
      <c r="AF22" s="23"/>
      <c r="AG22" s="23"/>
      <c r="AH22" s="30" t="s">
        <v>14</v>
      </c>
      <c r="AI22" s="31"/>
      <c r="AJ22" s="17">
        <f>VLOOKUP(AH22,METVALUE,2,FALSE)</f>
        <v>9.8000000000000007</v>
      </c>
      <c r="AK22" s="18"/>
      <c r="AL22" s="17">
        <v>1</v>
      </c>
      <c r="AM22" s="18"/>
      <c r="AN22" s="17">
        <f>AC3*AJ22</f>
        <v>1786.6095766016565</v>
      </c>
      <c r="AO22" s="18"/>
      <c r="AP22" s="17">
        <f>AL22*AN22</f>
        <v>1786.6095766016565</v>
      </c>
      <c r="AQ22" s="18"/>
      <c r="AR22" s="23"/>
      <c r="AS22" s="23"/>
      <c r="AT22" s="23"/>
      <c r="AU22" s="23"/>
      <c r="AV22" s="23"/>
      <c r="AW22" s="23"/>
      <c r="AX22" s="23"/>
      <c r="AY22" s="111"/>
      <c r="AZ22" s="112"/>
      <c r="BA22" s="115"/>
      <c r="BB22" s="111"/>
      <c r="BC22" s="112"/>
      <c r="BD22" s="118"/>
      <c r="BE22" s="23"/>
      <c r="BF22" s="23"/>
      <c r="BG22" s="30" t="s">
        <v>14</v>
      </c>
      <c r="BH22" s="31"/>
      <c r="BI22" s="17">
        <f>VLOOKUP(BG22,METVALUE,2,FALSE)</f>
        <v>9.8000000000000007</v>
      </c>
      <c r="BJ22" s="18"/>
      <c r="BK22" s="17">
        <v>1.25</v>
      </c>
      <c r="BL22" s="18"/>
      <c r="BM22" s="17">
        <f>BB3*BI22</f>
        <v>1786.6095766016565</v>
      </c>
      <c r="BN22" s="18"/>
      <c r="BO22" s="17">
        <f>BK22*BM22</f>
        <v>2233.2619707520707</v>
      </c>
      <c r="BP22" s="18"/>
      <c r="BQ22" s="23"/>
      <c r="BR22" s="23"/>
      <c r="BS22" s="23"/>
      <c r="BT22" s="23"/>
      <c r="BU22" s="23"/>
      <c r="BV22" s="23"/>
      <c r="BW22" s="23"/>
      <c r="BX22" s="111"/>
      <c r="BY22" s="112"/>
      <c r="BZ22" s="115"/>
      <c r="CA22" s="111"/>
      <c r="CB22" s="112"/>
      <c r="CC22" s="118"/>
      <c r="CD22" s="23"/>
      <c r="CE22" s="23"/>
      <c r="CF22" s="30" t="s">
        <v>14</v>
      </c>
      <c r="CG22" s="31"/>
      <c r="CH22" s="17">
        <f>VLOOKUP(CF22,METVALUE,2,FALSE)</f>
        <v>9.8000000000000007</v>
      </c>
      <c r="CI22" s="18"/>
      <c r="CJ22" s="17">
        <v>0.75</v>
      </c>
      <c r="CK22" s="18"/>
      <c r="CL22" s="17">
        <f>CA3*CH22</f>
        <v>1786.6095766016565</v>
      </c>
      <c r="CM22" s="18"/>
      <c r="CN22" s="17">
        <f>CJ22*CL22</f>
        <v>1339.9571824512423</v>
      </c>
      <c r="CO22" s="18"/>
      <c r="CP22" s="23"/>
      <c r="CQ22" s="23"/>
      <c r="CR22" s="23"/>
      <c r="CS22" s="23"/>
      <c r="CT22" s="23"/>
      <c r="CU22" s="23"/>
      <c r="CV22" s="23"/>
      <c r="CW22" s="111"/>
      <c r="CX22" s="112"/>
      <c r="CY22" s="115"/>
      <c r="CZ22" s="111"/>
      <c r="DA22" s="112"/>
      <c r="DB22" s="118"/>
      <c r="DC22" s="23"/>
      <c r="DD22" s="23"/>
      <c r="DE22" s="30" t="s">
        <v>14</v>
      </c>
      <c r="DF22" s="31"/>
      <c r="DG22" s="17">
        <f>VLOOKUP(DE22,METVALUE,2,FALSE)</f>
        <v>9.8000000000000007</v>
      </c>
      <c r="DH22" s="18"/>
      <c r="DI22" s="17">
        <v>0.75</v>
      </c>
      <c r="DJ22" s="18"/>
      <c r="DK22" s="17">
        <f>CZ3*DG22</f>
        <v>1786.6095766016565</v>
      </c>
      <c r="DL22" s="18"/>
      <c r="DM22" s="17">
        <f>DI22*DK22</f>
        <v>1339.9571824512423</v>
      </c>
      <c r="DN22" s="18"/>
      <c r="DO22" s="23"/>
      <c r="DP22" s="23"/>
      <c r="DQ22" s="23"/>
      <c r="DR22" s="23"/>
      <c r="DS22" s="23"/>
      <c r="DT22" s="23"/>
      <c r="DU22" s="23"/>
      <c r="DV22" s="111"/>
      <c r="DW22" s="112"/>
      <c r="DX22" s="115"/>
      <c r="DY22" s="111"/>
      <c r="DZ22" s="112"/>
      <c r="EA22" s="118"/>
      <c r="EB22" s="23"/>
      <c r="EC22" s="23"/>
      <c r="ED22" s="30" t="s">
        <v>14</v>
      </c>
      <c r="EE22" s="31"/>
      <c r="EF22" s="17">
        <f>VLOOKUP(ED22,METVALUE,2,FALSE)</f>
        <v>9.8000000000000007</v>
      </c>
      <c r="EG22" s="18"/>
      <c r="EH22" s="17">
        <v>1.25</v>
      </c>
      <c r="EI22" s="18"/>
      <c r="EJ22" s="17">
        <f>DY3*EF22</f>
        <v>1786.6095766016565</v>
      </c>
      <c r="EK22" s="18"/>
      <c r="EL22" s="17">
        <f>EH22*EJ22</f>
        <v>2233.2619707520707</v>
      </c>
      <c r="EM22" s="18"/>
      <c r="EN22" s="23"/>
      <c r="EO22" s="23"/>
      <c r="EP22" s="23"/>
      <c r="EQ22" s="23"/>
      <c r="ER22" s="23"/>
      <c r="ES22" s="23"/>
      <c r="ET22" s="23"/>
      <c r="EU22" s="111"/>
      <c r="EV22" s="112"/>
      <c r="EW22" s="115"/>
      <c r="EX22" s="111"/>
      <c r="EY22" s="112"/>
      <c r="EZ22" s="118"/>
      <c r="FA22" s="23"/>
      <c r="FB22" s="23"/>
      <c r="FC22" s="30" t="s">
        <v>14</v>
      </c>
      <c r="FD22" s="31"/>
      <c r="FE22" s="17">
        <f>VLOOKUP(FC22,METVALUE,2,FALSE)</f>
        <v>9.8000000000000007</v>
      </c>
      <c r="FF22" s="18"/>
      <c r="FG22" s="17">
        <v>0.5</v>
      </c>
      <c r="FH22" s="18"/>
      <c r="FI22" s="17">
        <f>EX3*FE22</f>
        <v>1786.6095766016565</v>
      </c>
      <c r="FJ22" s="18"/>
      <c r="FK22" s="17">
        <f>FG22*FI22</f>
        <v>893.30478830082825</v>
      </c>
      <c r="FL22" s="18"/>
      <c r="FM22" s="23"/>
      <c r="FN22" s="23"/>
      <c r="FO22" s="23"/>
      <c r="FP22" s="23"/>
      <c r="FQ22" s="23"/>
      <c r="FR22" s="23"/>
      <c r="FS22" s="23"/>
    </row>
    <row r="23" spans="1:175" ht="16" x14ac:dyDescent="0.35">
      <c r="A23" s="23"/>
      <c r="B23" s="23"/>
      <c r="C23" s="23"/>
      <c r="D23" s="23"/>
      <c r="E23" s="23"/>
      <c r="F23" s="23"/>
      <c r="G23" s="23"/>
      <c r="H23" s="23"/>
      <c r="I23" s="32"/>
      <c r="J23" s="33"/>
      <c r="K23" s="19"/>
      <c r="L23" s="20"/>
      <c r="M23" s="19"/>
      <c r="N23" s="20"/>
      <c r="O23" s="19"/>
      <c r="P23" s="20"/>
      <c r="Q23" s="19"/>
      <c r="R23" s="20"/>
      <c r="S23" s="23"/>
      <c r="T23" s="23"/>
      <c r="U23" s="23"/>
      <c r="V23" s="23"/>
      <c r="W23" s="23"/>
      <c r="X23" s="23"/>
      <c r="Y23" s="23"/>
      <c r="Z23" s="23"/>
      <c r="AA23" s="23"/>
      <c r="AB23" s="23"/>
      <c r="AC23" s="23"/>
      <c r="AD23" s="23"/>
      <c r="AE23" s="23"/>
      <c r="AF23" s="23"/>
      <c r="AG23" s="23"/>
      <c r="AH23" s="32"/>
      <c r="AI23" s="33"/>
      <c r="AJ23" s="19"/>
      <c r="AK23" s="20"/>
      <c r="AL23" s="19"/>
      <c r="AM23" s="20"/>
      <c r="AN23" s="19"/>
      <c r="AO23" s="20"/>
      <c r="AP23" s="19"/>
      <c r="AQ23" s="20"/>
      <c r="AR23" s="23"/>
      <c r="AS23" s="23"/>
      <c r="AT23" s="23"/>
      <c r="AU23" s="23"/>
      <c r="AV23" s="23"/>
      <c r="AW23" s="23"/>
      <c r="AX23" s="23"/>
      <c r="AY23" s="23"/>
      <c r="AZ23" s="23"/>
      <c r="BA23" s="23"/>
      <c r="BB23" s="23"/>
      <c r="BC23" s="23"/>
      <c r="BD23" s="23"/>
      <c r="BE23" s="23"/>
      <c r="BF23" s="23"/>
      <c r="BG23" s="32"/>
      <c r="BH23" s="33"/>
      <c r="BI23" s="19"/>
      <c r="BJ23" s="20"/>
      <c r="BK23" s="19"/>
      <c r="BL23" s="20"/>
      <c r="BM23" s="19"/>
      <c r="BN23" s="20"/>
      <c r="BO23" s="19"/>
      <c r="BP23" s="20"/>
      <c r="BQ23" s="23"/>
      <c r="BR23" s="23"/>
      <c r="BS23" s="23"/>
      <c r="BT23" s="23"/>
      <c r="BU23" s="23"/>
      <c r="BV23" s="23"/>
      <c r="BW23" s="23"/>
      <c r="BX23" s="23"/>
      <c r="BY23" s="23"/>
      <c r="BZ23" s="23"/>
      <c r="CA23" s="23"/>
      <c r="CB23" s="23"/>
      <c r="CC23" s="23"/>
      <c r="CD23" s="23"/>
      <c r="CE23" s="23"/>
      <c r="CF23" s="32"/>
      <c r="CG23" s="33"/>
      <c r="CH23" s="19"/>
      <c r="CI23" s="20"/>
      <c r="CJ23" s="19"/>
      <c r="CK23" s="20"/>
      <c r="CL23" s="19"/>
      <c r="CM23" s="20"/>
      <c r="CN23" s="19"/>
      <c r="CO23" s="20"/>
      <c r="CP23" s="23"/>
      <c r="CQ23" s="23"/>
      <c r="CR23" s="23"/>
      <c r="CS23" s="23"/>
      <c r="CT23" s="23"/>
      <c r="CU23" s="23"/>
      <c r="CV23" s="23"/>
      <c r="CW23" s="23"/>
      <c r="CX23" s="23"/>
      <c r="CY23" s="23"/>
      <c r="CZ23" s="23"/>
      <c r="DA23" s="23"/>
      <c r="DB23" s="23"/>
      <c r="DC23" s="23"/>
      <c r="DD23" s="23"/>
      <c r="DE23" s="32"/>
      <c r="DF23" s="33"/>
      <c r="DG23" s="19"/>
      <c r="DH23" s="20"/>
      <c r="DI23" s="19"/>
      <c r="DJ23" s="20"/>
      <c r="DK23" s="19"/>
      <c r="DL23" s="20"/>
      <c r="DM23" s="19"/>
      <c r="DN23" s="20"/>
      <c r="DO23" s="23"/>
      <c r="DP23" s="23"/>
      <c r="DQ23" s="23"/>
      <c r="DR23" s="23"/>
      <c r="DS23" s="23"/>
      <c r="DT23" s="23"/>
      <c r="DU23" s="23"/>
      <c r="DV23" s="23"/>
      <c r="DW23" s="23"/>
      <c r="DX23" s="23"/>
      <c r="DY23" s="23"/>
      <c r="DZ23" s="23"/>
      <c r="EA23" s="23"/>
      <c r="EB23" s="23"/>
      <c r="EC23" s="23"/>
      <c r="ED23" s="32"/>
      <c r="EE23" s="33"/>
      <c r="EF23" s="19"/>
      <c r="EG23" s="20"/>
      <c r="EH23" s="19"/>
      <c r="EI23" s="20"/>
      <c r="EJ23" s="19"/>
      <c r="EK23" s="20"/>
      <c r="EL23" s="19"/>
      <c r="EM23" s="20"/>
      <c r="EN23" s="23"/>
      <c r="EO23" s="23"/>
      <c r="EP23" s="23"/>
      <c r="EQ23" s="23"/>
      <c r="ER23" s="23"/>
      <c r="ES23" s="23"/>
      <c r="ET23" s="23"/>
      <c r="EU23" s="23"/>
      <c r="EV23" s="23"/>
      <c r="EW23" s="23"/>
      <c r="EX23" s="23"/>
      <c r="EY23" s="23"/>
      <c r="EZ23" s="23"/>
      <c r="FA23" s="23"/>
      <c r="FB23" s="23"/>
      <c r="FC23" s="32"/>
      <c r="FD23" s="33"/>
      <c r="FE23" s="19"/>
      <c r="FF23" s="20"/>
      <c r="FG23" s="19"/>
      <c r="FH23" s="20"/>
      <c r="FI23" s="19"/>
      <c r="FJ23" s="20"/>
      <c r="FK23" s="19"/>
      <c r="FL23" s="20"/>
      <c r="FM23" s="23"/>
      <c r="FN23" s="23"/>
      <c r="FO23" s="23"/>
      <c r="FP23" s="23"/>
      <c r="FQ23" s="23"/>
      <c r="FR23" s="23"/>
      <c r="FS23" s="23"/>
    </row>
    <row r="24" spans="1:175" ht="16.5" thickBot="1" x14ac:dyDescent="0.4">
      <c r="A24" s="23"/>
      <c r="B24" s="23"/>
      <c r="C24" s="23"/>
      <c r="D24" s="23"/>
      <c r="E24" s="23"/>
      <c r="F24" s="23"/>
      <c r="G24" s="23"/>
      <c r="H24" s="23"/>
      <c r="I24" s="34"/>
      <c r="J24" s="35"/>
      <c r="K24" s="21"/>
      <c r="L24" s="22"/>
      <c r="M24" s="21"/>
      <c r="N24" s="22"/>
      <c r="O24" s="21"/>
      <c r="P24" s="22"/>
      <c r="Q24" s="21"/>
      <c r="R24" s="22"/>
      <c r="S24" s="23"/>
      <c r="T24" s="23"/>
      <c r="U24" s="23"/>
      <c r="V24" s="23"/>
      <c r="W24" s="23"/>
      <c r="X24" s="23"/>
      <c r="Y24" s="23"/>
      <c r="Z24" s="23"/>
      <c r="AA24" s="23"/>
      <c r="AB24" s="23"/>
      <c r="AC24" s="23"/>
      <c r="AD24" s="23"/>
      <c r="AE24" s="23"/>
      <c r="AF24" s="23"/>
      <c r="AG24" s="23"/>
      <c r="AH24" s="34"/>
      <c r="AI24" s="35"/>
      <c r="AJ24" s="21"/>
      <c r="AK24" s="22"/>
      <c r="AL24" s="21"/>
      <c r="AM24" s="22"/>
      <c r="AN24" s="21"/>
      <c r="AO24" s="22"/>
      <c r="AP24" s="21"/>
      <c r="AQ24" s="22"/>
      <c r="AR24" s="23"/>
      <c r="AS24" s="23"/>
      <c r="AT24" s="23"/>
      <c r="AU24" s="23"/>
      <c r="AV24" s="23"/>
      <c r="AW24" s="23"/>
      <c r="AX24" s="23"/>
      <c r="AY24" s="23"/>
      <c r="AZ24" s="23"/>
      <c r="BA24" s="23"/>
      <c r="BB24" s="23"/>
      <c r="BC24" s="23"/>
      <c r="BD24" s="23"/>
      <c r="BE24" s="23"/>
      <c r="BF24" s="23"/>
      <c r="BG24" s="34"/>
      <c r="BH24" s="35"/>
      <c r="BI24" s="21"/>
      <c r="BJ24" s="22"/>
      <c r="BK24" s="21"/>
      <c r="BL24" s="22"/>
      <c r="BM24" s="21"/>
      <c r="BN24" s="22"/>
      <c r="BO24" s="21"/>
      <c r="BP24" s="22"/>
      <c r="BQ24" s="23"/>
      <c r="BR24" s="23"/>
      <c r="BS24" s="23"/>
      <c r="BT24" s="23"/>
      <c r="BU24" s="23"/>
      <c r="BV24" s="23"/>
      <c r="BW24" s="23"/>
      <c r="BX24" s="23"/>
      <c r="BY24" s="23"/>
      <c r="BZ24" s="23"/>
      <c r="CA24" s="23"/>
      <c r="CB24" s="23"/>
      <c r="CC24" s="23"/>
      <c r="CD24" s="23"/>
      <c r="CE24" s="23"/>
      <c r="CF24" s="34"/>
      <c r="CG24" s="35"/>
      <c r="CH24" s="21"/>
      <c r="CI24" s="22"/>
      <c r="CJ24" s="21"/>
      <c r="CK24" s="22"/>
      <c r="CL24" s="21"/>
      <c r="CM24" s="22"/>
      <c r="CN24" s="21"/>
      <c r="CO24" s="22"/>
      <c r="CP24" s="23"/>
      <c r="CQ24" s="23"/>
      <c r="CR24" s="23"/>
      <c r="CS24" s="23"/>
      <c r="CT24" s="23"/>
      <c r="CU24" s="23"/>
      <c r="CV24" s="23"/>
      <c r="CW24" s="23"/>
      <c r="CX24" s="23"/>
      <c r="CY24" s="23"/>
      <c r="CZ24" s="23"/>
      <c r="DA24" s="23"/>
      <c r="DB24" s="23"/>
      <c r="DC24" s="23"/>
      <c r="DD24" s="23"/>
      <c r="DE24" s="34"/>
      <c r="DF24" s="35"/>
      <c r="DG24" s="21"/>
      <c r="DH24" s="22"/>
      <c r="DI24" s="21"/>
      <c r="DJ24" s="22"/>
      <c r="DK24" s="21"/>
      <c r="DL24" s="22"/>
      <c r="DM24" s="21"/>
      <c r="DN24" s="22"/>
      <c r="DO24" s="23"/>
      <c r="DP24" s="23"/>
      <c r="DQ24" s="23"/>
      <c r="DR24" s="23"/>
      <c r="DS24" s="23"/>
      <c r="DT24" s="23"/>
      <c r="DU24" s="23"/>
      <c r="DV24" s="23"/>
      <c r="DW24" s="23"/>
      <c r="DX24" s="23"/>
      <c r="DY24" s="23"/>
      <c r="DZ24" s="23"/>
      <c r="EA24" s="23"/>
      <c r="EB24" s="23"/>
      <c r="EC24" s="23"/>
      <c r="ED24" s="34"/>
      <c r="EE24" s="35"/>
      <c r="EF24" s="21"/>
      <c r="EG24" s="22"/>
      <c r="EH24" s="21"/>
      <c r="EI24" s="22"/>
      <c r="EJ24" s="21"/>
      <c r="EK24" s="22"/>
      <c r="EL24" s="21"/>
      <c r="EM24" s="22"/>
      <c r="EN24" s="23"/>
      <c r="EO24" s="23"/>
      <c r="EP24" s="23"/>
      <c r="EQ24" s="23"/>
      <c r="ER24" s="23"/>
      <c r="ES24" s="23"/>
      <c r="ET24" s="23"/>
      <c r="EU24" s="23"/>
      <c r="EV24" s="23"/>
      <c r="EW24" s="23"/>
      <c r="EX24" s="23"/>
      <c r="EY24" s="23"/>
      <c r="EZ24" s="23"/>
      <c r="FA24" s="23"/>
      <c r="FB24" s="23"/>
      <c r="FC24" s="34"/>
      <c r="FD24" s="35"/>
      <c r="FE24" s="21"/>
      <c r="FF24" s="22"/>
      <c r="FG24" s="21"/>
      <c r="FH24" s="22"/>
      <c r="FI24" s="21"/>
      <c r="FJ24" s="22"/>
      <c r="FK24" s="21"/>
      <c r="FL24" s="22"/>
      <c r="FM24" s="23"/>
      <c r="FN24" s="23"/>
      <c r="FO24" s="23"/>
      <c r="FP24" s="23"/>
      <c r="FQ24" s="23"/>
      <c r="FR24" s="23"/>
      <c r="FS24" s="23"/>
    </row>
    <row r="25" spans="1:175" ht="16" x14ac:dyDescent="0.35">
      <c r="A25" s="23"/>
      <c r="B25" s="23"/>
      <c r="C25" s="23"/>
      <c r="D25" s="23"/>
      <c r="E25" s="23"/>
      <c r="F25" s="23"/>
      <c r="G25" s="23"/>
      <c r="H25" s="23"/>
      <c r="I25" s="30" t="s">
        <v>21</v>
      </c>
      <c r="J25" s="31"/>
      <c r="K25" s="17">
        <f>VLOOKUP(I25,METVALUE,2,FALSE)</f>
        <v>10</v>
      </c>
      <c r="L25" s="18"/>
      <c r="M25" s="17">
        <v>2</v>
      </c>
      <c r="N25" s="18"/>
      <c r="O25" s="17">
        <f>D3*K25</f>
        <v>1823.0709965323024</v>
      </c>
      <c r="P25" s="18"/>
      <c r="Q25" s="17">
        <f>M25*O25</f>
        <v>3646.1419930646048</v>
      </c>
      <c r="R25" s="18"/>
      <c r="S25" s="23"/>
      <c r="T25" s="23"/>
      <c r="U25" s="23"/>
      <c r="V25" s="23"/>
      <c r="W25" s="23"/>
      <c r="X25" s="23"/>
      <c r="Y25" s="23"/>
      <c r="Z25" s="23"/>
      <c r="AA25" s="23"/>
      <c r="AB25" s="23"/>
      <c r="AC25" s="23"/>
      <c r="AD25" s="23"/>
      <c r="AE25" s="23"/>
      <c r="AF25" s="23"/>
      <c r="AG25" s="23"/>
      <c r="AH25" s="30" t="s">
        <v>21</v>
      </c>
      <c r="AI25" s="31"/>
      <c r="AJ25" s="17">
        <f>VLOOKUP(AH25,METVALUE,2,FALSE)</f>
        <v>10</v>
      </c>
      <c r="AK25" s="18"/>
      <c r="AL25" s="17">
        <v>0</v>
      </c>
      <c r="AM25" s="18"/>
      <c r="AN25" s="17">
        <f>AC3*AJ25</f>
        <v>1823.0709965323024</v>
      </c>
      <c r="AO25" s="18"/>
      <c r="AP25" s="17">
        <f>AL25*AN25</f>
        <v>0</v>
      </c>
      <c r="AQ25" s="18"/>
      <c r="AR25" s="23"/>
      <c r="AS25" s="23"/>
      <c r="AT25" s="23"/>
      <c r="AU25" s="23"/>
      <c r="AV25" s="23"/>
      <c r="AW25" s="23"/>
      <c r="AX25" s="23"/>
      <c r="AY25" s="23"/>
      <c r="AZ25" s="23"/>
      <c r="BA25" s="23"/>
      <c r="BB25" s="23"/>
      <c r="BC25" s="23"/>
      <c r="BD25" s="23"/>
      <c r="BE25" s="23"/>
      <c r="BF25" s="23"/>
      <c r="BG25" s="30" t="s">
        <v>21</v>
      </c>
      <c r="BH25" s="31"/>
      <c r="BI25" s="17">
        <f>VLOOKUP(BG25,METVALUE,2,FALSE)</f>
        <v>10</v>
      </c>
      <c r="BJ25" s="18"/>
      <c r="BK25" s="17">
        <v>1.5</v>
      </c>
      <c r="BL25" s="18"/>
      <c r="BM25" s="17">
        <f>BB3*BI25</f>
        <v>1823.0709965323024</v>
      </c>
      <c r="BN25" s="18"/>
      <c r="BO25" s="17">
        <f>BK25*BM25</f>
        <v>2734.6064947984537</v>
      </c>
      <c r="BP25" s="18"/>
      <c r="BQ25" s="23"/>
      <c r="BR25" s="23"/>
      <c r="BS25" s="23"/>
      <c r="BT25" s="23"/>
      <c r="BU25" s="23"/>
      <c r="BV25" s="23"/>
      <c r="BW25" s="23"/>
      <c r="BX25" s="23"/>
      <c r="BY25" s="23"/>
      <c r="BZ25" s="23"/>
      <c r="CA25" s="23"/>
      <c r="CB25" s="23"/>
      <c r="CC25" s="23"/>
      <c r="CD25" s="23"/>
      <c r="CE25" s="23"/>
      <c r="CF25" s="30" t="s">
        <v>21</v>
      </c>
      <c r="CG25" s="31"/>
      <c r="CH25" s="17">
        <f>VLOOKUP(CF25,METVALUE,2,FALSE)</f>
        <v>10</v>
      </c>
      <c r="CI25" s="18"/>
      <c r="CJ25" s="17">
        <v>0</v>
      </c>
      <c r="CK25" s="18"/>
      <c r="CL25" s="17">
        <f>CA3*CH25</f>
        <v>1823.0709965323024</v>
      </c>
      <c r="CM25" s="18"/>
      <c r="CN25" s="17">
        <f>CJ25*CL25</f>
        <v>0</v>
      </c>
      <c r="CO25" s="18"/>
      <c r="CP25" s="23"/>
      <c r="CQ25" s="23"/>
      <c r="CR25" s="23"/>
      <c r="CS25" s="23"/>
      <c r="CT25" s="23"/>
      <c r="CU25" s="23"/>
      <c r="CV25" s="23"/>
      <c r="CW25" s="23"/>
      <c r="CX25" s="23"/>
      <c r="CY25" s="23"/>
      <c r="CZ25" s="23"/>
      <c r="DA25" s="23"/>
      <c r="DB25" s="23"/>
      <c r="DC25" s="23"/>
      <c r="DD25" s="23"/>
      <c r="DE25" s="30" t="s">
        <v>21</v>
      </c>
      <c r="DF25" s="31"/>
      <c r="DG25" s="17">
        <f>VLOOKUP(DE25,METVALUE,2,FALSE)</f>
        <v>10</v>
      </c>
      <c r="DH25" s="18"/>
      <c r="DI25" s="17">
        <v>1.25</v>
      </c>
      <c r="DJ25" s="18"/>
      <c r="DK25" s="17">
        <f>CZ3*DG25</f>
        <v>1823.0709965323024</v>
      </c>
      <c r="DL25" s="18"/>
      <c r="DM25" s="17">
        <f>DI25*DK25</f>
        <v>2278.8387456653782</v>
      </c>
      <c r="DN25" s="18"/>
      <c r="DO25" s="23"/>
      <c r="DP25" s="23"/>
      <c r="DQ25" s="23"/>
      <c r="DR25" s="23"/>
      <c r="DS25" s="23"/>
      <c r="DT25" s="23"/>
      <c r="DU25" s="23"/>
      <c r="DV25" s="23"/>
      <c r="DW25" s="23"/>
      <c r="DX25" s="23"/>
      <c r="DY25" s="23"/>
      <c r="DZ25" s="23"/>
      <c r="EA25" s="23"/>
      <c r="EB25" s="23"/>
      <c r="EC25" s="23"/>
      <c r="ED25" s="30" t="s">
        <v>21</v>
      </c>
      <c r="EE25" s="31"/>
      <c r="EF25" s="17">
        <f>VLOOKUP(ED25,METVALUE,2,FALSE)</f>
        <v>10</v>
      </c>
      <c r="EG25" s="18"/>
      <c r="EH25" s="17">
        <v>2</v>
      </c>
      <c r="EI25" s="18"/>
      <c r="EJ25" s="17">
        <f>DY3*EF25</f>
        <v>1823.0709965323024</v>
      </c>
      <c r="EK25" s="18"/>
      <c r="EL25" s="17">
        <f>EH25*EJ25</f>
        <v>3646.1419930646048</v>
      </c>
      <c r="EM25" s="18"/>
      <c r="EN25" s="23"/>
      <c r="EO25" s="23"/>
      <c r="EP25" s="23"/>
      <c r="EQ25" s="23"/>
      <c r="ER25" s="23"/>
      <c r="ES25" s="23"/>
      <c r="ET25" s="23"/>
      <c r="EU25" s="23"/>
      <c r="EV25" s="23"/>
      <c r="EW25" s="23"/>
      <c r="EX25" s="23"/>
      <c r="EY25" s="23"/>
      <c r="EZ25" s="23"/>
      <c r="FA25" s="23"/>
      <c r="FB25" s="23"/>
      <c r="FC25" s="30" t="s">
        <v>21</v>
      </c>
      <c r="FD25" s="31"/>
      <c r="FE25" s="17">
        <f>VLOOKUP(FC25,METVALUE,2,FALSE)</f>
        <v>10</v>
      </c>
      <c r="FF25" s="18"/>
      <c r="FG25" s="17">
        <v>0.75</v>
      </c>
      <c r="FH25" s="18"/>
      <c r="FI25" s="17">
        <f>EX3*FE25</f>
        <v>1823.0709965323024</v>
      </c>
      <c r="FJ25" s="18"/>
      <c r="FK25" s="17">
        <f>FG25*FI25</f>
        <v>1367.3032473992268</v>
      </c>
      <c r="FL25" s="18"/>
      <c r="FM25" s="23"/>
      <c r="FN25" s="23"/>
      <c r="FO25" s="23"/>
      <c r="FP25" s="23"/>
      <c r="FQ25" s="23"/>
      <c r="FR25" s="23"/>
      <c r="FS25" s="23"/>
    </row>
    <row r="26" spans="1:175" ht="16" x14ac:dyDescent="0.35">
      <c r="A26" s="23"/>
      <c r="B26" s="23"/>
      <c r="C26" s="23"/>
      <c r="D26" s="23"/>
      <c r="E26" s="23"/>
      <c r="F26" s="23"/>
      <c r="G26" s="23"/>
      <c r="H26" s="23"/>
      <c r="I26" s="32"/>
      <c r="J26" s="33"/>
      <c r="K26" s="19"/>
      <c r="L26" s="20"/>
      <c r="M26" s="19"/>
      <c r="N26" s="20"/>
      <c r="O26" s="19"/>
      <c r="P26" s="20"/>
      <c r="Q26" s="19"/>
      <c r="R26" s="20"/>
      <c r="S26" s="23"/>
      <c r="T26" s="23"/>
      <c r="U26" s="23"/>
      <c r="V26" s="23"/>
      <c r="W26" s="23"/>
      <c r="X26" s="23"/>
      <c r="Y26" s="23"/>
      <c r="Z26" s="23"/>
      <c r="AA26" s="23"/>
      <c r="AB26" s="23"/>
      <c r="AC26" s="23"/>
      <c r="AD26" s="23"/>
      <c r="AE26" s="23"/>
      <c r="AF26" s="23"/>
      <c r="AG26" s="23"/>
      <c r="AH26" s="32"/>
      <c r="AI26" s="33"/>
      <c r="AJ26" s="19"/>
      <c r="AK26" s="20"/>
      <c r="AL26" s="19"/>
      <c r="AM26" s="20"/>
      <c r="AN26" s="19"/>
      <c r="AO26" s="20"/>
      <c r="AP26" s="19"/>
      <c r="AQ26" s="20"/>
      <c r="AR26" s="23"/>
      <c r="AS26" s="23"/>
      <c r="AT26" s="23"/>
      <c r="AU26" s="23"/>
      <c r="AV26" s="23"/>
      <c r="AW26" s="23"/>
      <c r="AX26" s="23"/>
      <c r="AY26" s="23"/>
      <c r="AZ26" s="23"/>
      <c r="BA26" s="23"/>
      <c r="BB26" s="23"/>
      <c r="BC26" s="23"/>
      <c r="BD26" s="23"/>
      <c r="BE26" s="23"/>
      <c r="BF26" s="23"/>
      <c r="BG26" s="32"/>
      <c r="BH26" s="33"/>
      <c r="BI26" s="19"/>
      <c r="BJ26" s="20"/>
      <c r="BK26" s="19"/>
      <c r="BL26" s="20"/>
      <c r="BM26" s="19"/>
      <c r="BN26" s="20"/>
      <c r="BO26" s="19"/>
      <c r="BP26" s="20"/>
      <c r="BQ26" s="23"/>
      <c r="BR26" s="23"/>
      <c r="BS26" s="23"/>
      <c r="BT26" s="23"/>
      <c r="BU26" s="23"/>
      <c r="BV26" s="23"/>
      <c r="BW26" s="23"/>
      <c r="BX26" s="23"/>
      <c r="BY26" s="23"/>
      <c r="BZ26" s="23"/>
      <c r="CA26" s="23"/>
      <c r="CB26" s="23"/>
      <c r="CC26" s="23"/>
      <c r="CD26" s="23"/>
      <c r="CE26" s="23"/>
      <c r="CF26" s="32"/>
      <c r="CG26" s="33"/>
      <c r="CH26" s="19"/>
      <c r="CI26" s="20"/>
      <c r="CJ26" s="19"/>
      <c r="CK26" s="20"/>
      <c r="CL26" s="19"/>
      <c r="CM26" s="20"/>
      <c r="CN26" s="19"/>
      <c r="CO26" s="20"/>
      <c r="CP26" s="23"/>
      <c r="CQ26" s="23"/>
      <c r="CR26" s="23"/>
      <c r="CS26" s="23"/>
      <c r="CT26" s="23"/>
      <c r="CU26" s="23"/>
      <c r="CV26" s="23"/>
      <c r="CW26" s="23"/>
      <c r="CX26" s="23"/>
      <c r="CY26" s="23"/>
      <c r="CZ26" s="23"/>
      <c r="DA26" s="23"/>
      <c r="DB26" s="23"/>
      <c r="DC26" s="23"/>
      <c r="DD26" s="23"/>
      <c r="DE26" s="32"/>
      <c r="DF26" s="33"/>
      <c r="DG26" s="19"/>
      <c r="DH26" s="20"/>
      <c r="DI26" s="19"/>
      <c r="DJ26" s="20"/>
      <c r="DK26" s="19"/>
      <c r="DL26" s="20"/>
      <c r="DM26" s="19"/>
      <c r="DN26" s="20"/>
      <c r="DO26" s="23"/>
      <c r="DP26" s="23"/>
      <c r="DQ26" s="23"/>
      <c r="DR26" s="23"/>
      <c r="DS26" s="23"/>
      <c r="DT26" s="23"/>
      <c r="DU26" s="23"/>
      <c r="DV26" s="23"/>
      <c r="DW26" s="23"/>
      <c r="DX26" s="23"/>
      <c r="DY26" s="23"/>
      <c r="DZ26" s="23"/>
      <c r="EA26" s="23"/>
      <c r="EB26" s="23"/>
      <c r="EC26" s="23"/>
      <c r="ED26" s="32"/>
      <c r="EE26" s="33"/>
      <c r="EF26" s="19"/>
      <c r="EG26" s="20"/>
      <c r="EH26" s="19"/>
      <c r="EI26" s="20"/>
      <c r="EJ26" s="19"/>
      <c r="EK26" s="20"/>
      <c r="EL26" s="19"/>
      <c r="EM26" s="20"/>
      <c r="EN26" s="23"/>
      <c r="EO26" s="23"/>
      <c r="EP26" s="23"/>
      <c r="EQ26" s="23"/>
      <c r="ER26" s="23"/>
      <c r="ES26" s="23"/>
      <c r="ET26" s="23"/>
      <c r="EU26" s="23"/>
      <c r="EV26" s="23"/>
      <c r="EW26" s="23"/>
      <c r="EX26" s="23"/>
      <c r="EY26" s="23"/>
      <c r="EZ26" s="23"/>
      <c r="FA26" s="23"/>
      <c r="FB26" s="23"/>
      <c r="FC26" s="32"/>
      <c r="FD26" s="33"/>
      <c r="FE26" s="19"/>
      <c r="FF26" s="20"/>
      <c r="FG26" s="19"/>
      <c r="FH26" s="20"/>
      <c r="FI26" s="19"/>
      <c r="FJ26" s="20"/>
      <c r="FK26" s="19"/>
      <c r="FL26" s="20"/>
      <c r="FM26" s="23"/>
      <c r="FN26" s="23"/>
      <c r="FO26" s="23"/>
      <c r="FP26" s="23"/>
      <c r="FQ26" s="23"/>
      <c r="FR26" s="23"/>
      <c r="FS26" s="23"/>
    </row>
    <row r="27" spans="1:175" ht="16.5" thickBot="1" x14ac:dyDescent="0.4">
      <c r="A27" s="23"/>
      <c r="B27" s="23"/>
      <c r="C27" s="23"/>
      <c r="D27" s="23"/>
      <c r="E27" s="23"/>
      <c r="F27" s="23"/>
      <c r="G27" s="23"/>
      <c r="H27" s="23"/>
      <c r="I27" s="34"/>
      <c r="J27" s="35"/>
      <c r="K27" s="21"/>
      <c r="L27" s="22"/>
      <c r="M27" s="21"/>
      <c r="N27" s="22"/>
      <c r="O27" s="21"/>
      <c r="P27" s="22"/>
      <c r="Q27" s="21"/>
      <c r="R27" s="22"/>
      <c r="S27" s="23"/>
      <c r="T27" s="23"/>
      <c r="U27" s="23"/>
      <c r="V27" s="23"/>
      <c r="W27" s="23"/>
      <c r="X27" s="23"/>
      <c r="Y27" s="23"/>
      <c r="Z27" s="23"/>
      <c r="AA27" s="23"/>
      <c r="AB27" s="23"/>
      <c r="AC27" s="23"/>
      <c r="AD27" s="23"/>
      <c r="AE27" s="23"/>
      <c r="AF27" s="23"/>
      <c r="AG27" s="23"/>
      <c r="AH27" s="34"/>
      <c r="AI27" s="35"/>
      <c r="AJ27" s="21"/>
      <c r="AK27" s="22"/>
      <c r="AL27" s="21"/>
      <c r="AM27" s="22"/>
      <c r="AN27" s="21"/>
      <c r="AO27" s="22"/>
      <c r="AP27" s="21"/>
      <c r="AQ27" s="22"/>
      <c r="AR27" s="23"/>
      <c r="AS27" s="23"/>
      <c r="AT27" s="23"/>
      <c r="AU27" s="23"/>
      <c r="AV27" s="23"/>
      <c r="AW27" s="23"/>
      <c r="AX27" s="23"/>
      <c r="AY27" s="23"/>
      <c r="AZ27" s="23"/>
      <c r="BA27" s="23"/>
      <c r="BB27" s="23"/>
      <c r="BC27" s="23"/>
      <c r="BD27" s="23"/>
      <c r="BE27" s="23"/>
      <c r="BF27" s="23"/>
      <c r="BG27" s="34"/>
      <c r="BH27" s="35"/>
      <c r="BI27" s="21"/>
      <c r="BJ27" s="22"/>
      <c r="BK27" s="21"/>
      <c r="BL27" s="22"/>
      <c r="BM27" s="21"/>
      <c r="BN27" s="22"/>
      <c r="BO27" s="21"/>
      <c r="BP27" s="22"/>
      <c r="BQ27" s="23"/>
      <c r="BR27" s="23"/>
      <c r="BS27" s="23"/>
      <c r="BT27" s="23"/>
      <c r="BU27" s="23"/>
      <c r="BV27" s="23"/>
      <c r="BW27" s="23"/>
      <c r="BX27" s="23"/>
      <c r="BY27" s="23"/>
      <c r="BZ27" s="23"/>
      <c r="CA27" s="23"/>
      <c r="CB27" s="23"/>
      <c r="CC27" s="23"/>
      <c r="CD27" s="23"/>
      <c r="CE27" s="23"/>
      <c r="CF27" s="34"/>
      <c r="CG27" s="35"/>
      <c r="CH27" s="21"/>
      <c r="CI27" s="22"/>
      <c r="CJ27" s="21"/>
      <c r="CK27" s="22"/>
      <c r="CL27" s="21"/>
      <c r="CM27" s="22"/>
      <c r="CN27" s="21"/>
      <c r="CO27" s="22"/>
      <c r="CP27" s="23"/>
      <c r="CQ27" s="23"/>
      <c r="CR27" s="23"/>
      <c r="CS27" s="23"/>
      <c r="CT27" s="23"/>
      <c r="CU27" s="23"/>
      <c r="CV27" s="23"/>
      <c r="CW27" s="23"/>
      <c r="CX27" s="23"/>
      <c r="CY27" s="23"/>
      <c r="CZ27" s="23"/>
      <c r="DA27" s="23"/>
      <c r="DB27" s="23"/>
      <c r="DC27" s="23"/>
      <c r="DD27" s="23"/>
      <c r="DE27" s="34"/>
      <c r="DF27" s="35"/>
      <c r="DG27" s="21"/>
      <c r="DH27" s="22"/>
      <c r="DI27" s="21"/>
      <c r="DJ27" s="22"/>
      <c r="DK27" s="21"/>
      <c r="DL27" s="22"/>
      <c r="DM27" s="21"/>
      <c r="DN27" s="22"/>
      <c r="DO27" s="23"/>
      <c r="DP27" s="23"/>
      <c r="DQ27" s="23"/>
      <c r="DR27" s="23"/>
      <c r="DS27" s="23"/>
      <c r="DT27" s="23"/>
      <c r="DU27" s="23"/>
      <c r="DV27" s="23"/>
      <c r="DW27" s="23"/>
      <c r="DX27" s="23"/>
      <c r="DY27" s="23"/>
      <c r="DZ27" s="23"/>
      <c r="EA27" s="23"/>
      <c r="EB27" s="23"/>
      <c r="EC27" s="23"/>
      <c r="ED27" s="34"/>
      <c r="EE27" s="35"/>
      <c r="EF27" s="21"/>
      <c r="EG27" s="22"/>
      <c r="EH27" s="21"/>
      <c r="EI27" s="22"/>
      <c r="EJ27" s="21"/>
      <c r="EK27" s="22"/>
      <c r="EL27" s="21"/>
      <c r="EM27" s="22"/>
      <c r="EN27" s="23"/>
      <c r="EO27" s="23"/>
      <c r="EP27" s="23"/>
      <c r="EQ27" s="23"/>
      <c r="ER27" s="23"/>
      <c r="ES27" s="23"/>
      <c r="ET27" s="23"/>
      <c r="EU27" s="23"/>
      <c r="EV27" s="23"/>
      <c r="EW27" s="23"/>
      <c r="EX27" s="23"/>
      <c r="EY27" s="23"/>
      <c r="EZ27" s="23"/>
      <c r="FA27" s="23"/>
      <c r="FB27" s="23"/>
      <c r="FC27" s="34"/>
      <c r="FD27" s="35"/>
      <c r="FE27" s="21"/>
      <c r="FF27" s="22"/>
      <c r="FG27" s="21"/>
      <c r="FH27" s="22"/>
      <c r="FI27" s="21"/>
      <c r="FJ27" s="22"/>
      <c r="FK27" s="21"/>
      <c r="FL27" s="22"/>
      <c r="FM27" s="23"/>
      <c r="FN27" s="23"/>
      <c r="FO27" s="23"/>
      <c r="FP27" s="23"/>
      <c r="FQ27" s="23"/>
      <c r="FR27" s="23"/>
      <c r="FS27" s="23"/>
    </row>
    <row r="28" spans="1:175" ht="16" x14ac:dyDescent="0.35">
      <c r="A28" s="23"/>
      <c r="B28" s="23"/>
      <c r="C28" s="23"/>
      <c r="D28" s="23"/>
      <c r="E28" s="23"/>
      <c r="F28" s="23"/>
      <c r="G28" s="23"/>
      <c r="H28" s="23"/>
      <c r="I28" s="30" t="s">
        <v>60</v>
      </c>
      <c r="J28" s="31"/>
      <c r="K28" s="17">
        <f>VLOOKUP(I25,METVALUE,2,FALSE)</f>
        <v>10</v>
      </c>
      <c r="L28" s="18"/>
      <c r="M28" s="17">
        <v>1</v>
      </c>
      <c r="N28" s="18"/>
      <c r="O28" s="17">
        <f>D3*K28</f>
        <v>1823.0709965323024</v>
      </c>
      <c r="P28" s="18"/>
      <c r="Q28" s="17">
        <f>M28*O28</f>
        <v>1823.0709965323024</v>
      </c>
      <c r="R28" s="18"/>
      <c r="S28" s="23"/>
      <c r="T28" s="23"/>
      <c r="U28" s="23"/>
      <c r="V28" s="23"/>
      <c r="W28" s="23"/>
      <c r="X28" s="23"/>
      <c r="Y28" s="23"/>
      <c r="Z28" s="23"/>
      <c r="AA28" s="23"/>
      <c r="AB28" s="23"/>
      <c r="AC28" s="23"/>
      <c r="AD28" s="23"/>
      <c r="AE28" s="23"/>
      <c r="AF28" s="23"/>
      <c r="AG28" s="23"/>
      <c r="AH28" s="30" t="s">
        <v>60</v>
      </c>
      <c r="AI28" s="31"/>
      <c r="AJ28" s="17">
        <f>VLOOKUP(AH25,METVALUE,2,FALSE)</f>
        <v>10</v>
      </c>
      <c r="AK28" s="18"/>
      <c r="AL28" s="17">
        <v>0.25</v>
      </c>
      <c r="AM28" s="18"/>
      <c r="AN28" s="17">
        <f>AC3*AJ28</f>
        <v>1823.0709965323024</v>
      </c>
      <c r="AO28" s="18"/>
      <c r="AP28" s="17">
        <f>AL28*AN28</f>
        <v>455.7677491330756</v>
      </c>
      <c r="AQ28" s="18"/>
      <c r="AR28" s="23"/>
      <c r="AS28" s="23"/>
      <c r="AT28" s="23"/>
      <c r="AU28" s="23"/>
      <c r="AV28" s="23"/>
      <c r="AW28" s="23"/>
      <c r="AX28" s="23"/>
      <c r="AY28" s="23"/>
      <c r="AZ28" s="23"/>
      <c r="BA28" s="23"/>
      <c r="BB28" s="23"/>
      <c r="BC28" s="23"/>
      <c r="BD28" s="23"/>
      <c r="BE28" s="23"/>
      <c r="BF28" s="23"/>
      <c r="BG28" s="30" t="s">
        <v>60</v>
      </c>
      <c r="BH28" s="31"/>
      <c r="BI28" s="17">
        <f>VLOOKUP(BG25,METVALUE,2,FALSE)</f>
        <v>10</v>
      </c>
      <c r="BJ28" s="18"/>
      <c r="BK28" s="17">
        <v>0</v>
      </c>
      <c r="BL28" s="18"/>
      <c r="BM28" s="17">
        <f>BB3*BI28</f>
        <v>1823.0709965323024</v>
      </c>
      <c r="BN28" s="18"/>
      <c r="BO28" s="17">
        <f>BK28*BM28</f>
        <v>0</v>
      </c>
      <c r="BP28" s="18"/>
      <c r="BQ28" s="23"/>
      <c r="BR28" s="23"/>
      <c r="BS28" s="23"/>
      <c r="BT28" s="23"/>
      <c r="BU28" s="23"/>
      <c r="BV28" s="23"/>
      <c r="BW28" s="23"/>
      <c r="BX28" s="23"/>
      <c r="BY28" s="23"/>
      <c r="BZ28" s="23"/>
      <c r="CA28" s="23"/>
      <c r="CB28" s="23"/>
      <c r="CC28" s="23"/>
      <c r="CD28" s="23"/>
      <c r="CE28" s="23"/>
      <c r="CF28" s="30" t="s">
        <v>60</v>
      </c>
      <c r="CG28" s="31"/>
      <c r="CH28" s="17">
        <f>VLOOKUP(CF25,METVALUE,2,FALSE)</f>
        <v>10</v>
      </c>
      <c r="CI28" s="18"/>
      <c r="CJ28" s="17">
        <v>1.25</v>
      </c>
      <c r="CK28" s="18"/>
      <c r="CL28" s="17">
        <f>CA3*CH28</f>
        <v>1823.0709965323024</v>
      </c>
      <c r="CM28" s="18"/>
      <c r="CN28" s="17">
        <f>CJ28*CL28</f>
        <v>2278.8387456653782</v>
      </c>
      <c r="CO28" s="18"/>
      <c r="CP28" s="23"/>
      <c r="CQ28" s="23"/>
      <c r="CR28" s="23"/>
      <c r="CS28" s="23"/>
      <c r="CT28" s="23"/>
      <c r="CU28" s="23"/>
      <c r="CV28" s="23"/>
      <c r="CW28" s="23"/>
      <c r="CX28" s="23"/>
      <c r="CY28" s="23"/>
      <c r="CZ28" s="23"/>
      <c r="DA28" s="23"/>
      <c r="DB28" s="23"/>
      <c r="DC28" s="23"/>
      <c r="DD28" s="23"/>
      <c r="DE28" s="30" t="s">
        <v>60</v>
      </c>
      <c r="DF28" s="31"/>
      <c r="DG28" s="17">
        <f>VLOOKUP(DE25,METVALUE,2,FALSE)</f>
        <v>10</v>
      </c>
      <c r="DH28" s="18"/>
      <c r="DI28" s="17">
        <v>1</v>
      </c>
      <c r="DJ28" s="18"/>
      <c r="DK28" s="17">
        <f>CZ3*DG28</f>
        <v>1823.0709965323024</v>
      </c>
      <c r="DL28" s="18"/>
      <c r="DM28" s="17">
        <f>DI28*DK28</f>
        <v>1823.0709965323024</v>
      </c>
      <c r="DN28" s="18"/>
      <c r="DO28" s="23"/>
      <c r="DP28" s="23"/>
      <c r="DQ28" s="23"/>
      <c r="DR28" s="23"/>
      <c r="DS28" s="23"/>
      <c r="DT28" s="23"/>
      <c r="DU28" s="23"/>
      <c r="DV28" s="23"/>
      <c r="DW28" s="23"/>
      <c r="DX28" s="23"/>
      <c r="DY28" s="23"/>
      <c r="DZ28" s="23"/>
      <c r="EA28" s="23"/>
      <c r="EB28" s="23"/>
      <c r="EC28" s="23"/>
      <c r="ED28" s="30" t="s">
        <v>60</v>
      </c>
      <c r="EE28" s="31"/>
      <c r="EF28" s="17">
        <f>VLOOKUP(ED25,METVALUE,2,FALSE)</f>
        <v>10</v>
      </c>
      <c r="EG28" s="18"/>
      <c r="EH28" s="17">
        <v>0.25</v>
      </c>
      <c r="EI28" s="18"/>
      <c r="EJ28" s="17">
        <f>DY3*EF28</f>
        <v>1823.0709965323024</v>
      </c>
      <c r="EK28" s="18"/>
      <c r="EL28" s="17">
        <f>EH28*EJ28</f>
        <v>455.7677491330756</v>
      </c>
      <c r="EM28" s="18"/>
      <c r="EN28" s="23"/>
      <c r="EO28" s="23"/>
      <c r="EP28" s="23"/>
      <c r="EQ28" s="23"/>
      <c r="ER28" s="23"/>
      <c r="ES28" s="23"/>
      <c r="ET28" s="23"/>
      <c r="EU28" s="23"/>
      <c r="EV28" s="23"/>
      <c r="EW28" s="23"/>
      <c r="EX28" s="23"/>
      <c r="EY28" s="23"/>
      <c r="EZ28" s="23"/>
      <c r="FA28" s="23"/>
      <c r="FB28" s="23"/>
      <c r="FC28" s="30" t="s">
        <v>60</v>
      </c>
      <c r="FD28" s="31"/>
      <c r="FE28" s="17">
        <f>VLOOKUP(FC25,METVALUE,2,FALSE)</f>
        <v>10</v>
      </c>
      <c r="FF28" s="18"/>
      <c r="FG28" s="17">
        <v>0</v>
      </c>
      <c r="FH28" s="18"/>
      <c r="FI28" s="17">
        <f>EX3*FE28</f>
        <v>1823.0709965323024</v>
      </c>
      <c r="FJ28" s="18"/>
      <c r="FK28" s="17">
        <f>FG28*FI28</f>
        <v>0</v>
      </c>
      <c r="FL28" s="18"/>
      <c r="FM28" s="23"/>
      <c r="FN28" s="23"/>
      <c r="FO28" s="23"/>
      <c r="FP28" s="23"/>
      <c r="FQ28" s="23"/>
      <c r="FR28" s="23"/>
      <c r="FS28" s="23"/>
    </row>
    <row r="29" spans="1:175" ht="16" x14ac:dyDescent="0.35">
      <c r="A29" s="23"/>
      <c r="B29" s="23"/>
      <c r="C29" s="23"/>
      <c r="D29" s="23"/>
      <c r="E29" s="23"/>
      <c r="F29" s="23"/>
      <c r="G29" s="23"/>
      <c r="H29" s="23"/>
      <c r="I29" s="32"/>
      <c r="J29" s="33"/>
      <c r="K29" s="19"/>
      <c r="L29" s="20"/>
      <c r="M29" s="19"/>
      <c r="N29" s="20"/>
      <c r="O29" s="19"/>
      <c r="P29" s="20"/>
      <c r="Q29" s="19"/>
      <c r="R29" s="20"/>
      <c r="S29" s="23"/>
      <c r="T29" s="23"/>
      <c r="U29" s="23"/>
      <c r="V29" s="23"/>
      <c r="W29" s="23"/>
      <c r="X29" s="23"/>
      <c r="Y29" s="23"/>
      <c r="Z29" s="23"/>
      <c r="AA29" s="23"/>
      <c r="AB29" s="23"/>
      <c r="AC29" s="23"/>
      <c r="AD29" s="23"/>
      <c r="AE29" s="23"/>
      <c r="AF29" s="23"/>
      <c r="AG29" s="23"/>
      <c r="AH29" s="32"/>
      <c r="AI29" s="33"/>
      <c r="AJ29" s="19"/>
      <c r="AK29" s="20"/>
      <c r="AL29" s="19"/>
      <c r="AM29" s="20"/>
      <c r="AN29" s="19"/>
      <c r="AO29" s="20"/>
      <c r="AP29" s="19"/>
      <c r="AQ29" s="20"/>
      <c r="AR29" s="23"/>
      <c r="AS29" s="23"/>
      <c r="AT29" s="23"/>
      <c r="AU29" s="23"/>
      <c r="AV29" s="23"/>
      <c r="AW29" s="23"/>
      <c r="AX29" s="23"/>
      <c r="AY29" s="23"/>
      <c r="AZ29" s="23"/>
      <c r="BA29" s="23"/>
      <c r="BB29" s="23"/>
      <c r="BC29" s="23"/>
      <c r="BD29" s="23"/>
      <c r="BE29" s="23"/>
      <c r="BF29" s="23"/>
      <c r="BG29" s="32"/>
      <c r="BH29" s="33"/>
      <c r="BI29" s="19"/>
      <c r="BJ29" s="20"/>
      <c r="BK29" s="19"/>
      <c r="BL29" s="20"/>
      <c r="BM29" s="19"/>
      <c r="BN29" s="20"/>
      <c r="BO29" s="19"/>
      <c r="BP29" s="20"/>
      <c r="BQ29" s="23"/>
      <c r="BR29" s="23"/>
      <c r="BS29" s="23"/>
      <c r="BT29" s="23"/>
      <c r="BU29" s="23"/>
      <c r="BV29" s="23"/>
      <c r="BW29" s="23"/>
      <c r="BX29" s="23"/>
      <c r="BY29" s="23"/>
      <c r="BZ29" s="23"/>
      <c r="CA29" s="23"/>
      <c r="CB29" s="23"/>
      <c r="CC29" s="23"/>
      <c r="CD29" s="23"/>
      <c r="CE29" s="23"/>
      <c r="CF29" s="32"/>
      <c r="CG29" s="33"/>
      <c r="CH29" s="19"/>
      <c r="CI29" s="20"/>
      <c r="CJ29" s="19"/>
      <c r="CK29" s="20"/>
      <c r="CL29" s="19"/>
      <c r="CM29" s="20"/>
      <c r="CN29" s="19"/>
      <c r="CO29" s="20"/>
      <c r="CP29" s="23"/>
      <c r="CQ29" s="23"/>
      <c r="CR29" s="23"/>
      <c r="CS29" s="23"/>
      <c r="CT29" s="23"/>
      <c r="CU29" s="23"/>
      <c r="CV29" s="23"/>
      <c r="CW29" s="23"/>
      <c r="CX29" s="23"/>
      <c r="CY29" s="23"/>
      <c r="CZ29" s="23"/>
      <c r="DA29" s="23"/>
      <c r="DB29" s="23"/>
      <c r="DC29" s="23"/>
      <c r="DD29" s="23"/>
      <c r="DE29" s="32"/>
      <c r="DF29" s="33"/>
      <c r="DG29" s="19"/>
      <c r="DH29" s="20"/>
      <c r="DI29" s="19"/>
      <c r="DJ29" s="20"/>
      <c r="DK29" s="19"/>
      <c r="DL29" s="20"/>
      <c r="DM29" s="19"/>
      <c r="DN29" s="20"/>
      <c r="DO29" s="23"/>
      <c r="DP29" s="23"/>
      <c r="DQ29" s="23"/>
      <c r="DR29" s="23"/>
      <c r="DS29" s="23"/>
      <c r="DT29" s="23"/>
      <c r="DU29" s="23"/>
      <c r="DV29" s="23"/>
      <c r="DW29" s="23"/>
      <c r="DX29" s="23"/>
      <c r="DY29" s="23"/>
      <c r="DZ29" s="23"/>
      <c r="EA29" s="23"/>
      <c r="EB29" s="23"/>
      <c r="EC29" s="23"/>
      <c r="ED29" s="32"/>
      <c r="EE29" s="33"/>
      <c r="EF29" s="19"/>
      <c r="EG29" s="20"/>
      <c r="EH29" s="19"/>
      <c r="EI29" s="20"/>
      <c r="EJ29" s="19"/>
      <c r="EK29" s="20"/>
      <c r="EL29" s="19"/>
      <c r="EM29" s="20"/>
      <c r="EN29" s="23"/>
      <c r="EO29" s="23"/>
      <c r="EP29" s="23"/>
      <c r="EQ29" s="23"/>
      <c r="ER29" s="23"/>
      <c r="ES29" s="23"/>
      <c r="ET29" s="23"/>
      <c r="EU29" s="23"/>
      <c r="EV29" s="23"/>
      <c r="EW29" s="23"/>
      <c r="EX29" s="23"/>
      <c r="EY29" s="23"/>
      <c r="EZ29" s="23"/>
      <c r="FA29" s="23"/>
      <c r="FB29" s="23"/>
      <c r="FC29" s="32"/>
      <c r="FD29" s="33"/>
      <c r="FE29" s="19"/>
      <c r="FF29" s="20"/>
      <c r="FG29" s="19"/>
      <c r="FH29" s="20"/>
      <c r="FI29" s="19"/>
      <c r="FJ29" s="20"/>
      <c r="FK29" s="19"/>
      <c r="FL29" s="20"/>
      <c r="FM29" s="23"/>
      <c r="FN29" s="23"/>
      <c r="FO29" s="23"/>
      <c r="FP29" s="23"/>
      <c r="FQ29" s="23"/>
      <c r="FR29" s="23"/>
      <c r="FS29" s="23"/>
    </row>
    <row r="30" spans="1:175" ht="16.5" thickBot="1" x14ac:dyDescent="0.4">
      <c r="A30" s="23"/>
      <c r="B30" s="23"/>
      <c r="C30" s="23"/>
      <c r="D30" s="23"/>
      <c r="E30" s="23"/>
      <c r="F30" s="23"/>
      <c r="G30" s="23"/>
      <c r="H30" s="23"/>
      <c r="I30" s="34"/>
      <c r="J30" s="35"/>
      <c r="K30" s="21"/>
      <c r="L30" s="22"/>
      <c r="M30" s="21"/>
      <c r="N30" s="22"/>
      <c r="O30" s="21"/>
      <c r="P30" s="22"/>
      <c r="Q30" s="21"/>
      <c r="R30" s="22"/>
      <c r="S30" s="23"/>
      <c r="T30" s="23"/>
      <c r="U30" s="23"/>
      <c r="V30" s="23"/>
      <c r="W30" s="23"/>
      <c r="X30" s="23"/>
      <c r="Y30" s="23"/>
      <c r="Z30" s="23"/>
      <c r="AA30" s="23"/>
      <c r="AB30" s="23"/>
      <c r="AC30" s="23"/>
      <c r="AD30" s="23"/>
      <c r="AE30" s="23"/>
      <c r="AF30" s="23"/>
      <c r="AG30" s="23"/>
      <c r="AH30" s="34"/>
      <c r="AI30" s="35"/>
      <c r="AJ30" s="21"/>
      <c r="AK30" s="22"/>
      <c r="AL30" s="21"/>
      <c r="AM30" s="22"/>
      <c r="AN30" s="21"/>
      <c r="AO30" s="22"/>
      <c r="AP30" s="21"/>
      <c r="AQ30" s="22"/>
      <c r="AR30" s="23"/>
      <c r="AS30" s="23"/>
      <c r="AT30" s="23"/>
      <c r="AU30" s="23"/>
      <c r="AV30" s="23"/>
      <c r="AW30" s="23"/>
      <c r="AX30" s="23"/>
      <c r="AY30" s="23"/>
      <c r="AZ30" s="23"/>
      <c r="BA30" s="23"/>
      <c r="BB30" s="23"/>
      <c r="BC30" s="23"/>
      <c r="BD30" s="23"/>
      <c r="BE30" s="23"/>
      <c r="BF30" s="23"/>
      <c r="BG30" s="34"/>
      <c r="BH30" s="35"/>
      <c r="BI30" s="21"/>
      <c r="BJ30" s="22"/>
      <c r="BK30" s="21"/>
      <c r="BL30" s="22"/>
      <c r="BM30" s="21"/>
      <c r="BN30" s="22"/>
      <c r="BO30" s="21"/>
      <c r="BP30" s="22"/>
      <c r="BQ30" s="23"/>
      <c r="BR30" s="23"/>
      <c r="BS30" s="23"/>
      <c r="BT30" s="23"/>
      <c r="BU30" s="23"/>
      <c r="BV30" s="23"/>
      <c r="BW30" s="23"/>
      <c r="BX30" s="23"/>
      <c r="BY30" s="23"/>
      <c r="BZ30" s="23"/>
      <c r="CA30" s="23"/>
      <c r="CB30" s="23"/>
      <c r="CC30" s="23"/>
      <c r="CD30" s="23"/>
      <c r="CE30" s="23"/>
      <c r="CF30" s="34"/>
      <c r="CG30" s="35"/>
      <c r="CH30" s="21"/>
      <c r="CI30" s="22"/>
      <c r="CJ30" s="21"/>
      <c r="CK30" s="22"/>
      <c r="CL30" s="21"/>
      <c r="CM30" s="22"/>
      <c r="CN30" s="21"/>
      <c r="CO30" s="22"/>
      <c r="CP30" s="23"/>
      <c r="CQ30" s="23"/>
      <c r="CR30" s="23"/>
      <c r="CS30" s="23"/>
      <c r="CT30" s="23"/>
      <c r="CU30" s="23"/>
      <c r="CV30" s="23"/>
      <c r="CW30" s="23"/>
      <c r="CX30" s="23"/>
      <c r="CY30" s="23"/>
      <c r="CZ30" s="23"/>
      <c r="DA30" s="23"/>
      <c r="DB30" s="23"/>
      <c r="DC30" s="23"/>
      <c r="DD30" s="23"/>
      <c r="DE30" s="34"/>
      <c r="DF30" s="35"/>
      <c r="DG30" s="21"/>
      <c r="DH30" s="22"/>
      <c r="DI30" s="21"/>
      <c r="DJ30" s="22"/>
      <c r="DK30" s="21"/>
      <c r="DL30" s="22"/>
      <c r="DM30" s="21"/>
      <c r="DN30" s="22"/>
      <c r="DO30" s="23"/>
      <c r="DP30" s="23"/>
      <c r="DQ30" s="23"/>
      <c r="DR30" s="23"/>
      <c r="DS30" s="23"/>
      <c r="DT30" s="23"/>
      <c r="DU30" s="23"/>
      <c r="DV30" s="23"/>
      <c r="DW30" s="23"/>
      <c r="DX30" s="23"/>
      <c r="DY30" s="23"/>
      <c r="DZ30" s="23"/>
      <c r="EA30" s="23"/>
      <c r="EB30" s="23"/>
      <c r="EC30" s="23"/>
      <c r="ED30" s="34"/>
      <c r="EE30" s="35"/>
      <c r="EF30" s="21"/>
      <c r="EG30" s="22"/>
      <c r="EH30" s="21"/>
      <c r="EI30" s="22"/>
      <c r="EJ30" s="21"/>
      <c r="EK30" s="22"/>
      <c r="EL30" s="21"/>
      <c r="EM30" s="22"/>
      <c r="EN30" s="23"/>
      <c r="EO30" s="23"/>
      <c r="EP30" s="23"/>
      <c r="EQ30" s="23"/>
      <c r="ER30" s="23"/>
      <c r="ES30" s="23"/>
      <c r="ET30" s="23"/>
      <c r="EU30" s="23"/>
      <c r="EV30" s="23"/>
      <c r="EW30" s="23"/>
      <c r="EX30" s="23"/>
      <c r="EY30" s="23"/>
      <c r="EZ30" s="23"/>
      <c r="FA30" s="23"/>
      <c r="FB30" s="23"/>
      <c r="FC30" s="34"/>
      <c r="FD30" s="35"/>
      <c r="FE30" s="21"/>
      <c r="FF30" s="22"/>
      <c r="FG30" s="21"/>
      <c r="FH30" s="22"/>
      <c r="FI30" s="21"/>
      <c r="FJ30" s="22"/>
      <c r="FK30" s="21"/>
      <c r="FL30" s="22"/>
      <c r="FM30" s="23"/>
      <c r="FN30" s="23"/>
      <c r="FO30" s="23"/>
      <c r="FP30" s="23"/>
      <c r="FQ30" s="23"/>
      <c r="FR30" s="23"/>
      <c r="FS30" s="23"/>
    </row>
    <row r="31" spans="1:175" x14ac:dyDescent="0.3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row>
    <row r="32" spans="1:175" ht="15" thickBot="1" x14ac:dyDescent="0.4">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row>
    <row r="33" spans="1:175" ht="18.5" x14ac:dyDescent="0.35">
      <c r="A33" s="23"/>
      <c r="B33" s="23"/>
      <c r="C33" s="88" t="s">
        <v>61</v>
      </c>
      <c r="D33" s="89"/>
      <c r="E33" s="89"/>
      <c r="F33" s="90"/>
      <c r="G33" s="36"/>
      <c r="H33" s="36"/>
      <c r="I33" s="23"/>
      <c r="J33" s="23"/>
      <c r="K33" s="23"/>
      <c r="L33" s="23"/>
      <c r="M33" s="23"/>
      <c r="N33" s="23"/>
      <c r="O33" s="23"/>
      <c r="P33" s="23"/>
      <c r="Q33" s="23"/>
      <c r="R33" s="23"/>
      <c r="S33" s="23"/>
      <c r="T33" s="23"/>
      <c r="U33" s="23"/>
      <c r="V33" s="23"/>
      <c r="W33" s="23"/>
      <c r="X33" s="23"/>
      <c r="Y33" s="23"/>
      <c r="Z33" s="23"/>
      <c r="AA33" s="23"/>
      <c r="AB33" s="88" t="s">
        <v>62</v>
      </c>
      <c r="AC33" s="89"/>
      <c r="AD33" s="89"/>
      <c r="AE33" s="90"/>
      <c r="AF33" s="36"/>
      <c r="AG33" s="36"/>
      <c r="AH33" s="23"/>
      <c r="AI33" s="23"/>
      <c r="AJ33" s="23"/>
      <c r="AK33" s="23"/>
      <c r="AL33" s="23"/>
      <c r="AM33" s="23"/>
      <c r="AN33" s="23"/>
      <c r="AO33" s="23"/>
      <c r="AP33" s="23"/>
      <c r="AQ33" s="23"/>
      <c r="AR33" s="23"/>
      <c r="AS33" s="23"/>
      <c r="AT33" s="23"/>
      <c r="AU33" s="23"/>
      <c r="AV33" s="23"/>
      <c r="AW33" s="23"/>
      <c r="AX33" s="23"/>
      <c r="AY33" s="23"/>
      <c r="AZ33" s="23"/>
      <c r="BA33" s="88" t="s">
        <v>63</v>
      </c>
      <c r="BB33" s="89"/>
      <c r="BC33" s="89"/>
      <c r="BD33" s="90"/>
      <c r="BE33" s="36"/>
      <c r="BF33" s="36"/>
      <c r="BG33" s="23"/>
      <c r="BH33" s="23"/>
      <c r="BI33" s="23"/>
      <c r="BJ33" s="23"/>
      <c r="BK33" s="23"/>
      <c r="BL33" s="23"/>
      <c r="BM33" s="23"/>
      <c r="BN33" s="23"/>
      <c r="BO33" s="23"/>
      <c r="BP33" s="23"/>
      <c r="BQ33" s="23"/>
      <c r="BR33" s="23"/>
      <c r="BS33" s="23"/>
      <c r="BT33" s="23"/>
      <c r="BU33" s="23"/>
      <c r="BV33" s="23"/>
      <c r="BW33" s="23"/>
      <c r="BX33" s="23"/>
      <c r="BY33" s="23"/>
      <c r="BZ33" s="88" t="s">
        <v>64</v>
      </c>
      <c r="CA33" s="89"/>
      <c r="CB33" s="89"/>
      <c r="CC33" s="90"/>
      <c r="CD33" s="36"/>
      <c r="CE33" s="36"/>
      <c r="CF33" s="23"/>
      <c r="CG33" s="23"/>
      <c r="CH33" s="23"/>
      <c r="CI33" s="23"/>
      <c r="CJ33" s="23"/>
      <c r="CK33" s="23"/>
      <c r="CL33" s="23"/>
      <c r="CM33" s="23"/>
      <c r="CN33" s="23"/>
      <c r="CO33" s="23"/>
      <c r="CP33" s="23"/>
      <c r="CQ33" s="23"/>
      <c r="CR33" s="23"/>
      <c r="CS33" s="23"/>
      <c r="CT33" s="23"/>
      <c r="CU33" s="23"/>
      <c r="CV33" s="23"/>
      <c r="CW33" s="23"/>
      <c r="CX33" s="23"/>
      <c r="CY33" s="88" t="s">
        <v>65</v>
      </c>
      <c r="CZ33" s="89"/>
      <c r="DA33" s="89"/>
      <c r="DB33" s="90"/>
      <c r="DC33" s="36"/>
      <c r="DD33" s="36"/>
      <c r="DE33" s="23"/>
      <c r="DF33" s="23"/>
      <c r="DG33" s="23"/>
      <c r="DH33" s="23"/>
      <c r="DI33" s="23"/>
      <c r="DJ33" s="23"/>
      <c r="DK33" s="23"/>
      <c r="DL33" s="23"/>
      <c r="DM33" s="23"/>
      <c r="DN33" s="23"/>
      <c r="DO33" s="23"/>
      <c r="DP33" s="23"/>
      <c r="DQ33" s="23"/>
      <c r="DR33" s="23"/>
      <c r="DS33" s="23"/>
      <c r="DT33" s="23"/>
      <c r="DU33" s="23"/>
      <c r="DV33" s="23"/>
      <c r="DW33" s="23"/>
      <c r="DX33" s="88" t="s">
        <v>66</v>
      </c>
      <c r="DY33" s="89"/>
      <c r="DZ33" s="89"/>
      <c r="EA33" s="90"/>
      <c r="EB33" s="36"/>
      <c r="EC33" s="36"/>
      <c r="ED33" s="23"/>
      <c r="EE33" s="23"/>
      <c r="EF33" s="23"/>
      <c r="EG33" s="23"/>
      <c r="EH33" s="23"/>
      <c r="EI33" s="23"/>
      <c r="EJ33" s="23"/>
      <c r="EK33" s="23"/>
      <c r="EL33" s="23"/>
      <c r="EM33" s="23"/>
      <c r="EN33" s="23"/>
      <c r="EO33" s="23"/>
      <c r="EP33" s="23"/>
      <c r="EQ33" s="23"/>
      <c r="ER33" s="23"/>
      <c r="ES33" s="23"/>
      <c r="ET33" s="23"/>
      <c r="EU33" s="23"/>
      <c r="EV33" s="23"/>
      <c r="EW33" s="88" t="s">
        <v>67</v>
      </c>
      <c r="EX33" s="89"/>
      <c r="EY33" s="89"/>
      <c r="EZ33" s="90"/>
      <c r="FA33" s="36"/>
      <c r="FB33" s="36"/>
      <c r="FC33" s="23"/>
      <c r="FD33" s="23"/>
      <c r="FE33" s="23"/>
      <c r="FF33" s="23"/>
      <c r="FG33" s="23"/>
      <c r="FH33" s="23"/>
      <c r="FI33" s="23"/>
      <c r="FJ33" s="23"/>
      <c r="FK33" s="23"/>
      <c r="FL33" s="23"/>
      <c r="FM33" s="23"/>
      <c r="FN33" s="23"/>
      <c r="FO33" s="23"/>
      <c r="FP33" s="23"/>
      <c r="FQ33" s="23"/>
      <c r="FR33" s="23"/>
      <c r="FS33" s="23"/>
    </row>
    <row r="34" spans="1:175" ht="19" thickBot="1" x14ac:dyDescent="0.4">
      <c r="A34" s="23"/>
      <c r="B34" s="23"/>
      <c r="C34" s="91"/>
      <c r="D34" s="92"/>
      <c r="E34" s="92"/>
      <c r="F34" s="93"/>
      <c r="G34" s="36"/>
      <c r="H34" s="36"/>
      <c r="I34" s="23"/>
      <c r="J34" s="23"/>
      <c r="K34" s="23"/>
      <c r="L34" s="23"/>
      <c r="M34" s="23"/>
      <c r="N34" s="23"/>
      <c r="O34" s="23"/>
      <c r="P34" s="23"/>
      <c r="Q34" s="23"/>
      <c r="R34" s="23"/>
      <c r="S34" s="23"/>
      <c r="T34" s="23"/>
      <c r="U34" s="23"/>
      <c r="V34" s="23"/>
      <c r="W34" s="23"/>
      <c r="X34" s="23"/>
      <c r="Y34" s="23"/>
      <c r="Z34" s="23"/>
      <c r="AA34" s="23"/>
      <c r="AB34" s="91"/>
      <c r="AC34" s="92"/>
      <c r="AD34" s="92"/>
      <c r="AE34" s="93"/>
      <c r="AF34" s="36"/>
      <c r="AG34" s="36"/>
      <c r="AH34" s="23"/>
      <c r="AI34" s="23"/>
      <c r="AJ34" s="23"/>
      <c r="AK34" s="23"/>
      <c r="AL34" s="23"/>
      <c r="AM34" s="23"/>
      <c r="AN34" s="23"/>
      <c r="AO34" s="23"/>
      <c r="AP34" s="23"/>
      <c r="AQ34" s="23"/>
      <c r="AR34" s="23"/>
      <c r="AS34" s="23"/>
      <c r="AT34" s="23"/>
      <c r="AU34" s="23"/>
      <c r="AV34" s="23"/>
      <c r="AW34" s="23"/>
      <c r="AX34" s="23"/>
      <c r="AY34" s="23"/>
      <c r="AZ34" s="23"/>
      <c r="BA34" s="91"/>
      <c r="BB34" s="92"/>
      <c r="BC34" s="92"/>
      <c r="BD34" s="93"/>
      <c r="BE34" s="36"/>
      <c r="BF34" s="36"/>
      <c r="BG34" s="23"/>
      <c r="BH34" s="23"/>
      <c r="BI34" s="23"/>
      <c r="BJ34" s="23"/>
      <c r="BK34" s="23"/>
      <c r="BL34" s="23"/>
      <c r="BM34" s="23"/>
      <c r="BN34" s="23"/>
      <c r="BO34" s="23"/>
      <c r="BP34" s="23"/>
      <c r="BQ34" s="23"/>
      <c r="BR34" s="23"/>
      <c r="BS34" s="23"/>
      <c r="BT34" s="23"/>
      <c r="BU34" s="23"/>
      <c r="BV34" s="23"/>
      <c r="BW34" s="23"/>
      <c r="BX34" s="23"/>
      <c r="BY34" s="23"/>
      <c r="BZ34" s="91"/>
      <c r="CA34" s="92"/>
      <c r="CB34" s="92"/>
      <c r="CC34" s="93"/>
      <c r="CD34" s="36"/>
      <c r="CE34" s="36"/>
      <c r="CF34" s="23"/>
      <c r="CG34" s="23"/>
      <c r="CH34" s="23"/>
      <c r="CI34" s="23"/>
      <c r="CJ34" s="23"/>
      <c r="CK34" s="23"/>
      <c r="CL34" s="23"/>
      <c r="CM34" s="23"/>
      <c r="CN34" s="23"/>
      <c r="CO34" s="23"/>
      <c r="CP34" s="23"/>
      <c r="CQ34" s="23"/>
      <c r="CR34" s="23"/>
      <c r="CS34" s="23"/>
      <c r="CT34" s="23"/>
      <c r="CU34" s="23"/>
      <c r="CV34" s="23"/>
      <c r="CW34" s="23"/>
      <c r="CX34" s="23"/>
      <c r="CY34" s="91"/>
      <c r="CZ34" s="92"/>
      <c r="DA34" s="92"/>
      <c r="DB34" s="93"/>
      <c r="DC34" s="36"/>
      <c r="DD34" s="36"/>
      <c r="DE34" s="23"/>
      <c r="DF34" s="23"/>
      <c r="DG34" s="23"/>
      <c r="DH34" s="23"/>
      <c r="DI34" s="23"/>
      <c r="DJ34" s="23"/>
      <c r="DK34" s="23"/>
      <c r="DL34" s="23"/>
      <c r="DM34" s="23"/>
      <c r="DN34" s="23"/>
      <c r="DO34" s="23"/>
      <c r="DP34" s="23"/>
      <c r="DQ34" s="23"/>
      <c r="DR34" s="23"/>
      <c r="DS34" s="23"/>
      <c r="DT34" s="23"/>
      <c r="DU34" s="23"/>
      <c r="DV34" s="23"/>
      <c r="DW34" s="23"/>
      <c r="DX34" s="91"/>
      <c r="DY34" s="92"/>
      <c r="DZ34" s="92"/>
      <c r="EA34" s="93"/>
      <c r="EB34" s="36"/>
      <c r="EC34" s="36"/>
      <c r="ED34" s="23"/>
      <c r="EE34" s="23"/>
      <c r="EF34" s="23"/>
      <c r="EG34" s="23"/>
      <c r="EH34" s="23"/>
      <c r="EI34" s="23"/>
      <c r="EJ34" s="23"/>
      <c r="EK34" s="23"/>
      <c r="EL34" s="23"/>
      <c r="EM34" s="23"/>
      <c r="EN34" s="23"/>
      <c r="EO34" s="23"/>
      <c r="EP34" s="23"/>
      <c r="EQ34" s="23"/>
      <c r="ER34" s="23"/>
      <c r="ES34" s="23"/>
      <c r="ET34" s="23"/>
      <c r="EU34" s="23"/>
      <c r="EV34" s="23"/>
      <c r="EW34" s="91"/>
      <c r="EX34" s="92"/>
      <c r="EY34" s="92"/>
      <c r="EZ34" s="93"/>
      <c r="FA34" s="36"/>
      <c r="FB34" s="36"/>
      <c r="FC34" s="23"/>
      <c r="FD34" s="23"/>
      <c r="FE34" s="23"/>
      <c r="FF34" s="23"/>
      <c r="FG34" s="23"/>
      <c r="FH34" s="23"/>
      <c r="FI34" s="23"/>
      <c r="FJ34" s="23"/>
      <c r="FK34" s="23"/>
      <c r="FL34" s="23"/>
      <c r="FM34" s="23"/>
      <c r="FN34" s="23"/>
      <c r="FO34" s="23"/>
      <c r="FP34" s="23"/>
      <c r="FQ34" s="23"/>
      <c r="FR34" s="23"/>
      <c r="FS34" s="23"/>
    </row>
    <row r="35" spans="1:175" ht="14.5" customHeight="1" x14ac:dyDescent="0.35">
      <c r="A35" s="23"/>
      <c r="B35" s="23"/>
      <c r="C35" s="94" t="s">
        <v>68</v>
      </c>
      <c r="D35" s="94">
        <f>F11+F15+F19</f>
        <v>1110</v>
      </c>
      <c r="E35" s="94" t="s">
        <v>69</v>
      </c>
      <c r="F35" s="94">
        <f>D39-D35</f>
        <v>10338.885858222859</v>
      </c>
      <c r="G35" s="23"/>
      <c r="H35" s="23"/>
      <c r="I35" s="23"/>
      <c r="J35" s="23"/>
      <c r="K35" s="23"/>
      <c r="L35" s="23"/>
      <c r="M35" s="23"/>
      <c r="N35" s="23"/>
      <c r="O35" s="23"/>
      <c r="P35" s="23"/>
      <c r="Q35" s="23"/>
      <c r="R35" s="23"/>
      <c r="S35" s="23"/>
      <c r="T35" s="23"/>
      <c r="U35" s="23"/>
      <c r="V35" s="23"/>
      <c r="W35" s="23"/>
      <c r="X35" s="23"/>
      <c r="Y35" s="23"/>
      <c r="Z35" s="23"/>
      <c r="AA35" s="23"/>
      <c r="AB35" s="94" t="s">
        <v>68</v>
      </c>
      <c r="AC35" s="94">
        <f>AE11+AE15+AE19</f>
        <v>1165</v>
      </c>
      <c r="AD35" s="94" t="s">
        <v>69</v>
      </c>
      <c r="AE35" s="94">
        <f>AC39-AC35</f>
        <v>3333.427683943456</v>
      </c>
      <c r="AF35" s="23"/>
      <c r="AG35" s="23"/>
      <c r="AH35" s="23"/>
      <c r="AI35" s="23"/>
      <c r="AJ35" s="23"/>
      <c r="AK35" s="23"/>
      <c r="AL35" s="23"/>
      <c r="AM35" s="23"/>
      <c r="AN35" s="23"/>
      <c r="AO35" s="23"/>
      <c r="AP35" s="23"/>
      <c r="AQ35" s="23"/>
      <c r="AR35" s="23"/>
      <c r="AS35" s="23"/>
      <c r="AT35" s="23"/>
      <c r="AU35" s="23"/>
      <c r="AV35" s="23"/>
      <c r="AW35" s="23"/>
      <c r="AX35" s="23"/>
      <c r="AY35" s="23"/>
      <c r="AZ35" s="23"/>
      <c r="BA35" s="94" t="s">
        <v>68</v>
      </c>
      <c r="BB35" s="94">
        <f>BD11+BD15+BD19</f>
        <v>1270</v>
      </c>
      <c r="BC35" s="94" t="s">
        <v>69</v>
      </c>
      <c r="BD35" s="94">
        <f>BB39-BB359</f>
        <v>6494.6904251463275</v>
      </c>
      <c r="BE35" s="23"/>
      <c r="BF35" s="23"/>
      <c r="BG35" s="23"/>
      <c r="BH35" s="23"/>
      <c r="BI35" s="23"/>
      <c r="BJ35" s="23"/>
      <c r="BK35" s="23"/>
      <c r="BL35" s="23"/>
      <c r="BM35" s="23"/>
      <c r="BN35" s="23"/>
      <c r="BO35" s="23"/>
      <c r="BP35" s="23"/>
      <c r="BQ35" s="23"/>
      <c r="BR35" s="23"/>
      <c r="BS35" s="23"/>
      <c r="BT35" s="23"/>
      <c r="BU35" s="23"/>
      <c r="BV35" s="23"/>
      <c r="BW35" s="23"/>
      <c r="BX35" s="23"/>
      <c r="BY35" s="23"/>
      <c r="BZ35" s="94" t="s">
        <v>68</v>
      </c>
      <c r="CA35" s="94">
        <f>CC11+CC15+CC19</f>
        <v>1170</v>
      </c>
      <c r="CB35" s="94" t="s">
        <v>69</v>
      </c>
      <c r="CC35" s="94">
        <f>CA39-CA359</f>
        <v>6718.0166222215348</v>
      </c>
      <c r="CD35" s="23"/>
      <c r="CE35" s="23"/>
      <c r="CF35" s="23"/>
      <c r="CG35" s="23"/>
      <c r="CH35" s="23"/>
      <c r="CI35" s="23"/>
      <c r="CJ35" s="23"/>
      <c r="CK35" s="23"/>
      <c r="CL35" s="23"/>
      <c r="CM35" s="23"/>
      <c r="CN35" s="23"/>
      <c r="CO35" s="23"/>
      <c r="CP35" s="23"/>
      <c r="CQ35" s="23"/>
      <c r="CR35" s="23"/>
      <c r="CS35" s="23"/>
      <c r="CT35" s="23"/>
      <c r="CU35" s="23"/>
      <c r="CV35" s="23"/>
      <c r="CW35" s="23"/>
      <c r="CX35" s="23"/>
      <c r="CY35" s="94" t="s">
        <v>68</v>
      </c>
      <c r="CZ35" s="94">
        <f>DB11+DB15+DB19</f>
        <v>1120</v>
      </c>
      <c r="DA35" s="94" t="s">
        <v>69</v>
      </c>
      <c r="DB35" s="94">
        <f>CZ39-CZ35</f>
        <v>5051.0953232618431</v>
      </c>
      <c r="DC35" s="23"/>
      <c r="DD35" s="23"/>
      <c r="DE35" s="23"/>
      <c r="DF35" s="23"/>
      <c r="DG35" s="23"/>
      <c r="DH35" s="23"/>
      <c r="DI35" s="23"/>
      <c r="DJ35" s="23"/>
      <c r="DK35" s="23"/>
      <c r="DL35" s="23"/>
      <c r="DM35" s="23"/>
      <c r="DN35" s="23"/>
      <c r="DO35" s="23"/>
      <c r="DP35" s="23"/>
      <c r="DQ35" s="23"/>
      <c r="DR35" s="23"/>
      <c r="DS35" s="23"/>
      <c r="DT35" s="23"/>
      <c r="DU35" s="23"/>
      <c r="DV35" s="23"/>
      <c r="DW35" s="23"/>
      <c r="DX35" s="94" t="s">
        <v>68</v>
      </c>
      <c r="DY35" s="94">
        <f>EA11+EA15+EA19</f>
        <v>1110</v>
      </c>
      <c r="DZ35" s="94" t="s">
        <v>69</v>
      </c>
      <c r="EA35" s="94">
        <f>DY39-DY359</f>
        <v>8841.8943331816663</v>
      </c>
      <c r="EB35" s="23"/>
      <c r="EC35" s="23"/>
      <c r="ED35" s="23"/>
      <c r="EE35" s="23"/>
      <c r="EF35" s="23"/>
      <c r="EG35" s="23"/>
      <c r="EH35" s="23"/>
      <c r="EI35" s="23"/>
      <c r="EJ35" s="23"/>
      <c r="EK35" s="23"/>
      <c r="EL35" s="23"/>
      <c r="EM35" s="23"/>
      <c r="EN35" s="23"/>
      <c r="EO35" s="23"/>
      <c r="EP35" s="23"/>
      <c r="EQ35" s="23"/>
      <c r="ER35" s="23"/>
      <c r="ES35" s="23"/>
      <c r="ET35" s="23"/>
      <c r="EU35" s="23"/>
      <c r="EV35" s="23"/>
      <c r="EW35" s="94" t="s">
        <v>68</v>
      </c>
      <c r="EX35" s="94">
        <f>EZ11+EZ15+EZ19</f>
        <v>1110</v>
      </c>
      <c r="EY35" s="94" t="s">
        <v>69</v>
      </c>
      <c r="EZ35" s="94">
        <f>EX39-EX35</f>
        <v>2495.1228956426285</v>
      </c>
      <c r="FA35" s="23"/>
      <c r="FB35" s="23"/>
      <c r="FC35" s="23"/>
      <c r="FD35" s="23"/>
      <c r="FE35" s="23"/>
      <c r="FF35" s="23"/>
      <c r="FG35" s="23"/>
      <c r="FH35" s="23"/>
      <c r="FI35" s="23"/>
      <c r="FJ35" s="23"/>
      <c r="FK35" s="23"/>
      <c r="FL35" s="23"/>
      <c r="FM35" s="23"/>
      <c r="FN35" s="23"/>
      <c r="FO35" s="23"/>
      <c r="FP35" s="23"/>
      <c r="FQ35" s="23"/>
      <c r="FR35" s="23"/>
      <c r="FS35" s="23"/>
    </row>
    <row r="36" spans="1:175" ht="14.5" customHeight="1" x14ac:dyDescent="0.35">
      <c r="A36" s="23"/>
      <c r="B36" s="23"/>
      <c r="C36" s="94"/>
      <c r="D36" s="94"/>
      <c r="E36" s="94"/>
      <c r="F36" s="94"/>
      <c r="G36" s="23"/>
      <c r="H36" s="37"/>
      <c r="I36" s="37"/>
      <c r="J36" s="37"/>
      <c r="K36" s="37"/>
      <c r="L36" s="37"/>
      <c r="M36" s="37"/>
      <c r="N36" s="37"/>
      <c r="O36" s="23"/>
      <c r="P36" s="23"/>
      <c r="Q36" s="23"/>
      <c r="R36" s="23"/>
      <c r="S36" s="23"/>
      <c r="T36" s="23"/>
      <c r="U36" s="23"/>
      <c r="V36" s="23"/>
      <c r="W36" s="23"/>
      <c r="X36" s="23"/>
      <c r="Y36" s="23"/>
      <c r="Z36" s="23"/>
      <c r="AA36" s="23"/>
      <c r="AB36" s="94"/>
      <c r="AC36" s="94"/>
      <c r="AD36" s="94"/>
      <c r="AE36" s="94"/>
      <c r="AF36" s="23"/>
      <c r="AG36" s="37"/>
      <c r="AH36" s="37"/>
      <c r="AI36" s="37"/>
      <c r="AJ36" s="37"/>
      <c r="AK36" s="37"/>
      <c r="AL36" s="37"/>
      <c r="AM36" s="37"/>
      <c r="AN36" s="23"/>
      <c r="AO36" s="23"/>
      <c r="AP36" s="23"/>
      <c r="AQ36" s="23"/>
      <c r="AR36" s="23"/>
      <c r="AS36" s="23"/>
      <c r="AT36" s="23"/>
      <c r="AU36" s="23"/>
      <c r="AV36" s="23"/>
      <c r="AW36" s="23"/>
      <c r="AX36" s="23"/>
      <c r="AY36" s="23"/>
      <c r="AZ36" s="23"/>
      <c r="BA36" s="94"/>
      <c r="BB36" s="94"/>
      <c r="BC36" s="94"/>
      <c r="BD36" s="94"/>
      <c r="BE36" s="23"/>
      <c r="BF36" s="37"/>
      <c r="BG36" s="37"/>
      <c r="BH36" s="37"/>
      <c r="BI36" s="37"/>
      <c r="BJ36" s="37"/>
      <c r="BK36" s="37"/>
      <c r="BL36" s="37"/>
      <c r="BM36" s="23"/>
      <c r="BN36" s="23"/>
      <c r="BO36" s="23"/>
      <c r="BP36" s="23"/>
      <c r="BQ36" s="23"/>
      <c r="BR36" s="23"/>
      <c r="BS36" s="23"/>
      <c r="BT36" s="23"/>
      <c r="BU36" s="23"/>
      <c r="BV36" s="23"/>
      <c r="BW36" s="23"/>
      <c r="BX36" s="23"/>
      <c r="BY36" s="23"/>
      <c r="BZ36" s="94"/>
      <c r="CA36" s="94"/>
      <c r="CB36" s="94"/>
      <c r="CC36" s="94"/>
      <c r="CD36" s="23"/>
      <c r="CE36" s="37"/>
      <c r="CF36" s="37"/>
      <c r="CG36" s="37"/>
      <c r="CH36" s="37"/>
      <c r="CI36" s="37"/>
      <c r="CJ36" s="37"/>
      <c r="CK36" s="37"/>
      <c r="CL36" s="23"/>
      <c r="CM36" s="23"/>
      <c r="CN36" s="23"/>
      <c r="CO36" s="23"/>
      <c r="CP36" s="23"/>
      <c r="CQ36" s="23"/>
      <c r="CR36" s="23"/>
      <c r="CS36" s="23"/>
      <c r="CT36" s="23"/>
      <c r="CU36" s="23"/>
      <c r="CV36" s="23"/>
      <c r="CW36" s="23"/>
      <c r="CX36" s="23"/>
      <c r="CY36" s="94"/>
      <c r="CZ36" s="94"/>
      <c r="DA36" s="94"/>
      <c r="DB36" s="94"/>
      <c r="DC36" s="23"/>
      <c r="DD36" s="37"/>
      <c r="DE36" s="37"/>
      <c r="DF36" s="37"/>
      <c r="DG36" s="37"/>
      <c r="DH36" s="37"/>
      <c r="DI36" s="37"/>
      <c r="DJ36" s="37"/>
      <c r="DK36" s="23"/>
      <c r="DL36" s="23"/>
      <c r="DM36" s="23"/>
      <c r="DN36" s="23"/>
      <c r="DO36" s="23"/>
      <c r="DP36" s="23"/>
      <c r="DQ36" s="23"/>
      <c r="DR36" s="23"/>
      <c r="DS36" s="23"/>
      <c r="DT36" s="23"/>
      <c r="DU36" s="23"/>
      <c r="DV36" s="23"/>
      <c r="DW36" s="23"/>
      <c r="DX36" s="94"/>
      <c r="DY36" s="94"/>
      <c r="DZ36" s="94"/>
      <c r="EA36" s="94"/>
      <c r="EB36" s="23"/>
      <c r="EC36" s="37"/>
      <c r="ED36" s="37"/>
      <c r="EE36" s="37"/>
      <c r="EF36" s="37"/>
      <c r="EG36" s="37"/>
      <c r="EH36" s="37"/>
      <c r="EI36" s="37"/>
      <c r="EJ36" s="23"/>
      <c r="EK36" s="23"/>
      <c r="EL36" s="23"/>
      <c r="EM36" s="23"/>
      <c r="EN36" s="23"/>
      <c r="EO36" s="23"/>
      <c r="EP36" s="23"/>
      <c r="EQ36" s="23"/>
      <c r="ER36" s="23"/>
      <c r="ES36" s="23"/>
      <c r="ET36" s="23"/>
      <c r="EU36" s="23"/>
      <c r="EV36" s="23"/>
      <c r="EW36" s="94"/>
      <c r="EX36" s="94"/>
      <c r="EY36" s="94"/>
      <c r="EZ36" s="94"/>
      <c r="FA36" s="23"/>
      <c r="FB36" s="37"/>
      <c r="FC36" s="37"/>
      <c r="FD36" s="37"/>
      <c r="FE36" s="37"/>
      <c r="FF36" s="37"/>
      <c r="FG36" s="37"/>
      <c r="FH36" s="37"/>
      <c r="FI36" s="23"/>
      <c r="FJ36" s="23"/>
      <c r="FK36" s="23"/>
      <c r="FL36" s="23"/>
      <c r="FM36" s="23"/>
      <c r="FN36" s="23"/>
      <c r="FO36" s="23"/>
      <c r="FP36" s="23"/>
      <c r="FQ36" s="23"/>
      <c r="FR36" s="23"/>
      <c r="FS36" s="23"/>
    </row>
    <row r="37" spans="1:175" ht="14.5" customHeight="1" x14ac:dyDescent="0.35">
      <c r="A37" s="23"/>
      <c r="B37" s="23"/>
      <c r="C37" s="94"/>
      <c r="D37" s="94"/>
      <c r="E37" s="94"/>
      <c r="F37" s="94"/>
      <c r="G37" s="23"/>
      <c r="H37" s="37"/>
      <c r="I37" s="37"/>
      <c r="J37" s="37"/>
      <c r="K37" s="37"/>
      <c r="L37" s="37"/>
      <c r="M37" s="37"/>
      <c r="N37" s="37"/>
      <c r="O37" s="23"/>
      <c r="P37" s="23"/>
      <c r="Q37" s="23"/>
      <c r="R37" s="23"/>
      <c r="S37" s="23"/>
      <c r="T37" s="23"/>
      <c r="U37" s="23"/>
      <c r="V37" s="23"/>
      <c r="W37" s="23"/>
      <c r="X37" s="23"/>
      <c r="Y37" s="23"/>
      <c r="Z37" s="23"/>
      <c r="AA37" s="23"/>
      <c r="AB37" s="94"/>
      <c r="AC37" s="94"/>
      <c r="AD37" s="94"/>
      <c r="AE37" s="94"/>
      <c r="AF37" s="23"/>
      <c r="AG37" s="37"/>
      <c r="AH37" s="37"/>
      <c r="AI37" s="37"/>
      <c r="AJ37" s="37"/>
      <c r="AK37" s="37"/>
      <c r="AL37" s="37"/>
      <c r="AM37" s="37"/>
      <c r="AN37" s="23"/>
      <c r="AO37" s="23"/>
      <c r="AP37" s="23"/>
      <c r="AQ37" s="23"/>
      <c r="AR37" s="23"/>
      <c r="AS37" s="23"/>
      <c r="AT37" s="23"/>
      <c r="AU37" s="23"/>
      <c r="AV37" s="23"/>
      <c r="AW37" s="23"/>
      <c r="AX37" s="23"/>
      <c r="AY37" s="23"/>
      <c r="AZ37" s="23"/>
      <c r="BA37" s="94"/>
      <c r="BB37" s="94"/>
      <c r="BC37" s="94"/>
      <c r="BD37" s="94"/>
      <c r="BE37" s="23"/>
      <c r="BF37" s="37"/>
      <c r="BG37" s="37"/>
      <c r="BH37" s="37"/>
      <c r="BI37" s="37"/>
      <c r="BJ37" s="37"/>
      <c r="BK37" s="37"/>
      <c r="BL37" s="37"/>
      <c r="BM37" s="23"/>
      <c r="BN37" s="23"/>
      <c r="BO37" s="23"/>
      <c r="BP37" s="23"/>
      <c r="BQ37" s="23"/>
      <c r="BR37" s="23"/>
      <c r="BS37" s="23"/>
      <c r="BT37" s="23"/>
      <c r="BU37" s="23"/>
      <c r="BV37" s="23"/>
      <c r="BW37" s="23"/>
      <c r="BX37" s="23"/>
      <c r="BY37" s="23"/>
      <c r="BZ37" s="94"/>
      <c r="CA37" s="94"/>
      <c r="CB37" s="94"/>
      <c r="CC37" s="94"/>
      <c r="CD37" s="23"/>
      <c r="CE37" s="37"/>
      <c r="CF37" s="37"/>
      <c r="CG37" s="37"/>
      <c r="CH37" s="37"/>
      <c r="CI37" s="37"/>
      <c r="CJ37" s="37"/>
      <c r="CK37" s="37"/>
      <c r="CL37" s="23"/>
      <c r="CM37" s="23"/>
      <c r="CN37" s="23"/>
      <c r="CO37" s="23"/>
      <c r="CP37" s="23"/>
      <c r="CQ37" s="23"/>
      <c r="CR37" s="23"/>
      <c r="CS37" s="23"/>
      <c r="CT37" s="23"/>
      <c r="CU37" s="23"/>
      <c r="CV37" s="23"/>
      <c r="CW37" s="23"/>
      <c r="CX37" s="23"/>
      <c r="CY37" s="94"/>
      <c r="CZ37" s="94"/>
      <c r="DA37" s="94"/>
      <c r="DB37" s="94"/>
      <c r="DC37" s="23"/>
      <c r="DD37" s="37"/>
      <c r="DE37" s="37"/>
      <c r="DF37" s="37"/>
      <c r="DG37" s="37"/>
      <c r="DH37" s="37"/>
      <c r="DI37" s="37"/>
      <c r="DJ37" s="37"/>
      <c r="DK37" s="23"/>
      <c r="DL37" s="23"/>
      <c r="DM37" s="23"/>
      <c r="DN37" s="23"/>
      <c r="DO37" s="23"/>
      <c r="DP37" s="23"/>
      <c r="DQ37" s="23"/>
      <c r="DR37" s="23"/>
      <c r="DS37" s="23"/>
      <c r="DT37" s="23"/>
      <c r="DU37" s="23"/>
      <c r="DV37" s="23"/>
      <c r="DW37" s="23"/>
      <c r="DX37" s="94"/>
      <c r="DY37" s="94"/>
      <c r="DZ37" s="94"/>
      <c r="EA37" s="94"/>
      <c r="EB37" s="23"/>
      <c r="EC37" s="37"/>
      <c r="ED37" s="37"/>
      <c r="EE37" s="37"/>
      <c r="EF37" s="37"/>
      <c r="EG37" s="37"/>
      <c r="EH37" s="37"/>
      <c r="EI37" s="37"/>
      <c r="EJ37" s="23"/>
      <c r="EK37" s="23"/>
      <c r="EL37" s="23"/>
      <c r="EM37" s="23"/>
      <c r="EN37" s="23"/>
      <c r="EO37" s="23"/>
      <c r="EP37" s="23"/>
      <c r="EQ37" s="23"/>
      <c r="ER37" s="23"/>
      <c r="ES37" s="23"/>
      <c r="ET37" s="23"/>
      <c r="EU37" s="23"/>
      <c r="EV37" s="23"/>
      <c r="EW37" s="94"/>
      <c r="EX37" s="94"/>
      <c r="EY37" s="94"/>
      <c r="EZ37" s="94"/>
      <c r="FA37" s="23"/>
      <c r="FB37" s="37"/>
      <c r="FC37" s="37"/>
      <c r="FD37" s="37"/>
      <c r="FE37" s="37"/>
      <c r="FF37" s="37"/>
      <c r="FG37" s="37"/>
      <c r="FH37" s="37"/>
      <c r="FI37" s="23"/>
      <c r="FJ37" s="23"/>
      <c r="FK37" s="23"/>
      <c r="FL37" s="23"/>
      <c r="FM37" s="23"/>
      <c r="FN37" s="23"/>
      <c r="FO37" s="23"/>
      <c r="FP37" s="23"/>
      <c r="FQ37" s="23"/>
      <c r="FR37" s="23"/>
      <c r="FS37" s="23"/>
    </row>
    <row r="38" spans="1:175" ht="15" customHeight="1" thickBot="1" x14ac:dyDescent="0.4">
      <c r="A38" s="23"/>
      <c r="B38" s="23"/>
      <c r="C38" s="95"/>
      <c r="D38" s="95"/>
      <c r="E38" s="95"/>
      <c r="F38" s="95"/>
      <c r="G38" s="23"/>
      <c r="H38" s="37"/>
      <c r="I38" s="37"/>
      <c r="J38" s="37"/>
      <c r="K38" s="37"/>
      <c r="L38" s="37"/>
      <c r="M38" s="37"/>
      <c r="N38" s="37"/>
      <c r="O38" s="23"/>
      <c r="P38" s="23"/>
      <c r="Q38" s="23"/>
      <c r="R38" s="23"/>
      <c r="S38" s="23"/>
      <c r="T38" s="23"/>
      <c r="U38" s="23"/>
      <c r="V38" s="23"/>
      <c r="W38" s="23"/>
      <c r="X38" s="23"/>
      <c r="Y38" s="23"/>
      <c r="Z38" s="23"/>
      <c r="AA38" s="23"/>
      <c r="AB38" s="95"/>
      <c r="AC38" s="95"/>
      <c r="AD38" s="95"/>
      <c r="AE38" s="95"/>
      <c r="AF38" s="23"/>
      <c r="AG38" s="37"/>
      <c r="AH38" s="37"/>
      <c r="AI38" s="37"/>
      <c r="AJ38" s="37"/>
      <c r="AK38" s="37"/>
      <c r="AL38" s="37"/>
      <c r="AM38" s="37"/>
      <c r="AN38" s="23"/>
      <c r="AO38" s="23"/>
      <c r="AP38" s="23"/>
      <c r="AQ38" s="23"/>
      <c r="AR38" s="23"/>
      <c r="AS38" s="23"/>
      <c r="AT38" s="23"/>
      <c r="AU38" s="23"/>
      <c r="AV38" s="23"/>
      <c r="AW38" s="23"/>
      <c r="AX38" s="23"/>
      <c r="AY38" s="23"/>
      <c r="AZ38" s="23"/>
      <c r="BA38" s="95"/>
      <c r="BB38" s="95"/>
      <c r="BC38" s="95"/>
      <c r="BD38" s="95"/>
      <c r="BE38" s="23"/>
      <c r="BF38" s="37"/>
      <c r="BG38" s="37"/>
      <c r="BH38" s="37"/>
      <c r="BI38" s="37"/>
      <c r="BJ38" s="37"/>
      <c r="BK38" s="37"/>
      <c r="BL38" s="37"/>
      <c r="BM38" s="23"/>
      <c r="BN38" s="23"/>
      <c r="BO38" s="23"/>
      <c r="BP38" s="23"/>
      <c r="BQ38" s="23"/>
      <c r="BR38" s="23"/>
      <c r="BS38" s="23"/>
      <c r="BT38" s="23"/>
      <c r="BU38" s="23"/>
      <c r="BV38" s="23"/>
      <c r="BW38" s="23"/>
      <c r="BX38" s="23"/>
      <c r="BY38" s="23"/>
      <c r="BZ38" s="95"/>
      <c r="CA38" s="95"/>
      <c r="CB38" s="95"/>
      <c r="CC38" s="95"/>
      <c r="CD38" s="23"/>
      <c r="CE38" s="37"/>
      <c r="CF38" s="37"/>
      <c r="CG38" s="37"/>
      <c r="CH38" s="37"/>
      <c r="CI38" s="37"/>
      <c r="CJ38" s="37"/>
      <c r="CK38" s="37"/>
      <c r="CL38" s="23"/>
      <c r="CM38" s="23"/>
      <c r="CN38" s="23"/>
      <c r="CO38" s="23"/>
      <c r="CP38" s="23"/>
      <c r="CQ38" s="23"/>
      <c r="CR38" s="23"/>
      <c r="CS38" s="23"/>
      <c r="CT38" s="23"/>
      <c r="CU38" s="23"/>
      <c r="CV38" s="23"/>
      <c r="CW38" s="23"/>
      <c r="CX38" s="23"/>
      <c r="CY38" s="95"/>
      <c r="CZ38" s="95"/>
      <c r="DA38" s="95"/>
      <c r="DB38" s="95"/>
      <c r="DC38" s="23"/>
      <c r="DD38" s="37"/>
      <c r="DE38" s="37"/>
      <c r="DF38" s="37"/>
      <c r="DG38" s="37"/>
      <c r="DH38" s="37"/>
      <c r="DI38" s="37"/>
      <c r="DJ38" s="37"/>
      <c r="DK38" s="23"/>
      <c r="DL38" s="23"/>
      <c r="DM38" s="23"/>
      <c r="DN38" s="23"/>
      <c r="DO38" s="23"/>
      <c r="DP38" s="23"/>
      <c r="DQ38" s="23"/>
      <c r="DR38" s="23"/>
      <c r="DS38" s="23"/>
      <c r="DT38" s="23"/>
      <c r="DU38" s="23"/>
      <c r="DV38" s="23"/>
      <c r="DW38" s="23"/>
      <c r="DX38" s="95"/>
      <c r="DY38" s="95"/>
      <c r="DZ38" s="95"/>
      <c r="EA38" s="95"/>
      <c r="EB38" s="23"/>
      <c r="EC38" s="37"/>
      <c r="ED38" s="37"/>
      <c r="EE38" s="37"/>
      <c r="EF38" s="37"/>
      <c r="EG38" s="37"/>
      <c r="EH38" s="37"/>
      <c r="EI38" s="37"/>
      <c r="EJ38" s="23"/>
      <c r="EK38" s="23"/>
      <c r="EL38" s="23"/>
      <c r="EM38" s="23"/>
      <c r="EN38" s="23"/>
      <c r="EO38" s="23"/>
      <c r="EP38" s="23"/>
      <c r="EQ38" s="23"/>
      <c r="ER38" s="23"/>
      <c r="ES38" s="23"/>
      <c r="ET38" s="23"/>
      <c r="EU38" s="23"/>
      <c r="EV38" s="23"/>
      <c r="EW38" s="95"/>
      <c r="EX38" s="95"/>
      <c r="EY38" s="95"/>
      <c r="EZ38" s="95"/>
      <c r="FA38" s="23"/>
      <c r="FB38" s="37"/>
      <c r="FC38" s="37"/>
      <c r="FD38" s="37"/>
      <c r="FE38" s="37"/>
      <c r="FF38" s="37"/>
      <c r="FG38" s="37"/>
      <c r="FH38" s="37"/>
      <c r="FI38" s="23"/>
      <c r="FJ38" s="23"/>
      <c r="FK38" s="23"/>
      <c r="FL38" s="23"/>
      <c r="FM38" s="23"/>
      <c r="FN38" s="23"/>
      <c r="FO38" s="23"/>
      <c r="FP38" s="23"/>
      <c r="FQ38" s="23"/>
      <c r="FR38" s="23"/>
      <c r="FS38" s="23"/>
    </row>
    <row r="39" spans="1:175" ht="14.5" customHeight="1" x14ac:dyDescent="0.35">
      <c r="A39" s="23"/>
      <c r="B39" s="23"/>
      <c r="C39" s="94" t="s">
        <v>70</v>
      </c>
      <c r="D39" s="94">
        <f>SUM(Q13:Q28)</f>
        <v>11448.885858222859</v>
      </c>
      <c r="E39" s="94" t="s">
        <v>71</v>
      </c>
      <c r="F39" s="94" t="str">
        <f>IF(F35&lt;0,"Bad shape","Fit shape")</f>
        <v>Fit shape</v>
      </c>
      <c r="G39" s="23"/>
      <c r="H39" s="37"/>
      <c r="I39" s="37"/>
      <c r="J39" s="37"/>
      <c r="K39" s="37"/>
      <c r="L39" s="37"/>
      <c r="M39" s="37"/>
      <c r="N39" s="37"/>
      <c r="O39" s="23"/>
      <c r="P39" s="23"/>
      <c r="Q39" s="23"/>
      <c r="R39" s="23"/>
      <c r="S39" s="23"/>
      <c r="T39" s="23"/>
      <c r="U39" s="23"/>
      <c r="V39" s="23"/>
      <c r="W39" s="23"/>
      <c r="X39" s="23"/>
      <c r="Y39" s="23"/>
      <c r="Z39" s="23"/>
      <c r="AA39" s="23"/>
      <c r="AB39" s="94" t="s">
        <v>70</v>
      </c>
      <c r="AC39" s="94">
        <f>SUM(AP13:AP28)</f>
        <v>4498.427683943456</v>
      </c>
      <c r="AD39" s="94" t="s">
        <v>71</v>
      </c>
      <c r="AE39" s="94" t="str">
        <f>IF(AE350,"Bad shape","Fit shape")</f>
        <v>Fit shape</v>
      </c>
      <c r="AF39" s="23"/>
      <c r="AG39" s="37"/>
      <c r="AH39" s="37"/>
      <c r="AI39" s="37"/>
      <c r="AJ39" s="37"/>
      <c r="AK39" s="37"/>
      <c r="AL39" s="37"/>
      <c r="AM39" s="37"/>
      <c r="AN39" s="23"/>
      <c r="AO39" s="23"/>
      <c r="AP39" s="23"/>
      <c r="AQ39" s="23"/>
      <c r="AR39" s="23"/>
      <c r="AS39" s="23"/>
      <c r="AT39" s="23"/>
      <c r="AU39" s="23"/>
      <c r="AV39" s="23"/>
      <c r="AW39" s="23"/>
      <c r="AX39" s="23"/>
      <c r="AY39" s="23"/>
      <c r="AZ39" s="23"/>
      <c r="BA39" s="94" t="s">
        <v>70</v>
      </c>
      <c r="BB39" s="94">
        <f>SUM(BO13:BO28)</f>
        <v>6494.6904251463275</v>
      </c>
      <c r="BC39" s="94" t="s">
        <v>71</v>
      </c>
      <c r="BD39" s="94" t="str">
        <f>IF(BD35&lt;0,"Bad shape","Fit shape")</f>
        <v>Fit shape</v>
      </c>
      <c r="BE39" s="23"/>
      <c r="BF39" s="37"/>
      <c r="BG39" s="37"/>
      <c r="BH39" s="37"/>
      <c r="BI39" s="37"/>
      <c r="BJ39" s="37"/>
      <c r="BK39" s="37"/>
      <c r="BL39" s="37"/>
      <c r="BM39" s="23"/>
      <c r="BN39" s="23"/>
      <c r="BO39" s="23"/>
      <c r="BP39" s="23"/>
      <c r="BQ39" s="23"/>
      <c r="BR39" s="23"/>
      <c r="BS39" s="23"/>
      <c r="BT39" s="23"/>
      <c r="BU39" s="23"/>
      <c r="BV39" s="23"/>
      <c r="BW39" s="23"/>
      <c r="BX39" s="23"/>
      <c r="BY39" s="23"/>
      <c r="BZ39" s="94" t="s">
        <v>70</v>
      </c>
      <c r="CA39" s="94">
        <f>SUM(CN13:CN28)</f>
        <v>6718.0166222215348</v>
      </c>
      <c r="CB39" s="94" t="s">
        <v>71</v>
      </c>
      <c r="CC39" s="94" t="str">
        <f>IF(CC35&lt;0,"Bad shape","Fit shape")</f>
        <v>Fit shape</v>
      </c>
      <c r="CD39" s="23"/>
      <c r="CE39" s="37"/>
      <c r="CF39" s="37"/>
      <c r="CG39" s="37"/>
      <c r="CH39" s="37"/>
      <c r="CI39" s="37"/>
      <c r="CJ39" s="37"/>
      <c r="CK39" s="37"/>
      <c r="CL39" s="23"/>
      <c r="CM39" s="23"/>
      <c r="CN39" s="23"/>
      <c r="CO39" s="23"/>
      <c r="CP39" s="23"/>
      <c r="CQ39" s="23"/>
      <c r="CR39" s="23"/>
      <c r="CS39" s="23"/>
      <c r="CT39" s="23"/>
      <c r="CU39" s="23"/>
      <c r="CV39" s="23"/>
      <c r="CW39" s="23"/>
      <c r="CX39" s="23"/>
      <c r="CY39" s="94" t="s">
        <v>70</v>
      </c>
      <c r="CZ39" s="94">
        <f>SUM(DM13:DM28)</f>
        <v>6171.0953232618431</v>
      </c>
      <c r="DA39" s="94" t="s">
        <v>71</v>
      </c>
      <c r="DB39" s="94" t="str">
        <f>IF(DB35&lt;0,"Bad shape","Fit shape")</f>
        <v>Fit shape</v>
      </c>
      <c r="DC39" s="23"/>
      <c r="DD39" s="37"/>
      <c r="DE39" s="37"/>
      <c r="DF39" s="37"/>
      <c r="DG39" s="37"/>
      <c r="DH39" s="37"/>
      <c r="DI39" s="37"/>
      <c r="DJ39" s="37"/>
      <c r="DK39" s="23"/>
      <c r="DL39" s="23"/>
      <c r="DM39" s="23"/>
      <c r="DN39" s="23"/>
      <c r="DO39" s="23"/>
      <c r="DP39" s="23"/>
      <c r="DQ39" s="23"/>
      <c r="DR39" s="23"/>
      <c r="DS39" s="23"/>
      <c r="DT39" s="23"/>
      <c r="DU39" s="23"/>
      <c r="DV39" s="23"/>
      <c r="DW39" s="23"/>
      <c r="DX39" s="94" t="s">
        <v>70</v>
      </c>
      <c r="DY39" s="94">
        <f>SUM(EL13:EL28)</f>
        <v>8841.8943331816663</v>
      </c>
      <c r="DZ39" s="94" t="s">
        <v>71</v>
      </c>
      <c r="EA39" s="94" t="str">
        <f>IF(EA35&lt;0,"Bad shape","Fit shape")</f>
        <v>Fit shape</v>
      </c>
      <c r="EB39" s="23"/>
      <c r="EC39" s="37"/>
      <c r="ED39" s="37"/>
      <c r="EE39" s="37"/>
      <c r="EF39" s="37"/>
      <c r="EG39" s="37"/>
      <c r="EH39" s="37"/>
      <c r="EI39" s="37"/>
      <c r="EJ39" s="23"/>
      <c r="EK39" s="23"/>
      <c r="EL39" s="23"/>
      <c r="EM39" s="23"/>
      <c r="EN39" s="23"/>
      <c r="EO39" s="23"/>
      <c r="EP39" s="23"/>
      <c r="EQ39" s="23"/>
      <c r="ER39" s="23"/>
      <c r="ES39" s="23"/>
      <c r="ET39" s="23"/>
      <c r="EU39" s="23"/>
      <c r="EV39" s="23"/>
      <c r="EW39" s="94" t="s">
        <v>70</v>
      </c>
      <c r="EX39" s="94">
        <f>SUM(FK13:FK28)</f>
        <v>3605.1228956426285</v>
      </c>
      <c r="EY39" s="94" t="s">
        <v>71</v>
      </c>
      <c r="EZ39" s="94" t="str">
        <f>IF(EZ35&lt;0,"Bad shape","Fit shape")</f>
        <v>Fit shape</v>
      </c>
      <c r="FA39" s="23"/>
      <c r="FB39" s="37"/>
      <c r="FC39" s="37"/>
      <c r="FD39" s="37"/>
      <c r="FE39" s="37"/>
      <c r="FF39" s="37"/>
      <c r="FG39" s="37"/>
      <c r="FH39" s="37"/>
      <c r="FI39" s="23"/>
      <c r="FJ39" s="23"/>
      <c r="FK39" s="23"/>
      <c r="FL39" s="23"/>
      <c r="FM39" s="23"/>
      <c r="FN39" s="23"/>
      <c r="FO39" s="23"/>
      <c r="FP39" s="23"/>
      <c r="FQ39" s="23"/>
      <c r="FR39" s="23"/>
      <c r="FS39" s="23"/>
    </row>
    <row r="40" spans="1:175" ht="14.5" customHeight="1" x14ac:dyDescent="0.35">
      <c r="A40" s="23"/>
      <c r="B40" s="23"/>
      <c r="C40" s="94"/>
      <c r="D40" s="94"/>
      <c r="E40" s="94"/>
      <c r="F40" s="94"/>
      <c r="G40" s="23"/>
      <c r="H40" s="37"/>
      <c r="I40" s="37"/>
      <c r="J40" s="37"/>
      <c r="K40" s="37"/>
      <c r="L40" s="37"/>
      <c r="M40" s="37"/>
      <c r="N40" s="37"/>
      <c r="O40" s="23"/>
      <c r="P40" s="23"/>
      <c r="Q40" s="23"/>
      <c r="R40" s="23"/>
      <c r="S40" s="23"/>
      <c r="T40" s="23"/>
      <c r="U40" s="23"/>
      <c r="V40" s="23"/>
      <c r="W40" s="23"/>
      <c r="X40" s="23"/>
      <c r="Y40" s="23"/>
      <c r="Z40" s="23"/>
      <c r="AA40" s="23"/>
      <c r="AB40" s="94"/>
      <c r="AC40" s="94"/>
      <c r="AD40" s="94"/>
      <c r="AE40" s="94"/>
      <c r="AF40" s="23"/>
      <c r="AG40" s="37"/>
      <c r="AH40" s="37"/>
      <c r="AI40" s="37"/>
      <c r="AJ40" s="37"/>
      <c r="AK40" s="37"/>
      <c r="AL40" s="37"/>
      <c r="AM40" s="37"/>
      <c r="AN40" s="23"/>
      <c r="AO40" s="23"/>
      <c r="AP40" s="23"/>
      <c r="AQ40" s="23"/>
      <c r="AR40" s="23"/>
      <c r="AS40" s="23"/>
      <c r="AT40" s="23"/>
      <c r="AU40" s="23"/>
      <c r="AV40" s="23"/>
      <c r="AW40" s="23"/>
      <c r="AX40" s="23"/>
      <c r="AY40" s="23"/>
      <c r="AZ40" s="23"/>
      <c r="BA40" s="94"/>
      <c r="BB40" s="94"/>
      <c r="BC40" s="94"/>
      <c r="BD40" s="94"/>
      <c r="BE40" s="23"/>
      <c r="BF40" s="37"/>
      <c r="BG40" s="37"/>
      <c r="BH40" s="37"/>
      <c r="BI40" s="37"/>
      <c r="BJ40" s="37"/>
      <c r="BK40" s="37"/>
      <c r="BL40" s="37"/>
      <c r="BM40" s="23"/>
      <c r="BN40" s="23"/>
      <c r="BO40" s="23"/>
      <c r="BP40" s="23"/>
      <c r="BQ40" s="23"/>
      <c r="BR40" s="23"/>
      <c r="BS40" s="23"/>
      <c r="BT40" s="23"/>
      <c r="BU40" s="23"/>
      <c r="BV40" s="23"/>
      <c r="BW40" s="23"/>
      <c r="BX40" s="23"/>
      <c r="BY40" s="23"/>
      <c r="BZ40" s="94"/>
      <c r="CA40" s="94"/>
      <c r="CB40" s="94"/>
      <c r="CC40" s="94"/>
      <c r="CD40" s="23"/>
      <c r="CE40" s="37"/>
      <c r="CF40" s="37"/>
      <c r="CG40" s="37"/>
      <c r="CH40" s="37"/>
      <c r="CI40" s="37"/>
      <c r="CJ40" s="37"/>
      <c r="CK40" s="37"/>
      <c r="CL40" s="23"/>
      <c r="CM40" s="23"/>
      <c r="CN40" s="23"/>
      <c r="CO40" s="23"/>
      <c r="CP40" s="23"/>
      <c r="CQ40" s="23"/>
      <c r="CR40" s="23"/>
      <c r="CS40" s="23"/>
      <c r="CT40" s="23"/>
      <c r="CU40" s="23"/>
      <c r="CV40" s="23"/>
      <c r="CW40" s="23"/>
      <c r="CX40" s="23"/>
      <c r="CY40" s="94"/>
      <c r="CZ40" s="94"/>
      <c r="DA40" s="94"/>
      <c r="DB40" s="94"/>
      <c r="DC40" s="23"/>
      <c r="DD40" s="37"/>
      <c r="DE40" s="37"/>
      <c r="DF40" s="37"/>
      <c r="DG40" s="37"/>
      <c r="DH40" s="37"/>
      <c r="DI40" s="37"/>
      <c r="DJ40" s="37"/>
      <c r="DK40" s="23"/>
      <c r="DL40" s="23"/>
      <c r="DM40" s="23"/>
      <c r="DN40" s="23"/>
      <c r="DO40" s="23"/>
      <c r="DP40" s="23"/>
      <c r="DQ40" s="23"/>
      <c r="DR40" s="23"/>
      <c r="DS40" s="23"/>
      <c r="DT40" s="23"/>
      <c r="DU40" s="23"/>
      <c r="DV40" s="23"/>
      <c r="DW40" s="23"/>
      <c r="DX40" s="94"/>
      <c r="DY40" s="94"/>
      <c r="DZ40" s="94"/>
      <c r="EA40" s="94"/>
      <c r="EB40" s="23"/>
      <c r="EC40" s="37"/>
      <c r="ED40" s="37"/>
      <c r="EE40" s="37"/>
      <c r="EF40" s="37"/>
      <c r="EG40" s="37"/>
      <c r="EH40" s="37"/>
      <c r="EI40" s="37"/>
      <c r="EJ40" s="23"/>
      <c r="EK40" s="23"/>
      <c r="EL40" s="23"/>
      <c r="EM40" s="23"/>
      <c r="EN40" s="23"/>
      <c r="EO40" s="23"/>
      <c r="EP40" s="23"/>
      <c r="EQ40" s="23"/>
      <c r="ER40" s="23"/>
      <c r="ES40" s="23"/>
      <c r="ET40" s="23"/>
      <c r="EU40" s="23"/>
      <c r="EV40" s="23"/>
      <c r="EW40" s="94"/>
      <c r="EX40" s="94"/>
      <c r="EY40" s="94"/>
      <c r="EZ40" s="94"/>
      <c r="FA40" s="23"/>
      <c r="FB40" s="37"/>
      <c r="FC40" s="37"/>
      <c r="FD40" s="37"/>
      <c r="FE40" s="37"/>
      <c r="FF40" s="37"/>
      <c r="FG40" s="37"/>
      <c r="FH40" s="37"/>
      <c r="FI40" s="23"/>
      <c r="FJ40" s="23"/>
      <c r="FK40" s="23"/>
      <c r="FL40" s="23"/>
      <c r="FM40" s="23"/>
      <c r="FN40" s="23"/>
      <c r="FO40" s="23"/>
      <c r="FP40" s="23"/>
      <c r="FQ40" s="23"/>
      <c r="FR40" s="23"/>
      <c r="FS40" s="23"/>
    </row>
    <row r="41" spans="1:175" ht="14.5" customHeight="1" x14ac:dyDescent="0.35">
      <c r="A41" s="23"/>
      <c r="B41" s="23"/>
      <c r="C41" s="94"/>
      <c r="D41" s="94"/>
      <c r="E41" s="94"/>
      <c r="F41" s="94"/>
      <c r="G41" s="23"/>
      <c r="H41" s="37"/>
      <c r="I41" s="37"/>
      <c r="J41" s="37"/>
      <c r="K41" s="37"/>
      <c r="L41" s="37"/>
      <c r="M41" s="37"/>
      <c r="N41" s="37"/>
      <c r="O41" s="37"/>
      <c r="P41" s="37"/>
      <c r="Q41" s="23"/>
      <c r="R41" s="23"/>
      <c r="S41" s="23"/>
      <c r="T41" s="23"/>
      <c r="U41" s="23"/>
      <c r="V41" s="23"/>
      <c r="W41" s="23"/>
      <c r="X41" s="23"/>
      <c r="Y41" s="23"/>
      <c r="Z41" s="23"/>
      <c r="AA41" s="23"/>
      <c r="AB41" s="94"/>
      <c r="AC41" s="94"/>
      <c r="AD41" s="94"/>
      <c r="AE41" s="94"/>
      <c r="AF41" s="23"/>
      <c r="AG41" s="37"/>
      <c r="AH41" s="37"/>
      <c r="AI41" s="37"/>
      <c r="AJ41" s="37"/>
      <c r="AK41" s="37"/>
      <c r="AL41" s="37"/>
      <c r="AM41" s="37"/>
      <c r="AN41" s="37"/>
      <c r="AO41" s="37"/>
      <c r="AP41" s="23"/>
      <c r="AQ41" s="23"/>
      <c r="AR41" s="23"/>
      <c r="AS41" s="23"/>
      <c r="AT41" s="23"/>
      <c r="AU41" s="23"/>
      <c r="AV41" s="23"/>
      <c r="AW41" s="23"/>
      <c r="AX41" s="23"/>
      <c r="AY41" s="23"/>
      <c r="AZ41" s="23"/>
      <c r="BA41" s="94"/>
      <c r="BB41" s="94"/>
      <c r="BC41" s="94"/>
      <c r="BD41" s="94"/>
      <c r="BE41" s="23"/>
      <c r="BF41" s="37"/>
      <c r="BG41" s="37"/>
      <c r="BH41" s="37"/>
      <c r="BI41" s="37"/>
      <c r="BJ41" s="37"/>
      <c r="BK41" s="37"/>
      <c r="BL41" s="37"/>
      <c r="BM41" s="37"/>
      <c r="BN41" s="37"/>
      <c r="BO41" s="23"/>
      <c r="BP41" s="23"/>
      <c r="BQ41" s="23"/>
      <c r="BR41" s="23"/>
      <c r="BS41" s="23"/>
      <c r="BT41" s="23"/>
      <c r="BU41" s="23"/>
      <c r="BV41" s="23"/>
      <c r="BW41" s="23"/>
      <c r="BX41" s="23"/>
      <c r="BY41" s="23"/>
      <c r="BZ41" s="94"/>
      <c r="CA41" s="94"/>
      <c r="CB41" s="94"/>
      <c r="CC41" s="94"/>
      <c r="CD41" s="23"/>
      <c r="CE41" s="37"/>
      <c r="CF41" s="37"/>
      <c r="CG41" s="37"/>
      <c r="CH41" s="37"/>
      <c r="CI41" s="37"/>
      <c r="CJ41" s="37"/>
      <c r="CK41" s="37"/>
      <c r="CL41" s="37"/>
      <c r="CM41" s="37"/>
      <c r="CN41" s="23"/>
      <c r="CO41" s="23"/>
      <c r="CP41" s="23"/>
      <c r="CQ41" s="23"/>
      <c r="CR41" s="23"/>
      <c r="CS41" s="23"/>
      <c r="CT41" s="23"/>
      <c r="CU41" s="23"/>
      <c r="CV41" s="23"/>
      <c r="CW41" s="23"/>
      <c r="CX41" s="23"/>
      <c r="CY41" s="94"/>
      <c r="CZ41" s="94"/>
      <c r="DA41" s="94"/>
      <c r="DB41" s="94"/>
      <c r="DC41" s="23"/>
      <c r="DD41" s="37"/>
      <c r="DE41" s="37"/>
      <c r="DF41" s="37"/>
      <c r="DG41" s="37"/>
      <c r="DH41" s="37"/>
      <c r="DI41" s="37"/>
      <c r="DJ41" s="37"/>
      <c r="DK41" s="37"/>
      <c r="DL41" s="37"/>
      <c r="DM41" s="23"/>
      <c r="DN41" s="23"/>
      <c r="DO41" s="23"/>
      <c r="DP41" s="23"/>
      <c r="DQ41" s="23"/>
      <c r="DR41" s="23"/>
      <c r="DS41" s="23"/>
      <c r="DT41" s="23"/>
      <c r="DU41" s="23"/>
      <c r="DV41" s="23"/>
      <c r="DW41" s="23"/>
      <c r="DX41" s="94"/>
      <c r="DY41" s="94"/>
      <c r="DZ41" s="94"/>
      <c r="EA41" s="94"/>
      <c r="EB41" s="23"/>
      <c r="EC41" s="37"/>
      <c r="ED41" s="37"/>
      <c r="EE41" s="37"/>
      <c r="EF41" s="37"/>
      <c r="EG41" s="37"/>
      <c r="EH41" s="37"/>
      <c r="EI41" s="37"/>
      <c r="EJ41" s="37"/>
      <c r="EK41" s="37"/>
      <c r="EL41" s="23"/>
      <c r="EM41" s="23"/>
      <c r="EN41" s="23"/>
      <c r="EO41" s="23"/>
      <c r="EP41" s="23"/>
      <c r="EQ41" s="23"/>
      <c r="ER41" s="23"/>
      <c r="ES41" s="23"/>
      <c r="ET41" s="23"/>
      <c r="EU41" s="23"/>
      <c r="EV41" s="23"/>
      <c r="EW41" s="94"/>
      <c r="EX41" s="94"/>
      <c r="EY41" s="94"/>
      <c r="EZ41" s="94"/>
      <c r="FA41" s="23"/>
      <c r="FB41" s="37"/>
      <c r="FC41" s="37"/>
      <c r="FD41" s="37"/>
      <c r="FE41" s="37"/>
      <c r="FF41" s="37"/>
      <c r="FG41" s="37"/>
      <c r="FH41" s="37"/>
      <c r="FI41" s="37"/>
      <c r="FJ41" s="37"/>
      <c r="FK41" s="23"/>
      <c r="FL41" s="23"/>
      <c r="FM41" s="23"/>
      <c r="FN41" s="23"/>
      <c r="FO41" s="23"/>
      <c r="FP41" s="23"/>
      <c r="FQ41" s="23"/>
      <c r="FR41" s="23"/>
      <c r="FS41" s="23"/>
    </row>
    <row r="42" spans="1:175" ht="15" customHeight="1" thickBot="1" x14ac:dyDescent="0.4">
      <c r="A42" s="23"/>
      <c r="B42" s="23"/>
      <c r="C42" s="95"/>
      <c r="D42" s="95"/>
      <c r="E42" s="95"/>
      <c r="F42" s="95"/>
      <c r="G42" s="23"/>
      <c r="H42" s="37"/>
      <c r="I42" s="37"/>
      <c r="J42" s="37"/>
      <c r="K42" s="37"/>
      <c r="L42" s="37"/>
      <c r="M42" s="37"/>
      <c r="N42" s="37"/>
      <c r="O42" s="37"/>
      <c r="P42" s="37"/>
      <c r="Q42" s="23"/>
      <c r="R42" s="23"/>
      <c r="S42" s="23"/>
      <c r="T42" s="23"/>
      <c r="U42" s="23"/>
      <c r="V42" s="23"/>
      <c r="W42" s="23"/>
      <c r="X42" s="23"/>
      <c r="Y42" s="23"/>
      <c r="Z42" s="23"/>
      <c r="AA42" s="23"/>
      <c r="AB42" s="95"/>
      <c r="AC42" s="95"/>
      <c r="AD42" s="95"/>
      <c r="AE42" s="95"/>
      <c r="AF42" s="23"/>
      <c r="AG42" s="37"/>
      <c r="AH42" s="37"/>
      <c r="AI42" s="37"/>
      <c r="AJ42" s="37"/>
      <c r="AK42" s="37"/>
      <c r="AL42" s="37"/>
      <c r="AM42" s="37"/>
      <c r="AN42" s="37"/>
      <c r="AO42" s="37"/>
      <c r="AP42" s="23"/>
      <c r="AQ42" s="23"/>
      <c r="AR42" s="23"/>
      <c r="AS42" s="23"/>
      <c r="AT42" s="23"/>
      <c r="AU42" s="23"/>
      <c r="AV42" s="23"/>
      <c r="AW42" s="23"/>
      <c r="AX42" s="23"/>
      <c r="AY42" s="23"/>
      <c r="AZ42" s="23"/>
      <c r="BA42" s="95"/>
      <c r="BB42" s="95"/>
      <c r="BC42" s="95"/>
      <c r="BD42" s="95"/>
      <c r="BE42" s="23"/>
      <c r="BF42" s="37"/>
      <c r="BG42" s="37"/>
      <c r="BH42" s="37"/>
      <c r="BI42" s="37"/>
      <c r="BJ42" s="37"/>
      <c r="BK42" s="37"/>
      <c r="BL42" s="37"/>
      <c r="BM42" s="37"/>
      <c r="BN42" s="37"/>
      <c r="BO42" s="23"/>
      <c r="BP42" s="23"/>
      <c r="BQ42" s="23"/>
      <c r="BR42" s="23"/>
      <c r="BS42" s="23"/>
      <c r="BT42" s="23"/>
      <c r="BU42" s="23"/>
      <c r="BV42" s="23"/>
      <c r="BW42" s="23"/>
      <c r="BX42" s="23"/>
      <c r="BY42" s="23"/>
      <c r="BZ42" s="95"/>
      <c r="CA42" s="95"/>
      <c r="CB42" s="95"/>
      <c r="CC42" s="95"/>
      <c r="CD42" s="23"/>
      <c r="CE42" s="37"/>
      <c r="CF42" s="37"/>
      <c r="CG42" s="37"/>
      <c r="CH42" s="37"/>
      <c r="CI42" s="37"/>
      <c r="CJ42" s="37"/>
      <c r="CK42" s="37"/>
      <c r="CL42" s="37"/>
      <c r="CM42" s="37"/>
      <c r="CN42" s="23"/>
      <c r="CO42" s="23"/>
      <c r="CP42" s="23"/>
      <c r="CQ42" s="23"/>
      <c r="CR42" s="23"/>
      <c r="CS42" s="23"/>
      <c r="CT42" s="23"/>
      <c r="CU42" s="23"/>
      <c r="CV42" s="23"/>
      <c r="CW42" s="23"/>
      <c r="CX42" s="23"/>
      <c r="CY42" s="95"/>
      <c r="CZ42" s="95"/>
      <c r="DA42" s="95"/>
      <c r="DB42" s="95"/>
      <c r="DC42" s="23"/>
      <c r="DD42" s="37"/>
      <c r="DE42" s="37"/>
      <c r="DF42" s="37"/>
      <c r="DG42" s="37"/>
      <c r="DH42" s="37"/>
      <c r="DI42" s="37"/>
      <c r="DJ42" s="37"/>
      <c r="DK42" s="37"/>
      <c r="DL42" s="37"/>
      <c r="DM42" s="23"/>
      <c r="DN42" s="23"/>
      <c r="DO42" s="23"/>
      <c r="DP42" s="23"/>
      <c r="DQ42" s="23"/>
      <c r="DR42" s="23"/>
      <c r="DS42" s="23"/>
      <c r="DT42" s="23"/>
      <c r="DU42" s="23"/>
      <c r="DV42" s="23"/>
      <c r="DW42" s="23"/>
      <c r="DX42" s="95"/>
      <c r="DY42" s="95"/>
      <c r="DZ42" s="95"/>
      <c r="EA42" s="95"/>
      <c r="EB42" s="23"/>
      <c r="EC42" s="37"/>
      <c r="ED42" s="37"/>
      <c r="EE42" s="37"/>
      <c r="EF42" s="37"/>
      <c r="EG42" s="37"/>
      <c r="EH42" s="37"/>
      <c r="EI42" s="37"/>
      <c r="EJ42" s="37"/>
      <c r="EK42" s="37"/>
      <c r="EL42" s="23"/>
      <c r="EM42" s="23"/>
      <c r="EN42" s="23"/>
      <c r="EO42" s="23"/>
      <c r="EP42" s="23"/>
      <c r="EQ42" s="23"/>
      <c r="ER42" s="23"/>
      <c r="ES42" s="23"/>
      <c r="ET42" s="23"/>
      <c r="EU42" s="23"/>
      <c r="EV42" s="23"/>
      <c r="EW42" s="95"/>
      <c r="EX42" s="95"/>
      <c r="EY42" s="95"/>
      <c r="EZ42" s="95"/>
      <c r="FA42" s="23"/>
      <c r="FB42" s="37"/>
      <c r="FC42" s="37"/>
      <c r="FD42" s="37"/>
      <c r="FE42" s="37"/>
      <c r="FF42" s="37"/>
      <c r="FG42" s="37"/>
      <c r="FH42" s="37"/>
      <c r="FI42" s="37"/>
      <c r="FJ42" s="37"/>
      <c r="FK42" s="23"/>
      <c r="FL42" s="23"/>
      <c r="FM42" s="23"/>
      <c r="FN42" s="23"/>
      <c r="FO42" s="23"/>
      <c r="FP42" s="23"/>
      <c r="FQ42" s="23"/>
      <c r="FR42" s="23"/>
      <c r="FS42" s="23"/>
    </row>
    <row r="43" spans="1:175" x14ac:dyDescent="0.35">
      <c r="A43" s="23"/>
      <c r="B43" s="23"/>
      <c r="C43" s="23"/>
      <c r="D43" s="23"/>
      <c r="E43" s="23"/>
      <c r="F43" s="23"/>
      <c r="G43" s="23"/>
      <c r="H43" s="37"/>
      <c r="I43" s="37"/>
      <c r="J43" s="37"/>
      <c r="K43" s="37"/>
      <c r="L43" s="37"/>
      <c r="M43" s="37"/>
      <c r="N43" s="37"/>
      <c r="O43" s="37"/>
      <c r="P43" s="37"/>
      <c r="Q43" s="23"/>
      <c r="R43" s="23"/>
      <c r="S43" s="23"/>
      <c r="T43" s="23"/>
      <c r="U43" s="23"/>
      <c r="V43" s="23"/>
      <c r="W43" s="23"/>
      <c r="X43" s="23"/>
      <c r="Y43" s="23"/>
      <c r="Z43" s="23"/>
      <c r="AA43" s="23"/>
      <c r="AB43" s="23"/>
      <c r="AC43" s="23"/>
      <c r="AD43" s="23"/>
      <c r="AE43" s="23"/>
      <c r="AF43" s="23"/>
      <c r="AG43" s="37"/>
      <c r="AH43" s="37"/>
      <c r="AI43" s="37"/>
      <c r="AJ43" s="37"/>
      <c r="AK43" s="37"/>
      <c r="AL43" s="37"/>
      <c r="AM43" s="37"/>
      <c r="AN43" s="37"/>
      <c r="AO43" s="37"/>
      <c r="AP43" s="23"/>
      <c r="AQ43" s="23"/>
      <c r="AR43" s="23"/>
      <c r="AS43" s="23"/>
      <c r="AT43" s="23"/>
      <c r="AU43" s="23"/>
      <c r="AV43" s="23"/>
      <c r="AW43" s="23"/>
      <c r="AX43" s="23"/>
      <c r="AY43" s="23"/>
      <c r="AZ43" s="23"/>
      <c r="BA43" s="23"/>
      <c r="BB43" s="23"/>
      <c r="BC43" s="23"/>
      <c r="BD43" s="23"/>
      <c r="BE43" s="23"/>
      <c r="BF43" s="37"/>
      <c r="BG43" s="37"/>
      <c r="BH43" s="37"/>
      <c r="BI43" s="37"/>
      <c r="BJ43" s="37"/>
      <c r="BK43" s="37"/>
      <c r="BL43" s="37"/>
      <c r="BM43" s="37"/>
      <c r="BN43" s="37"/>
      <c r="BO43" s="23"/>
      <c r="BP43" s="23"/>
      <c r="BQ43" s="23"/>
      <c r="BR43" s="23"/>
      <c r="BS43" s="23"/>
      <c r="BT43" s="23"/>
      <c r="BU43" s="23"/>
      <c r="BV43" s="23"/>
      <c r="BW43" s="23"/>
      <c r="BX43" s="23"/>
      <c r="BY43" s="23"/>
      <c r="BZ43" s="23"/>
      <c r="CA43" s="23"/>
      <c r="CB43" s="23"/>
      <c r="CC43" s="23"/>
      <c r="CD43" s="23"/>
      <c r="CE43" s="37"/>
      <c r="CF43" s="37"/>
      <c r="CG43" s="37"/>
      <c r="CH43" s="37"/>
      <c r="CI43" s="37"/>
      <c r="CJ43" s="37"/>
      <c r="CK43" s="37"/>
      <c r="CL43" s="37"/>
      <c r="CM43" s="37"/>
      <c r="CN43" s="23"/>
      <c r="CO43" s="23"/>
      <c r="CP43" s="23"/>
      <c r="CQ43" s="23"/>
      <c r="CR43" s="23"/>
      <c r="CS43" s="23"/>
      <c r="CT43" s="23"/>
      <c r="CU43" s="23"/>
      <c r="CV43" s="23"/>
      <c r="CW43" s="23"/>
      <c r="CX43" s="23"/>
      <c r="CY43" s="23"/>
      <c r="CZ43" s="23"/>
      <c r="DA43" s="23"/>
      <c r="DB43" s="23"/>
      <c r="DC43" s="23"/>
      <c r="DD43" s="37"/>
      <c r="DE43" s="37"/>
      <c r="DF43" s="37"/>
      <c r="DG43" s="37"/>
      <c r="DH43" s="37"/>
      <c r="DI43" s="37"/>
      <c r="DJ43" s="37"/>
      <c r="DK43" s="37"/>
      <c r="DL43" s="37"/>
      <c r="DM43" s="23"/>
      <c r="DN43" s="23"/>
      <c r="DO43" s="23"/>
      <c r="DP43" s="23"/>
      <c r="DQ43" s="23"/>
      <c r="DR43" s="23"/>
      <c r="DS43" s="23"/>
      <c r="DT43" s="23"/>
      <c r="DU43" s="23"/>
      <c r="DV43" s="23"/>
      <c r="DW43" s="23"/>
      <c r="DX43" s="23"/>
      <c r="DY43" s="23"/>
      <c r="DZ43" s="23"/>
      <c r="EA43" s="23"/>
      <c r="EB43" s="23"/>
      <c r="EC43" s="37"/>
      <c r="ED43" s="37"/>
      <c r="EE43" s="37"/>
      <c r="EF43" s="37"/>
      <c r="EG43" s="37"/>
      <c r="EH43" s="37"/>
      <c r="EI43" s="37"/>
      <c r="EJ43" s="37"/>
      <c r="EK43" s="37"/>
      <c r="EL43" s="23"/>
      <c r="EM43" s="23"/>
      <c r="EN43" s="23"/>
      <c r="EO43" s="23"/>
      <c r="EP43" s="23"/>
      <c r="EQ43" s="23"/>
      <c r="ER43" s="23"/>
      <c r="ES43" s="23"/>
      <c r="ET43" s="23"/>
      <c r="EU43" s="23"/>
      <c r="EV43" s="23"/>
      <c r="EW43" s="23"/>
      <c r="EX43" s="23"/>
      <c r="EY43" s="23"/>
      <c r="EZ43" s="23"/>
      <c r="FA43" s="23"/>
      <c r="FB43" s="37"/>
      <c r="FC43" s="37"/>
      <c r="FD43" s="37"/>
      <c r="FE43" s="37"/>
      <c r="FF43" s="37"/>
      <c r="FG43" s="37"/>
      <c r="FH43" s="37"/>
      <c r="FI43" s="37"/>
      <c r="FJ43" s="37"/>
      <c r="FK43" s="23"/>
      <c r="FL43" s="23"/>
      <c r="FM43" s="23"/>
      <c r="FN43" s="23"/>
      <c r="FO43" s="23"/>
      <c r="FP43" s="23"/>
      <c r="FQ43" s="23"/>
      <c r="FR43" s="23"/>
      <c r="FS43" s="23"/>
    </row>
    <row r="44" spans="1:175" x14ac:dyDescent="0.35">
      <c r="A44" s="23"/>
      <c r="B44" s="23"/>
      <c r="C44" s="23"/>
      <c r="D44" s="23"/>
      <c r="E44" s="23"/>
      <c r="F44" s="23"/>
      <c r="G44" s="23"/>
      <c r="H44" s="37"/>
      <c r="I44" s="37"/>
      <c r="J44" s="37"/>
      <c r="K44" s="37"/>
      <c r="L44" s="37"/>
      <c r="M44" s="37"/>
      <c r="N44" s="37"/>
      <c r="O44" s="37"/>
      <c r="P44" s="37"/>
      <c r="Q44" s="23"/>
      <c r="R44" s="23"/>
      <c r="S44" s="23"/>
      <c r="T44" s="23"/>
      <c r="U44" s="23"/>
      <c r="V44" s="23"/>
      <c r="W44" s="23"/>
      <c r="X44" s="23"/>
      <c r="Y44" s="23"/>
      <c r="Z44" s="23"/>
      <c r="AA44" s="23"/>
      <c r="AB44" s="23"/>
      <c r="AC44" s="23"/>
      <c r="AD44" s="23"/>
      <c r="AE44" s="23"/>
      <c r="AF44" s="23"/>
      <c r="AG44" s="37"/>
      <c r="AH44" s="37"/>
      <c r="AI44" s="37"/>
      <c r="AJ44" s="37"/>
      <c r="AK44" s="37"/>
      <c r="AL44" s="37"/>
      <c r="AM44" s="37"/>
      <c r="AN44" s="37"/>
      <c r="AO44" s="37"/>
      <c r="AP44" s="23"/>
      <c r="AQ44" s="23"/>
      <c r="AR44" s="23"/>
      <c r="AS44" s="23"/>
      <c r="AT44" s="23"/>
      <c r="AU44" s="23"/>
      <c r="AV44" s="23"/>
      <c r="AW44" s="23"/>
      <c r="AX44" s="23"/>
      <c r="AY44" s="23"/>
      <c r="AZ44" s="23"/>
      <c r="BA44" s="23"/>
      <c r="BB44" s="23"/>
      <c r="BC44" s="23"/>
      <c r="BD44" s="23"/>
      <c r="BE44" s="23"/>
      <c r="BF44" s="37"/>
      <c r="BG44" s="37"/>
      <c r="BH44" s="37"/>
      <c r="BI44" s="37"/>
      <c r="BJ44" s="37"/>
      <c r="BK44" s="37"/>
      <c r="BL44" s="37"/>
      <c r="BM44" s="37"/>
      <c r="BN44" s="37"/>
      <c r="BO44" s="23"/>
      <c r="BP44" s="23"/>
      <c r="BQ44" s="23"/>
      <c r="BR44" s="23"/>
      <c r="BS44" s="23"/>
      <c r="BT44" s="23"/>
      <c r="BU44" s="23"/>
      <c r="BV44" s="23"/>
      <c r="BW44" s="23"/>
      <c r="BX44" s="23"/>
      <c r="BY44" s="23"/>
      <c r="BZ44" s="23"/>
      <c r="CA44" s="23"/>
      <c r="CB44" s="23"/>
      <c r="CC44" s="23"/>
      <c r="CD44" s="23"/>
      <c r="CE44" s="37"/>
      <c r="CF44" s="37"/>
      <c r="CG44" s="37"/>
      <c r="CH44" s="37"/>
      <c r="CI44" s="37"/>
      <c r="CJ44" s="37"/>
      <c r="CK44" s="37"/>
      <c r="CL44" s="37"/>
      <c r="CM44" s="37"/>
      <c r="CN44" s="23"/>
      <c r="CO44" s="23"/>
      <c r="CP44" s="23"/>
      <c r="CQ44" s="23"/>
      <c r="CR44" s="23"/>
      <c r="CS44" s="23"/>
      <c r="CT44" s="23"/>
      <c r="CU44" s="23"/>
      <c r="CV44" s="23"/>
      <c r="CW44" s="23"/>
      <c r="CX44" s="23"/>
      <c r="CY44" s="23"/>
      <c r="CZ44" s="23"/>
      <c r="DA44" s="23"/>
      <c r="DB44" s="23"/>
      <c r="DC44" s="23"/>
      <c r="DD44" s="37"/>
      <c r="DE44" s="37"/>
      <c r="DF44" s="37"/>
      <c r="DG44" s="37"/>
      <c r="DH44" s="37"/>
      <c r="DI44" s="37"/>
      <c r="DJ44" s="37"/>
      <c r="DK44" s="37"/>
      <c r="DL44" s="37"/>
      <c r="DM44" s="23"/>
      <c r="DN44" s="23"/>
      <c r="DO44" s="23"/>
      <c r="DP44" s="23"/>
      <c r="DQ44" s="23"/>
      <c r="DR44" s="23"/>
      <c r="DS44" s="23"/>
      <c r="DT44" s="23"/>
      <c r="DU44" s="23"/>
      <c r="DV44" s="23"/>
      <c r="DW44" s="23"/>
      <c r="DX44" s="23"/>
      <c r="DY44" s="23"/>
      <c r="DZ44" s="23"/>
      <c r="EA44" s="23"/>
      <c r="EB44" s="23"/>
      <c r="EC44" s="37"/>
      <c r="ED44" s="37"/>
      <c r="EE44" s="37"/>
      <c r="EF44" s="37"/>
      <c r="EG44" s="37"/>
      <c r="EH44" s="37"/>
      <c r="EI44" s="37"/>
      <c r="EJ44" s="37"/>
      <c r="EK44" s="37"/>
      <c r="EL44" s="23"/>
      <c r="EM44" s="23"/>
      <c r="EN44" s="23"/>
      <c r="EO44" s="23"/>
      <c r="EP44" s="23"/>
      <c r="EQ44" s="23"/>
      <c r="ER44" s="23"/>
      <c r="ES44" s="23"/>
      <c r="ET44" s="23"/>
      <c r="EU44" s="23"/>
      <c r="EV44" s="23"/>
      <c r="EW44" s="23"/>
      <c r="EX44" s="23"/>
      <c r="EY44" s="23"/>
      <c r="EZ44" s="23"/>
      <c r="FA44" s="23"/>
      <c r="FB44" s="37"/>
      <c r="FC44" s="37"/>
      <c r="FD44" s="37"/>
      <c r="FE44" s="37"/>
      <c r="FF44" s="37"/>
      <c r="FG44" s="37"/>
      <c r="FH44" s="37"/>
      <c r="FI44" s="37"/>
      <c r="FJ44" s="37"/>
      <c r="FK44" s="23"/>
      <c r="FL44" s="23"/>
      <c r="FM44" s="23"/>
      <c r="FN44" s="23"/>
      <c r="FO44" s="23"/>
      <c r="FP44" s="23"/>
      <c r="FQ44" s="23"/>
      <c r="FR44" s="23"/>
      <c r="FS44" s="23"/>
    </row>
    <row r="45" spans="1:175" x14ac:dyDescent="0.35">
      <c r="A45" s="23"/>
      <c r="B45" s="23"/>
      <c r="C45" s="23"/>
      <c r="D45" s="23"/>
      <c r="E45" s="23"/>
      <c r="F45" s="23"/>
      <c r="G45" s="23"/>
      <c r="H45" s="37"/>
      <c r="I45" s="37"/>
      <c r="J45" s="37"/>
      <c r="K45" s="37"/>
      <c r="L45" s="37"/>
      <c r="M45" s="37"/>
      <c r="N45" s="37"/>
      <c r="O45" s="37"/>
      <c r="P45" s="37"/>
      <c r="Q45" s="23"/>
      <c r="R45" s="23"/>
      <c r="S45" s="23"/>
      <c r="T45" s="23"/>
      <c r="U45" s="23"/>
      <c r="V45" s="23"/>
      <c r="W45" s="23"/>
      <c r="X45" s="23"/>
      <c r="Y45" s="23"/>
      <c r="Z45" s="23"/>
      <c r="AA45" s="23"/>
      <c r="AB45" s="23"/>
      <c r="AC45" s="23"/>
      <c r="AD45" s="23"/>
      <c r="AE45" s="23"/>
      <c r="AF45" s="23"/>
      <c r="AG45" s="37"/>
      <c r="AH45" s="37"/>
      <c r="AI45" s="37"/>
      <c r="AJ45" s="37"/>
      <c r="AK45" s="37"/>
      <c r="AL45" s="37"/>
      <c r="AM45" s="37"/>
      <c r="AN45" s="37"/>
      <c r="AO45" s="37"/>
      <c r="AP45" s="23"/>
      <c r="AQ45" s="23"/>
      <c r="AR45" s="23"/>
      <c r="AS45" s="23"/>
      <c r="AT45" s="23"/>
      <c r="AU45" s="23"/>
      <c r="AV45" s="23"/>
      <c r="AW45" s="23"/>
      <c r="AX45" s="23"/>
      <c r="AY45" s="23"/>
      <c r="AZ45" s="23"/>
      <c r="BA45" s="23"/>
      <c r="BB45" s="23"/>
      <c r="BC45" s="23"/>
      <c r="BD45" s="23"/>
      <c r="BE45" s="23"/>
      <c r="BF45" s="37"/>
      <c r="BG45" s="37"/>
      <c r="BH45" s="37"/>
      <c r="BI45" s="37"/>
      <c r="BJ45" s="37"/>
      <c r="BK45" s="37"/>
      <c r="BL45" s="37"/>
      <c r="BM45" s="37"/>
      <c r="BN45" s="37"/>
      <c r="BO45" s="23"/>
      <c r="BP45" s="23"/>
      <c r="BQ45" s="23"/>
      <c r="BR45" s="23"/>
      <c r="BS45" s="23"/>
      <c r="BT45" s="23"/>
      <c r="BU45" s="23"/>
      <c r="BV45" s="23"/>
      <c r="BW45" s="23"/>
      <c r="BX45" s="23"/>
      <c r="BY45" s="23"/>
      <c r="BZ45" s="23"/>
      <c r="CA45" s="23"/>
      <c r="CB45" s="23"/>
      <c r="CC45" s="23"/>
      <c r="CD45" s="23"/>
      <c r="CE45" s="37"/>
      <c r="CF45" s="37"/>
      <c r="CG45" s="37"/>
      <c r="CH45" s="37"/>
      <c r="CI45" s="37"/>
      <c r="CJ45" s="37"/>
      <c r="CK45" s="37"/>
      <c r="CL45" s="37"/>
      <c r="CM45" s="37"/>
      <c r="CN45" s="23"/>
      <c r="CO45" s="23"/>
      <c r="CP45" s="23"/>
      <c r="CQ45" s="23"/>
      <c r="CR45" s="23"/>
      <c r="CS45" s="23"/>
      <c r="CT45" s="23"/>
      <c r="CU45" s="23"/>
      <c r="CV45" s="23"/>
      <c r="CW45" s="23"/>
      <c r="CX45" s="23"/>
      <c r="CY45" s="23"/>
      <c r="CZ45" s="23"/>
      <c r="DA45" s="23"/>
      <c r="DB45" s="23"/>
      <c r="DC45" s="23"/>
      <c r="DD45" s="37"/>
      <c r="DE45" s="37"/>
      <c r="DF45" s="37"/>
      <c r="DG45" s="37"/>
      <c r="DH45" s="37"/>
      <c r="DI45" s="37"/>
      <c r="DJ45" s="37"/>
      <c r="DK45" s="37"/>
      <c r="DL45" s="37"/>
      <c r="DM45" s="23"/>
      <c r="DN45" s="23"/>
      <c r="DO45" s="23"/>
      <c r="DP45" s="23"/>
      <c r="DQ45" s="23"/>
      <c r="DR45" s="23"/>
      <c r="DS45" s="23"/>
      <c r="DT45" s="23"/>
      <c r="DU45" s="23"/>
      <c r="DV45" s="23"/>
      <c r="DW45" s="23"/>
      <c r="DX45" s="23"/>
      <c r="DY45" s="23"/>
      <c r="DZ45" s="23"/>
      <c r="EA45" s="23"/>
      <c r="EB45" s="23"/>
      <c r="EC45" s="37"/>
      <c r="ED45" s="37"/>
      <c r="EE45" s="37"/>
      <c r="EF45" s="37"/>
      <c r="EG45" s="37"/>
      <c r="EH45" s="37"/>
      <c r="EI45" s="37"/>
      <c r="EJ45" s="37"/>
      <c r="EK45" s="37"/>
      <c r="EL45" s="23"/>
      <c r="EM45" s="23"/>
      <c r="EN45" s="23"/>
      <c r="EO45" s="23"/>
      <c r="EP45" s="23"/>
      <c r="EQ45" s="23"/>
      <c r="ER45" s="23"/>
      <c r="ES45" s="23"/>
      <c r="ET45" s="23"/>
      <c r="EU45" s="23"/>
      <c r="EV45" s="23"/>
      <c r="EW45" s="23"/>
      <c r="EX45" s="23"/>
      <c r="EY45" s="23"/>
      <c r="EZ45" s="23"/>
      <c r="FA45" s="23"/>
      <c r="FB45" s="37"/>
      <c r="FC45" s="37"/>
      <c r="FD45" s="37"/>
      <c r="FE45" s="37"/>
      <c r="FF45" s="37"/>
      <c r="FG45" s="37"/>
      <c r="FH45" s="37"/>
      <c r="FI45" s="37"/>
      <c r="FJ45" s="37"/>
      <c r="FK45" s="23"/>
      <c r="FL45" s="23"/>
      <c r="FM45" s="23"/>
      <c r="FN45" s="23"/>
      <c r="FO45" s="23"/>
      <c r="FP45" s="23"/>
      <c r="FQ45" s="23"/>
      <c r="FR45" s="23"/>
      <c r="FS45" s="23"/>
    </row>
    <row r="46" spans="1:175" x14ac:dyDescent="0.35">
      <c r="A46" s="23"/>
      <c r="B46" s="23"/>
      <c r="C46" s="23"/>
      <c r="D46" s="23"/>
      <c r="E46" s="23"/>
      <c r="F46" s="23"/>
      <c r="G46" s="23"/>
      <c r="H46" s="37"/>
      <c r="I46" s="37"/>
      <c r="J46" s="37"/>
      <c r="K46" s="37"/>
      <c r="L46" s="37"/>
      <c r="M46" s="37"/>
      <c r="N46" s="37"/>
      <c r="O46" s="37"/>
      <c r="P46" s="37"/>
      <c r="Q46" s="23"/>
      <c r="R46" s="23"/>
      <c r="S46" s="23"/>
      <c r="T46" s="23"/>
      <c r="U46" s="23"/>
      <c r="V46" s="23"/>
      <c r="W46" s="23"/>
      <c r="X46" s="23"/>
      <c r="Y46" s="23"/>
      <c r="Z46" s="23"/>
      <c r="AA46" s="23"/>
      <c r="AB46" s="23"/>
      <c r="AC46" s="23"/>
      <c r="AD46" s="23"/>
      <c r="AE46" s="23"/>
      <c r="AF46" s="23"/>
      <c r="AG46" s="37"/>
      <c r="AH46" s="37"/>
      <c r="AI46" s="37"/>
      <c r="AJ46" s="37"/>
      <c r="AK46" s="37"/>
      <c r="AL46" s="37"/>
      <c r="AM46" s="37"/>
      <c r="AN46" s="37"/>
      <c r="AO46" s="37"/>
      <c r="AP46" s="23"/>
      <c r="AQ46" s="23"/>
      <c r="AR46" s="23"/>
      <c r="AS46" s="23"/>
      <c r="AT46" s="23"/>
      <c r="AU46" s="23"/>
      <c r="AV46" s="23"/>
      <c r="AW46" s="23"/>
      <c r="AX46" s="23"/>
      <c r="AY46" s="23"/>
      <c r="AZ46" s="23"/>
      <c r="BA46" s="23"/>
      <c r="BB46" s="23"/>
      <c r="BC46" s="23"/>
      <c r="BD46" s="23"/>
      <c r="BE46" s="23"/>
      <c r="BF46" s="37"/>
      <c r="BG46" s="37"/>
      <c r="BH46" s="37"/>
      <c r="BI46" s="37"/>
      <c r="BJ46" s="37"/>
      <c r="BK46" s="37"/>
      <c r="BL46" s="37"/>
      <c r="BM46" s="37"/>
      <c r="BN46" s="37"/>
      <c r="BO46" s="23"/>
      <c r="BP46" s="23"/>
      <c r="BQ46" s="23"/>
      <c r="BR46" s="23"/>
      <c r="BS46" s="23"/>
      <c r="BT46" s="23"/>
      <c r="BU46" s="23"/>
      <c r="BV46" s="23"/>
      <c r="BW46" s="23"/>
      <c r="BX46" s="23"/>
      <c r="BY46" s="23"/>
      <c r="BZ46" s="23"/>
      <c r="CA46" s="23"/>
      <c r="CB46" s="23"/>
      <c r="CC46" s="23"/>
      <c r="CD46" s="23"/>
      <c r="CE46" s="37"/>
      <c r="CF46" s="37"/>
      <c r="CG46" s="37"/>
      <c r="CH46" s="37"/>
      <c r="CI46" s="37"/>
      <c r="CJ46" s="37"/>
      <c r="CK46" s="37"/>
      <c r="CL46" s="37"/>
      <c r="CM46" s="37"/>
      <c r="CN46" s="23"/>
      <c r="CO46" s="23"/>
      <c r="CP46" s="23"/>
      <c r="CQ46" s="23"/>
      <c r="CR46" s="23"/>
      <c r="CS46" s="23"/>
      <c r="CT46" s="23"/>
      <c r="CU46" s="23"/>
      <c r="CV46" s="23"/>
      <c r="CW46" s="23"/>
      <c r="CX46" s="23"/>
      <c r="CY46" s="23"/>
      <c r="CZ46" s="23"/>
      <c r="DA46" s="23"/>
      <c r="DB46" s="23"/>
      <c r="DC46" s="23"/>
      <c r="DD46" s="37"/>
      <c r="DE46" s="37"/>
      <c r="DF46" s="37"/>
      <c r="DG46" s="37"/>
      <c r="DH46" s="37"/>
      <c r="DI46" s="37"/>
      <c r="DJ46" s="37"/>
      <c r="DK46" s="37"/>
      <c r="DL46" s="37"/>
      <c r="DM46" s="23"/>
      <c r="DN46" s="23"/>
      <c r="DO46" s="23"/>
      <c r="DP46" s="23"/>
      <c r="DQ46" s="23"/>
      <c r="DR46" s="23"/>
      <c r="DS46" s="23"/>
      <c r="DT46" s="23"/>
      <c r="DU46" s="23"/>
      <c r="DV46" s="23"/>
      <c r="DW46" s="23"/>
      <c r="DX46" s="23"/>
      <c r="DY46" s="23"/>
      <c r="DZ46" s="23"/>
      <c r="EA46" s="23"/>
      <c r="EB46" s="23"/>
      <c r="EC46" s="37"/>
      <c r="ED46" s="37"/>
      <c r="EE46" s="37"/>
      <c r="EF46" s="37"/>
      <c r="EG46" s="37"/>
      <c r="EH46" s="37"/>
      <c r="EI46" s="37"/>
      <c r="EJ46" s="37"/>
      <c r="EK46" s="37"/>
      <c r="EL46" s="23"/>
      <c r="EM46" s="23"/>
      <c r="EN46" s="23"/>
      <c r="EO46" s="23"/>
      <c r="EP46" s="23"/>
      <c r="EQ46" s="23"/>
      <c r="ER46" s="23"/>
      <c r="ES46" s="23"/>
      <c r="ET46" s="23"/>
      <c r="EU46" s="23"/>
      <c r="EV46" s="23"/>
      <c r="EW46" s="23"/>
      <c r="EX46" s="23"/>
      <c r="EY46" s="23"/>
      <c r="EZ46" s="23"/>
      <c r="FA46" s="23"/>
      <c r="FB46" s="37"/>
      <c r="FC46" s="37"/>
      <c r="FD46" s="37"/>
      <c r="FE46" s="37"/>
      <c r="FF46" s="37"/>
      <c r="FG46" s="37"/>
      <c r="FH46" s="37"/>
      <c r="FI46" s="37"/>
      <c r="FJ46" s="37"/>
      <c r="FK46" s="23"/>
      <c r="FL46" s="23"/>
      <c r="FM46" s="23"/>
      <c r="FN46" s="23"/>
      <c r="FO46" s="23"/>
      <c r="FP46" s="23"/>
      <c r="FQ46" s="23"/>
      <c r="FR46" s="23"/>
      <c r="FS46" s="23"/>
    </row>
    <row r="47" spans="1:175" x14ac:dyDescent="0.35">
      <c r="A47" s="23"/>
      <c r="B47" s="23"/>
      <c r="C47" s="23"/>
      <c r="D47" s="23"/>
      <c r="E47" s="23"/>
      <c r="F47" s="23"/>
      <c r="G47" s="23"/>
      <c r="H47" s="37"/>
      <c r="I47" s="37"/>
      <c r="J47" s="37"/>
      <c r="K47" s="37"/>
      <c r="L47" s="37"/>
      <c r="M47" s="37"/>
      <c r="N47" s="37"/>
      <c r="O47" s="37"/>
      <c r="P47" s="37"/>
      <c r="Q47" s="23"/>
      <c r="R47" s="23"/>
      <c r="S47" s="23"/>
      <c r="T47" s="23"/>
      <c r="U47" s="23"/>
      <c r="V47" s="23"/>
      <c r="W47" s="23"/>
      <c r="X47" s="23"/>
      <c r="Y47" s="23"/>
      <c r="Z47" s="23"/>
      <c r="AA47" s="23"/>
      <c r="AB47" s="23"/>
      <c r="AC47" s="23"/>
      <c r="AD47" s="23"/>
      <c r="AE47" s="23"/>
      <c r="AF47" s="23"/>
      <c r="AG47" s="37"/>
      <c r="AH47" s="37"/>
      <c r="AI47" s="37"/>
      <c r="AJ47" s="37"/>
      <c r="AK47" s="37"/>
      <c r="AL47" s="37"/>
      <c r="AM47" s="37"/>
      <c r="AN47" s="37"/>
      <c r="AO47" s="37"/>
      <c r="AP47" s="23"/>
      <c r="AQ47" s="23"/>
      <c r="AR47" s="23"/>
      <c r="AS47" s="23"/>
      <c r="AT47" s="23"/>
      <c r="AU47" s="23"/>
      <c r="AV47" s="23"/>
      <c r="AW47" s="23"/>
      <c r="AX47" s="23"/>
      <c r="AY47" s="23"/>
      <c r="AZ47" s="23"/>
      <c r="BA47" s="23"/>
      <c r="BB47" s="23"/>
      <c r="BC47" s="23"/>
      <c r="BD47" s="23"/>
      <c r="BE47" s="23"/>
      <c r="BF47" s="37"/>
      <c r="BG47" s="37"/>
      <c r="BH47" s="37"/>
      <c r="BI47" s="37"/>
      <c r="BJ47" s="37"/>
      <c r="BK47" s="37"/>
      <c r="BL47" s="37"/>
      <c r="BM47" s="37"/>
      <c r="BN47" s="37"/>
      <c r="BO47" s="23"/>
      <c r="BP47" s="23"/>
      <c r="BQ47" s="23"/>
      <c r="BR47" s="23"/>
      <c r="BS47" s="23"/>
      <c r="BT47" s="23"/>
      <c r="BU47" s="23"/>
      <c r="BV47" s="23"/>
      <c r="BW47" s="23"/>
      <c r="BX47" s="23"/>
      <c r="BY47" s="23"/>
      <c r="BZ47" s="23"/>
      <c r="CA47" s="23"/>
      <c r="CB47" s="23"/>
      <c r="CC47" s="23"/>
      <c r="CD47" s="23"/>
      <c r="CE47" s="37"/>
      <c r="CF47" s="37"/>
      <c r="CG47" s="37"/>
      <c r="CH47" s="37"/>
      <c r="CI47" s="37"/>
      <c r="CJ47" s="37"/>
      <c r="CK47" s="37"/>
      <c r="CL47" s="37"/>
      <c r="CM47" s="37"/>
      <c r="CN47" s="23"/>
      <c r="CO47" s="23"/>
      <c r="CP47" s="23"/>
      <c r="CQ47" s="23"/>
      <c r="CR47" s="23"/>
      <c r="CS47" s="23"/>
      <c r="CT47" s="23"/>
      <c r="CU47" s="23"/>
      <c r="CV47" s="23"/>
      <c r="CW47" s="23"/>
      <c r="CX47" s="23"/>
      <c r="CY47" s="23"/>
      <c r="CZ47" s="23"/>
      <c r="DA47" s="23"/>
      <c r="DB47" s="23"/>
      <c r="DC47" s="23"/>
      <c r="DD47" s="37"/>
      <c r="DE47" s="37"/>
      <c r="DF47" s="37"/>
      <c r="DG47" s="37"/>
      <c r="DH47" s="37"/>
      <c r="DI47" s="37"/>
      <c r="DJ47" s="37"/>
      <c r="DK47" s="37"/>
      <c r="DL47" s="37"/>
      <c r="DM47" s="23"/>
      <c r="DN47" s="23"/>
      <c r="DO47" s="23"/>
      <c r="DP47" s="23"/>
      <c r="DQ47" s="23"/>
      <c r="DR47" s="23"/>
      <c r="DS47" s="23"/>
      <c r="DT47" s="23"/>
      <c r="DU47" s="23"/>
      <c r="DV47" s="23"/>
      <c r="DW47" s="23"/>
      <c r="DX47" s="23"/>
      <c r="DY47" s="23"/>
      <c r="DZ47" s="23"/>
      <c r="EA47" s="23"/>
      <c r="EB47" s="23"/>
      <c r="EC47" s="37"/>
      <c r="ED47" s="37"/>
      <c r="EE47" s="37"/>
      <c r="EF47" s="37"/>
      <c r="EG47" s="37"/>
      <c r="EH47" s="37"/>
      <c r="EI47" s="37"/>
      <c r="EJ47" s="37"/>
      <c r="EK47" s="37"/>
      <c r="EL47" s="23"/>
      <c r="EM47" s="23"/>
      <c r="EN47" s="23"/>
      <c r="EO47" s="23"/>
      <c r="EP47" s="23"/>
      <c r="EQ47" s="23"/>
      <c r="ER47" s="23"/>
      <c r="ES47" s="23"/>
      <c r="ET47" s="23"/>
      <c r="EU47" s="23"/>
      <c r="EV47" s="23"/>
      <c r="EW47" s="23"/>
      <c r="EX47" s="23"/>
      <c r="EY47" s="23"/>
      <c r="EZ47" s="23"/>
      <c r="FA47" s="23"/>
      <c r="FB47" s="37"/>
      <c r="FC47" s="37"/>
      <c r="FD47" s="37"/>
      <c r="FE47" s="37"/>
      <c r="FF47" s="37"/>
      <c r="FG47" s="37"/>
      <c r="FH47" s="37"/>
      <c r="FI47" s="37"/>
      <c r="FJ47" s="37"/>
      <c r="FK47" s="23"/>
      <c r="FL47" s="23"/>
      <c r="FM47" s="23"/>
      <c r="FN47" s="23"/>
      <c r="FO47" s="23"/>
      <c r="FP47" s="23"/>
      <c r="FQ47" s="23"/>
      <c r="FR47" s="23"/>
      <c r="FS47" s="23"/>
    </row>
    <row r="48" spans="1:175" x14ac:dyDescent="0.35">
      <c r="A48" s="23"/>
      <c r="B48" s="23"/>
      <c r="C48" s="23"/>
      <c r="D48" s="23"/>
      <c r="E48" s="23"/>
      <c r="F48" s="23"/>
      <c r="G48" s="23"/>
      <c r="H48" s="37"/>
      <c r="I48" s="37"/>
      <c r="J48" s="37"/>
      <c r="K48" s="37"/>
      <c r="L48" s="37"/>
      <c r="M48" s="37"/>
      <c r="N48" s="37"/>
      <c r="O48" s="37"/>
      <c r="P48" s="37"/>
      <c r="Q48" s="23"/>
      <c r="R48" s="23"/>
      <c r="S48" s="23"/>
      <c r="T48" s="23"/>
      <c r="U48" s="23"/>
      <c r="V48" s="23"/>
      <c r="W48" s="23"/>
      <c r="X48" s="23"/>
      <c r="Y48" s="23"/>
      <c r="Z48" s="23"/>
      <c r="AA48" s="23"/>
      <c r="AB48" s="23"/>
      <c r="AC48" s="23"/>
      <c r="AD48" s="23"/>
      <c r="AE48" s="23"/>
      <c r="AF48" s="23"/>
      <c r="AG48" s="37"/>
      <c r="AH48" s="37"/>
      <c r="AI48" s="37"/>
      <c r="AJ48" s="37"/>
      <c r="AK48" s="37"/>
      <c r="AL48" s="37"/>
      <c r="AM48" s="37"/>
      <c r="AN48" s="37"/>
      <c r="AO48" s="37"/>
      <c r="AP48" s="23"/>
      <c r="AQ48" s="23"/>
      <c r="AR48" s="23"/>
      <c r="AS48" s="23"/>
      <c r="AT48" s="23"/>
      <c r="AU48" s="23"/>
      <c r="AV48" s="23"/>
      <c r="AW48" s="23"/>
      <c r="AX48" s="23"/>
      <c r="AY48" s="23"/>
      <c r="AZ48" s="23"/>
      <c r="BA48" s="23"/>
      <c r="BB48" s="23"/>
      <c r="BC48" s="23"/>
      <c r="BD48" s="23"/>
      <c r="BE48" s="23"/>
      <c r="BF48" s="37"/>
      <c r="BG48" s="37"/>
      <c r="BH48" s="37"/>
      <c r="BI48" s="37"/>
      <c r="BJ48" s="37"/>
      <c r="BK48" s="37"/>
      <c r="BL48" s="37"/>
      <c r="BM48" s="37"/>
      <c r="BN48" s="37"/>
      <c r="BO48" s="23"/>
      <c r="BP48" s="23"/>
      <c r="BQ48" s="23"/>
      <c r="BR48" s="23"/>
      <c r="BS48" s="23"/>
      <c r="BT48" s="23"/>
      <c r="BU48" s="23"/>
      <c r="BV48" s="23"/>
      <c r="BW48" s="23"/>
      <c r="BX48" s="23"/>
      <c r="BY48" s="23"/>
      <c r="BZ48" s="23"/>
      <c r="CA48" s="23"/>
      <c r="CB48" s="23"/>
      <c r="CC48" s="23"/>
      <c r="CD48" s="23"/>
      <c r="CE48" s="37"/>
      <c r="CF48" s="37"/>
      <c r="CG48" s="37"/>
      <c r="CH48" s="37"/>
      <c r="CI48" s="37"/>
      <c r="CJ48" s="37"/>
      <c r="CK48" s="37"/>
      <c r="CL48" s="37"/>
      <c r="CM48" s="37"/>
      <c r="CN48" s="23"/>
      <c r="CO48" s="23"/>
      <c r="CP48" s="23"/>
      <c r="CQ48" s="23"/>
      <c r="CR48" s="23"/>
      <c r="CS48" s="23"/>
      <c r="CT48" s="23"/>
      <c r="CU48" s="23"/>
      <c r="CV48" s="23"/>
      <c r="CW48" s="23"/>
      <c r="CX48" s="23"/>
      <c r="CY48" s="23"/>
      <c r="CZ48" s="23"/>
      <c r="DA48" s="23"/>
      <c r="DB48" s="23"/>
      <c r="DC48" s="23"/>
      <c r="DD48" s="37"/>
      <c r="DE48" s="37"/>
      <c r="DF48" s="37"/>
      <c r="DG48" s="37"/>
      <c r="DH48" s="37"/>
      <c r="DI48" s="37"/>
      <c r="DJ48" s="37"/>
      <c r="DK48" s="37"/>
      <c r="DL48" s="37"/>
      <c r="DM48" s="23"/>
      <c r="DN48" s="23"/>
      <c r="DO48" s="23"/>
      <c r="DP48" s="23"/>
      <c r="DQ48" s="23"/>
      <c r="DR48" s="23"/>
      <c r="DS48" s="23"/>
      <c r="DT48" s="23"/>
      <c r="DU48" s="23"/>
      <c r="DV48" s="23"/>
      <c r="DW48" s="23"/>
      <c r="DX48" s="23"/>
      <c r="DY48" s="23"/>
      <c r="DZ48" s="23"/>
      <c r="EA48" s="23"/>
      <c r="EB48" s="23"/>
      <c r="EC48" s="37"/>
      <c r="ED48" s="37"/>
      <c r="EE48" s="37"/>
      <c r="EF48" s="37"/>
      <c r="EG48" s="37"/>
      <c r="EH48" s="37"/>
      <c r="EI48" s="37"/>
      <c r="EJ48" s="37"/>
      <c r="EK48" s="37"/>
      <c r="EL48" s="23"/>
      <c r="EM48" s="23"/>
      <c r="EN48" s="23"/>
      <c r="EO48" s="23"/>
      <c r="EP48" s="23"/>
      <c r="EQ48" s="23"/>
      <c r="ER48" s="23"/>
      <c r="ES48" s="23"/>
      <c r="ET48" s="23"/>
      <c r="EU48" s="23"/>
      <c r="EV48" s="23"/>
      <c r="EW48" s="23"/>
      <c r="EX48" s="23"/>
      <c r="EY48" s="23"/>
      <c r="EZ48" s="23"/>
      <c r="FA48" s="23"/>
      <c r="FB48" s="37"/>
      <c r="FC48" s="37"/>
      <c r="FD48" s="37"/>
      <c r="FE48" s="37"/>
      <c r="FF48" s="37"/>
      <c r="FG48" s="37"/>
      <c r="FH48" s="37"/>
      <c r="FI48" s="37"/>
      <c r="FJ48" s="37"/>
      <c r="FK48" s="23"/>
      <c r="FL48" s="23"/>
      <c r="FM48" s="23"/>
      <c r="FN48" s="23"/>
      <c r="FO48" s="23"/>
      <c r="FP48" s="23"/>
      <c r="FQ48" s="23"/>
      <c r="FR48" s="23"/>
      <c r="FS48" s="23"/>
    </row>
    <row r="49" spans="1:175" ht="15" thickBot="1" x14ac:dyDescent="0.4">
      <c r="A49" s="23"/>
      <c r="B49" s="23"/>
      <c r="C49" s="23"/>
      <c r="D49" s="23"/>
      <c r="E49" s="23"/>
      <c r="F49" s="23"/>
      <c r="G49" s="23"/>
      <c r="H49" s="37"/>
      <c r="I49" s="37"/>
      <c r="J49" s="37"/>
      <c r="K49" s="37"/>
      <c r="L49" s="37"/>
      <c r="M49" s="37"/>
      <c r="N49" s="37"/>
      <c r="O49" s="23"/>
      <c r="P49" s="23"/>
      <c r="Q49" s="23"/>
      <c r="R49" s="23"/>
      <c r="S49" s="23"/>
      <c r="T49" s="23"/>
      <c r="U49" s="23"/>
      <c r="V49" s="23"/>
      <c r="W49" s="23"/>
      <c r="X49" s="23"/>
      <c r="Y49" s="23"/>
      <c r="Z49" s="23"/>
      <c r="AA49" s="23"/>
      <c r="AB49" s="23"/>
      <c r="AC49" s="23"/>
      <c r="AD49" s="23"/>
      <c r="AE49" s="23"/>
      <c r="AF49" s="23"/>
      <c r="AG49" s="37"/>
      <c r="AH49" s="37"/>
      <c r="AI49" s="37"/>
      <c r="AJ49" s="37"/>
      <c r="AK49" s="37"/>
      <c r="AL49" s="37"/>
      <c r="AM49" s="37"/>
      <c r="AN49" s="23"/>
      <c r="AO49" s="23"/>
      <c r="AP49" s="23"/>
      <c r="AQ49" s="23"/>
      <c r="AR49" s="23"/>
      <c r="AS49" s="23"/>
      <c r="AT49" s="23"/>
      <c r="AU49" s="23"/>
      <c r="AV49" s="23"/>
      <c r="AW49" s="23"/>
      <c r="AX49" s="23"/>
      <c r="AY49" s="23"/>
      <c r="AZ49" s="23"/>
      <c r="BA49" s="23"/>
      <c r="BB49" s="23"/>
      <c r="BC49" s="23"/>
      <c r="BD49" s="23"/>
      <c r="BE49" s="23"/>
      <c r="BF49" s="37"/>
      <c r="BG49" s="37"/>
      <c r="BH49" s="37"/>
      <c r="BI49" s="37"/>
      <c r="BJ49" s="37"/>
      <c r="BK49" s="37"/>
      <c r="BL49" s="37"/>
      <c r="BM49" s="23"/>
      <c r="BN49" s="23"/>
      <c r="BO49" s="23"/>
      <c r="BP49" s="23"/>
      <c r="BQ49" s="23"/>
      <c r="BR49" s="23"/>
      <c r="BS49" s="23"/>
      <c r="BT49" s="23"/>
      <c r="BU49" s="23"/>
      <c r="BV49" s="23"/>
      <c r="BW49" s="23"/>
      <c r="BX49" s="23"/>
      <c r="BY49" s="23"/>
      <c r="BZ49" s="23"/>
      <c r="CA49" s="23"/>
      <c r="CB49" s="23"/>
      <c r="CC49" s="23"/>
      <c r="CD49" s="23"/>
      <c r="CE49" s="37"/>
      <c r="CF49" s="37"/>
      <c r="CG49" s="37"/>
      <c r="CH49" s="37"/>
      <c r="CI49" s="37"/>
      <c r="CJ49" s="37"/>
      <c r="CK49" s="37"/>
      <c r="CL49" s="23"/>
      <c r="CM49" s="23"/>
      <c r="CN49" s="23"/>
      <c r="CO49" s="23"/>
      <c r="CP49" s="23"/>
      <c r="CQ49" s="23"/>
      <c r="CR49" s="23"/>
      <c r="CS49" s="23"/>
      <c r="CT49" s="23"/>
      <c r="CU49" s="23"/>
      <c r="CV49" s="23"/>
      <c r="CW49" s="23"/>
      <c r="CX49" s="23"/>
      <c r="CY49" s="23"/>
      <c r="CZ49" s="23"/>
      <c r="DA49" s="23"/>
      <c r="DB49" s="23"/>
      <c r="DC49" s="23"/>
      <c r="DD49" s="37"/>
      <c r="DE49" s="37"/>
      <c r="DF49" s="37"/>
      <c r="DG49" s="37"/>
      <c r="DH49" s="37"/>
      <c r="DI49" s="37"/>
      <c r="DJ49" s="37"/>
      <c r="DK49" s="23"/>
      <c r="DL49" s="23"/>
      <c r="DM49" s="23"/>
      <c r="DN49" s="23"/>
      <c r="DO49" s="23"/>
      <c r="DP49" s="23"/>
      <c r="DQ49" s="23"/>
      <c r="DR49" s="23"/>
      <c r="DS49" s="23"/>
      <c r="DT49" s="23"/>
      <c r="DU49" s="23"/>
      <c r="DV49" s="23"/>
      <c r="DW49" s="23"/>
      <c r="DX49" s="23"/>
      <c r="DY49" s="23"/>
      <c r="DZ49" s="23"/>
      <c r="EA49" s="23"/>
      <c r="EB49" s="23"/>
      <c r="EC49" s="37"/>
      <c r="ED49" s="37"/>
      <c r="EE49" s="37"/>
      <c r="EF49" s="37"/>
      <c r="EG49" s="37"/>
      <c r="EH49" s="37"/>
      <c r="EI49" s="37"/>
      <c r="EJ49" s="23"/>
      <c r="EK49" s="23"/>
      <c r="EL49" s="23"/>
      <c r="EM49" s="23"/>
      <c r="EN49" s="23"/>
      <c r="EO49" s="23"/>
      <c r="EP49" s="23"/>
      <c r="EQ49" s="23"/>
      <c r="ER49" s="23"/>
      <c r="ES49" s="23"/>
      <c r="ET49" s="23"/>
      <c r="EU49" s="23"/>
      <c r="EV49" s="23"/>
      <c r="EW49" s="23"/>
      <c r="EX49" s="23"/>
      <c r="EY49" s="23"/>
      <c r="EZ49" s="23"/>
      <c r="FA49" s="23"/>
      <c r="FB49" s="37"/>
      <c r="FC49" s="37"/>
      <c r="FD49" s="37"/>
      <c r="FE49" s="37"/>
      <c r="FF49" s="37"/>
      <c r="FG49" s="37"/>
      <c r="FH49" s="37"/>
      <c r="FI49" s="23"/>
      <c r="FJ49" s="23"/>
      <c r="FK49" s="23"/>
      <c r="FL49" s="23"/>
      <c r="FM49" s="23"/>
      <c r="FN49" s="23"/>
      <c r="FO49" s="23"/>
      <c r="FP49" s="23"/>
      <c r="FQ49" s="23"/>
      <c r="FR49" s="23"/>
      <c r="FS49" s="23"/>
    </row>
    <row r="50" spans="1:175" ht="14.5" customHeight="1" x14ac:dyDescent="0.35">
      <c r="A50" s="23"/>
      <c r="B50" s="23"/>
      <c r="C50" s="23"/>
      <c r="D50" s="23"/>
      <c r="E50" s="88" t="s">
        <v>72</v>
      </c>
      <c r="F50" s="89"/>
      <c r="G50" s="89"/>
      <c r="H50" s="90"/>
      <c r="I50" s="37"/>
      <c r="J50" s="37"/>
      <c r="K50" s="37"/>
      <c r="L50" s="37"/>
      <c r="M50" s="37"/>
      <c r="N50" s="37"/>
      <c r="O50" s="23"/>
      <c r="P50" s="23"/>
      <c r="Q50" s="23"/>
      <c r="R50" s="23"/>
      <c r="S50" s="23"/>
      <c r="T50" s="23"/>
      <c r="U50" s="23"/>
      <c r="V50" s="23"/>
      <c r="W50" s="23"/>
      <c r="X50" s="23"/>
      <c r="Y50" s="23"/>
      <c r="Z50" s="23"/>
      <c r="AA50" s="23"/>
      <c r="AB50" s="23"/>
      <c r="AC50" s="23"/>
      <c r="AD50" s="38"/>
      <c r="AE50" s="38"/>
      <c r="AF50" s="38"/>
      <c r="AG50" s="38"/>
      <c r="AH50" s="37"/>
      <c r="AI50" s="37"/>
      <c r="AJ50" s="37"/>
      <c r="AK50" s="37"/>
      <c r="AL50" s="37"/>
      <c r="AM50" s="37"/>
      <c r="AN50" s="23"/>
      <c r="AO50" s="23"/>
      <c r="AP50" s="23"/>
      <c r="AQ50" s="23"/>
      <c r="AR50" s="23"/>
      <c r="AS50" s="23"/>
      <c r="AT50" s="23"/>
      <c r="AU50" s="23"/>
      <c r="AV50" s="23"/>
      <c r="AW50" s="23"/>
      <c r="AX50" s="23"/>
      <c r="AY50" s="23"/>
      <c r="AZ50" s="23"/>
      <c r="BA50" s="23"/>
      <c r="BB50" s="23"/>
      <c r="BC50" s="119"/>
      <c r="BD50" s="119"/>
      <c r="BE50" s="119"/>
      <c r="BF50" s="119"/>
      <c r="BG50" s="37"/>
      <c r="BH50" s="37"/>
      <c r="BI50" s="37"/>
      <c r="BJ50" s="37"/>
      <c r="BK50" s="37"/>
      <c r="BL50" s="37"/>
      <c r="BM50" s="23"/>
      <c r="BN50" s="23"/>
      <c r="BO50" s="23"/>
      <c r="BP50" s="23"/>
      <c r="BQ50" s="23"/>
      <c r="BR50" s="23"/>
      <c r="BS50" s="23"/>
      <c r="BT50" s="23"/>
      <c r="BU50" s="23"/>
      <c r="BV50" s="23"/>
      <c r="BW50" s="23"/>
      <c r="BX50" s="23"/>
      <c r="BY50" s="23"/>
      <c r="BZ50" s="23"/>
      <c r="CA50" s="23"/>
      <c r="CB50" s="96" t="s">
        <v>72</v>
      </c>
      <c r="CC50" s="97"/>
      <c r="CD50" s="97"/>
      <c r="CE50" s="98"/>
      <c r="CF50" s="37"/>
      <c r="CG50" s="37"/>
      <c r="CH50" s="37"/>
      <c r="CI50" s="37"/>
      <c r="CJ50" s="37"/>
      <c r="CK50" s="37"/>
      <c r="CL50" s="23"/>
      <c r="CM50" s="23"/>
      <c r="CN50" s="23"/>
      <c r="CO50" s="23"/>
      <c r="CP50" s="23"/>
      <c r="CQ50" s="23"/>
      <c r="CR50" s="23"/>
      <c r="CS50" s="23"/>
      <c r="CT50" s="23"/>
      <c r="CU50" s="23"/>
      <c r="CV50" s="23"/>
      <c r="CW50" s="23"/>
      <c r="CX50" s="23"/>
      <c r="CY50" s="23"/>
      <c r="CZ50" s="23"/>
      <c r="DA50" s="96" t="s">
        <v>72</v>
      </c>
      <c r="DB50" s="97"/>
      <c r="DC50" s="97"/>
      <c r="DD50" s="98"/>
      <c r="DE50" s="37"/>
      <c r="DF50" s="37"/>
      <c r="DG50" s="37"/>
      <c r="DH50" s="37"/>
      <c r="DI50" s="37"/>
      <c r="DJ50" s="37"/>
      <c r="DK50" s="23"/>
      <c r="DL50" s="23"/>
      <c r="DM50" s="23"/>
      <c r="DN50" s="23"/>
      <c r="DO50" s="23"/>
      <c r="DP50" s="23"/>
      <c r="DQ50" s="23"/>
      <c r="DR50" s="23"/>
      <c r="DS50" s="23"/>
      <c r="DT50" s="23"/>
      <c r="DU50" s="23"/>
      <c r="DV50" s="23"/>
      <c r="DW50" s="23"/>
      <c r="DX50" s="23"/>
      <c r="DY50" s="23"/>
      <c r="DZ50" s="96" t="s">
        <v>72</v>
      </c>
      <c r="EA50" s="97"/>
      <c r="EB50" s="97"/>
      <c r="EC50" s="98"/>
      <c r="ED50" s="37"/>
      <c r="EE50" s="37"/>
      <c r="EF50" s="37"/>
      <c r="EG50" s="37"/>
      <c r="EH50" s="37"/>
      <c r="EI50" s="37"/>
      <c r="EJ50" s="23"/>
      <c r="EK50" s="23"/>
      <c r="EL50" s="23"/>
      <c r="EM50" s="23"/>
      <c r="EN50" s="23"/>
      <c r="EO50" s="23"/>
      <c r="EP50" s="23"/>
      <c r="EQ50" s="23"/>
      <c r="ER50" s="23"/>
      <c r="ES50" s="23"/>
      <c r="ET50" s="23"/>
      <c r="EU50" s="23"/>
      <c r="EV50" s="23"/>
      <c r="EW50" s="23"/>
      <c r="EX50" s="23"/>
      <c r="EY50" s="42" t="s">
        <v>72</v>
      </c>
      <c r="EZ50" s="43"/>
      <c r="FA50" s="43"/>
      <c r="FB50" s="44"/>
      <c r="FC50" s="37"/>
      <c r="FD50" s="37"/>
      <c r="FE50" s="37"/>
      <c r="FF50" s="37"/>
      <c r="FG50" s="37"/>
      <c r="FH50" s="37"/>
      <c r="FI50" s="23"/>
      <c r="FJ50" s="23"/>
      <c r="FK50" s="23"/>
      <c r="FL50" s="23"/>
      <c r="FM50" s="23"/>
      <c r="FN50" s="23"/>
      <c r="FO50" s="23"/>
      <c r="FP50" s="23"/>
      <c r="FQ50" s="23"/>
      <c r="FR50" s="23"/>
      <c r="FS50" s="23"/>
    </row>
    <row r="51" spans="1:175" ht="15" customHeight="1" thickBot="1" x14ac:dyDescent="0.4">
      <c r="A51" s="23"/>
      <c r="B51" s="23"/>
      <c r="C51" s="23"/>
      <c r="D51" s="23"/>
      <c r="E51" s="91"/>
      <c r="F51" s="92"/>
      <c r="G51" s="92"/>
      <c r="H51" s="93"/>
      <c r="I51" s="37"/>
      <c r="J51" s="37"/>
      <c r="K51" s="37"/>
      <c r="L51" s="37"/>
      <c r="M51" s="37"/>
      <c r="N51" s="37"/>
      <c r="O51" s="23"/>
      <c r="P51" s="23"/>
      <c r="Q51" s="23"/>
      <c r="R51" s="23"/>
      <c r="S51" s="23"/>
      <c r="T51" s="23"/>
      <c r="U51" s="23"/>
      <c r="V51" s="23"/>
      <c r="W51" s="23"/>
      <c r="X51" s="23"/>
      <c r="Y51" s="23"/>
      <c r="Z51" s="23"/>
      <c r="AA51" s="23"/>
      <c r="AB51" s="23"/>
      <c r="AC51" s="23"/>
      <c r="AD51" s="38"/>
      <c r="AE51" s="38"/>
      <c r="AF51" s="38"/>
      <c r="AG51" s="38"/>
      <c r="AH51" s="37"/>
      <c r="AI51" s="37"/>
      <c r="AJ51" s="37"/>
      <c r="AK51" s="37"/>
      <c r="AL51" s="37"/>
      <c r="AM51" s="37"/>
      <c r="AN51" s="23"/>
      <c r="AO51" s="23"/>
      <c r="AP51" s="23"/>
      <c r="AQ51" s="23"/>
      <c r="AR51" s="23"/>
      <c r="AS51" s="23"/>
      <c r="AT51" s="23"/>
      <c r="AU51" s="23"/>
      <c r="AV51" s="23"/>
      <c r="AW51" s="23"/>
      <c r="AX51" s="23"/>
      <c r="AY51" s="23"/>
      <c r="AZ51" s="23"/>
      <c r="BA51" s="23"/>
      <c r="BB51" s="23"/>
      <c r="BC51" s="119"/>
      <c r="BD51" s="119"/>
      <c r="BE51" s="119"/>
      <c r="BF51" s="119"/>
      <c r="BG51" s="37"/>
      <c r="BH51" s="37"/>
      <c r="BI51" s="37"/>
      <c r="BJ51" s="37"/>
      <c r="BK51" s="37"/>
      <c r="BL51" s="37"/>
      <c r="BM51" s="23"/>
      <c r="BN51" s="23"/>
      <c r="BO51" s="23"/>
      <c r="BP51" s="23"/>
      <c r="BQ51" s="23"/>
      <c r="BR51" s="23"/>
      <c r="BS51" s="23"/>
      <c r="BT51" s="23"/>
      <c r="BU51" s="23"/>
      <c r="BV51" s="23"/>
      <c r="BW51" s="23"/>
      <c r="BX51" s="23"/>
      <c r="BY51" s="23"/>
      <c r="BZ51" s="23"/>
      <c r="CA51" s="23"/>
      <c r="CB51" s="99"/>
      <c r="CC51" s="100"/>
      <c r="CD51" s="100"/>
      <c r="CE51" s="101"/>
      <c r="CF51" s="37"/>
      <c r="CG51" s="37"/>
      <c r="CH51" s="37"/>
      <c r="CI51" s="37"/>
      <c r="CJ51" s="37"/>
      <c r="CK51" s="37"/>
      <c r="CL51" s="23"/>
      <c r="CM51" s="23"/>
      <c r="CN51" s="23"/>
      <c r="CO51" s="23"/>
      <c r="CP51" s="23"/>
      <c r="CQ51" s="23"/>
      <c r="CR51" s="23"/>
      <c r="CS51" s="23"/>
      <c r="CT51" s="23"/>
      <c r="CU51" s="23"/>
      <c r="CV51" s="23"/>
      <c r="CW51" s="23"/>
      <c r="CX51" s="23"/>
      <c r="CY51" s="23"/>
      <c r="CZ51" s="23"/>
      <c r="DA51" s="99"/>
      <c r="DB51" s="100"/>
      <c r="DC51" s="100"/>
      <c r="DD51" s="101"/>
      <c r="DE51" s="37"/>
      <c r="DF51" s="37"/>
      <c r="DG51" s="37"/>
      <c r="DH51" s="37"/>
      <c r="DI51" s="37"/>
      <c r="DJ51" s="37"/>
      <c r="DK51" s="23"/>
      <c r="DL51" s="23"/>
      <c r="DM51" s="23"/>
      <c r="DN51" s="23"/>
      <c r="DO51" s="23"/>
      <c r="DP51" s="23"/>
      <c r="DQ51" s="23"/>
      <c r="DR51" s="23"/>
      <c r="DS51" s="23"/>
      <c r="DT51" s="23"/>
      <c r="DU51" s="23"/>
      <c r="DV51" s="23"/>
      <c r="DW51" s="23"/>
      <c r="DX51" s="23"/>
      <c r="DY51" s="23"/>
      <c r="DZ51" s="99"/>
      <c r="EA51" s="100"/>
      <c r="EB51" s="100"/>
      <c r="EC51" s="101"/>
      <c r="ED51" s="37"/>
      <c r="EE51" s="37"/>
      <c r="EF51" s="37"/>
      <c r="EG51" s="37"/>
      <c r="EH51" s="37"/>
      <c r="EI51" s="37"/>
      <c r="EJ51" s="23"/>
      <c r="EK51" s="23"/>
      <c r="EL51" s="23"/>
      <c r="EM51" s="23"/>
      <c r="EN51" s="23"/>
      <c r="EO51" s="23"/>
      <c r="EP51" s="23"/>
      <c r="EQ51" s="23"/>
      <c r="ER51" s="23"/>
      <c r="ES51" s="2"/>
      <c r="ET51" s="2"/>
      <c r="EU51" s="2"/>
      <c r="EV51" s="2"/>
      <c r="EW51" s="2"/>
      <c r="EX51" s="2"/>
      <c r="EY51" s="2"/>
      <c r="EZ51" s="2"/>
      <c r="FA51" s="2"/>
      <c r="FB51" s="2"/>
      <c r="FC51" s="2"/>
      <c r="FD51" s="2"/>
      <c r="FE51" s="2"/>
      <c r="FF51" s="2"/>
      <c r="FG51" s="2"/>
      <c r="FH51" s="2"/>
      <c r="FI51" s="2"/>
      <c r="FJ51" s="2"/>
      <c r="FK51" s="2"/>
      <c r="FL51" s="2"/>
      <c r="FM51" s="2"/>
      <c r="FN51" s="2"/>
      <c r="FO51" s="2"/>
      <c r="FP51" s="23"/>
      <c r="FQ51" s="23"/>
      <c r="FR51" s="23"/>
      <c r="FS51" s="23"/>
    </row>
    <row r="52" spans="1:175" ht="14.5" customHeight="1" x14ac:dyDescent="0.35">
      <c r="A52" s="23"/>
      <c r="B52" s="23"/>
      <c r="C52" s="23"/>
      <c r="D52" s="23"/>
      <c r="E52" s="94" t="s">
        <v>68</v>
      </c>
      <c r="F52" s="107">
        <f>SUM(D35+AC35+BB35+CA35+CZ35+DY35+EX35)</f>
        <v>8055</v>
      </c>
      <c r="G52" s="120"/>
      <c r="H52" s="120"/>
      <c r="I52" s="23"/>
      <c r="J52" s="23"/>
      <c r="K52" s="23"/>
      <c r="L52" s="23"/>
      <c r="M52" s="23"/>
      <c r="N52" s="23"/>
      <c r="O52" s="23"/>
      <c r="P52" s="23"/>
      <c r="Q52" s="23"/>
      <c r="R52" s="23"/>
      <c r="S52" s="23"/>
      <c r="T52" s="23"/>
      <c r="U52" s="23"/>
      <c r="V52" s="23"/>
      <c r="W52" s="23"/>
      <c r="X52" s="23"/>
      <c r="Y52" s="23"/>
      <c r="Z52" s="23"/>
      <c r="AA52" s="23"/>
      <c r="AB52" s="23"/>
      <c r="AC52" s="23"/>
      <c r="AD52" s="39"/>
      <c r="AE52" s="39"/>
      <c r="AF52" s="39"/>
      <c r="AG52" s="39"/>
      <c r="AH52" s="23"/>
      <c r="AI52" s="23"/>
      <c r="AJ52" s="23"/>
      <c r="AK52" s="23"/>
      <c r="AL52" s="23"/>
      <c r="AM52" s="23"/>
      <c r="AN52" s="23"/>
      <c r="AO52" s="23"/>
      <c r="AP52" s="23"/>
      <c r="AQ52" s="23"/>
      <c r="AR52" s="23"/>
      <c r="AS52" s="23"/>
      <c r="AT52" s="23"/>
      <c r="AU52" s="23"/>
      <c r="AV52" s="23"/>
      <c r="AW52" s="23"/>
      <c r="AX52" s="23"/>
      <c r="AY52" s="23"/>
      <c r="AZ52" s="23"/>
      <c r="BA52" s="23"/>
      <c r="BB52" s="23"/>
      <c r="BC52" s="79"/>
      <c r="BD52" s="79"/>
      <c r="BE52" s="79"/>
      <c r="BF52" s="79"/>
      <c r="BG52" s="23"/>
      <c r="BH52" s="23"/>
      <c r="BI52" s="23"/>
      <c r="BJ52" s="23"/>
      <c r="BK52" s="23"/>
      <c r="BL52" s="23"/>
      <c r="BM52" s="23"/>
      <c r="BN52" s="23"/>
      <c r="BO52" s="23"/>
      <c r="BP52" s="23"/>
      <c r="BQ52" s="23"/>
      <c r="BR52" s="23"/>
      <c r="BS52" s="23"/>
      <c r="BT52" s="23"/>
      <c r="BU52" s="23"/>
      <c r="BV52" s="23"/>
      <c r="BW52" s="23"/>
      <c r="BX52" s="23"/>
      <c r="BY52" s="23"/>
      <c r="BZ52" s="23"/>
      <c r="CA52" s="23"/>
      <c r="CB52" s="80" t="s">
        <v>68</v>
      </c>
      <c r="CC52" s="76"/>
      <c r="CD52" s="77"/>
      <c r="CE52" s="77"/>
      <c r="CF52" s="23"/>
      <c r="CG52" s="23"/>
      <c r="CH52" s="23"/>
      <c r="CI52" s="23"/>
      <c r="CJ52" s="23"/>
      <c r="CK52" s="23"/>
      <c r="CL52" s="23"/>
      <c r="CM52" s="23"/>
      <c r="CN52" s="23"/>
      <c r="CO52" s="23"/>
      <c r="CP52" s="23"/>
      <c r="CQ52" s="23"/>
      <c r="CR52" s="23"/>
      <c r="CS52" s="23"/>
      <c r="CT52" s="23"/>
      <c r="CU52" s="23"/>
      <c r="CV52" s="23"/>
      <c r="CW52" s="23"/>
      <c r="CX52" s="23"/>
      <c r="CY52" s="23"/>
      <c r="CZ52" s="23"/>
      <c r="DA52" s="80" t="s">
        <v>68</v>
      </c>
      <c r="DB52" s="76"/>
      <c r="DC52" s="77"/>
      <c r="DD52" s="77"/>
      <c r="DE52" s="23"/>
      <c r="DF52" s="23"/>
      <c r="DG52" s="23"/>
      <c r="DH52" s="23"/>
      <c r="DI52" s="23"/>
      <c r="DJ52" s="23"/>
      <c r="DK52" s="23"/>
      <c r="DL52" s="23"/>
      <c r="DM52" s="23"/>
      <c r="DN52" s="23"/>
      <c r="DO52" s="23"/>
      <c r="DP52" s="23"/>
      <c r="DQ52" s="23"/>
      <c r="DR52" s="23"/>
      <c r="DS52" s="23"/>
      <c r="DT52" s="23"/>
      <c r="DU52" s="23"/>
      <c r="DV52" s="23"/>
      <c r="DW52" s="23"/>
      <c r="DX52" s="23"/>
      <c r="DY52" s="23"/>
      <c r="DZ52" s="80" t="s">
        <v>68</v>
      </c>
      <c r="EA52" s="76"/>
      <c r="EB52" s="77"/>
      <c r="EC52" s="77"/>
      <c r="ED52" s="23"/>
      <c r="EE52" s="23"/>
      <c r="EF52" s="23"/>
      <c r="EG52" s="23"/>
      <c r="EH52" s="23"/>
      <c r="EI52" s="23"/>
      <c r="EJ52" s="23"/>
      <c r="EK52" s="23"/>
      <c r="EL52" s="23"/>
      <c r="EM52" s="23"/>
      <c r="EN52" s="23"/>
      <c r="EO52" s="23"/>
      <c r="EP52" s="23"/>
      <c r="EQ52" s="23"/>
      <c r="ER52" s="23"/>
      <c r="ES52" s="2"/>
      <c r="ET52" s="2"/>
      <c r="EU52" s="2"/>
      <c r="EV52" s="2"/>
      <c r="EW52" s="2"/>
      <c r="EX52" s="2"/>
      <c r="EY52" s="2"/>
      <c r="EZ52" s="2"/>
      <c r="FA52" s="2"/>
      <c r="FB52" s="2"/>
      <c r="FC52" s="2"/>
      <c r="FD52" s="2"/>
      <c r="FE52" s="2"/>
      <c r="FF52" s="2"/>
      <c r="FG52" s="2"/>
      <c r="FH52" s="2"/>
      <c r="FI52" s="2"/>
      <c r="FJ52" s="2"/>
      <c r="FK52" s="2"/>
      <c r="FL52" s="2"/>
      <c r="FM52" s="2"/>
      <c r="FN52" s="2"/>
      <c r="FO52" s="2"/>
      <c r="FP52" s="23"/>
      <c r="FQ52" s="23"/>
      <c r="FR52" s="23"/>
      <c r="FS52" s="23"/>
    </row>
    <row r="53" spans="1:175" ht="14.5" customHeight="1" x14ac:dyDescent="0.35">
      <c r="A53" s="23"/>
      <c r="B53" s="23"/>
      <c r="C53" s="23"/>
      <c r="D53" s="23"/>
      <c r="E53" s="94"/>
      <c r="F53" s="109"/>
      <c r="G53" s="121"/>
      <c r="H53" s="121"/>
      <c r="I53" s="23"/>
      <c r="J53" s="23"/>
      <c r="K53" s="23"/>
      <c r="L53" s="23"/>
      <c r="M53" s="23"/>
      <c r="N53" s="23"/>
      <c r="O53" s="23"/>
      <c r="P53" s="23"/>
      <c r="Q53" s="23"/>
      <c r="R53" s="23"/>
      <c r="S53" s="23"/>
      <c r="T53" s="23"/>
      <c r="U53" s="23"/>
      <c r="V53" s="23"/>
      <c r="W53" s="23"/>
      <c r="X53" s="23"/>
      <c r="Y53" s="23"/>
      <c r="Z53" s="23"/>
      <c r="AA53" s="23"/>
      <c r="AB53" s="23"/>
      <c r="AC53" s="23"/>
      <c r="AD53" s="39"/>
      <c r="AE53" s="39"/>
      <c r="AF53" s="39"/>
      <c r="AG53" s="39"/>
      <c r="AH53" s="23"/>
      <c r="AI53" s="23"/>
      <c r="AJ53" s="23"/>
      <c r="AK53" s="23"/>
      <c r="AL53" s="23"/>
      <c r="AM53" s="23"/>
      <c r="AN53" s="23"/>
      <c r="AO53" s="23"/>
      <c r="AP53" s="23"/>
      <c r="AQ53" s="23"/>
      <c r="AR53" s="23"/>
      <c r="AS53" s="23"/>
      <c r="AT53" s="23"/>
      <c r="AU53" s="23"/>
      <c r="AV53" s="23"/>
      <c r="AW53" s="23"/>
      <c r="AX53" s="23"/>
      <c r="AY53" s="23"/>
      <c r="AZ53" s="23"/>
      <c r="BA53" s="23"/>
      <c r="BB53" s="23"/>
      <c r="BC53" s="79"/>
      <c r="BD53" s="79"/>
      <c r="BE53" s="79"/>
      <c r="BF53" s="79"/>
      <c r="BG53" s="23"/>
      <c r="BH53" s="23"/>
      <c r="BI53" s="23"/>
      <c r="BJ53" s="23"/>
      <c r="BK53" s="23"/>
      <c r="BL53" s="23"/>
      <c r="BM53" s="23"/>
      <c r="BN53" s="23"/>
      <c r="BO53" s="23"/>
      <c r="BP53" s="23"/>
      <c r="BQ53" s="23"/>
      <c r="BR53" s="23"/>
      <c r="BS53" s="23"/>
      <c r="BT53" s="23"/>
      <c r="BU53" s="23"/>
      <c r="BV53" s="23"/>
      <c r="BW53" s="23"/>
      <c r="BX53" s="23"/>
      <c r="BY53" s="23"/>
      <c r="BZ53" s="23"/>
      <c r="CA53" s="23"/>
      <c r="CB53" s="80"/>
      <c r="CC53" s="78"/>
      <c r="CD53" s="79"/>
      <c r="CE53" s="79"/>
      <c r="CF53" s="23"/>
      <c r="CG53" s="23"/>
      <c r="CH53" s="23"/>
      <c r="CI53" s="23"/>
      <c r="CJ53" s="23"/>
      <c r="CK53" s="23"/>
      <c r="CL53" s="23"/>
      <c r="CM53" s="23"/>
      <c r="CN53" s="23"/>
      <c r="CO53" s="23"/>
      <c r="CP53" s="23"/>
      <c r="CQ53" s="23"/>
      <c r="CR53" s="23"/>
      <c r="CS53" s="23"/>
      <c r="CT53" s="23"/>
      <c r="CU53" s="23"/>
      <c r="CV53" s="23"/>
      <c r="CW53" s="23"/>
      <c r="CX53" s="23"/>
      <c r="CY53" s="23"/>
      <c r="CZ53" s="23"/>
      <c r="DA53" s="80"/>
      <c r="DB53" s="78"/>
      <c r="DC53" s="79"/>
      <c r="DD53" s="79"/>
      <c r="DE53" s="23"/>
      <c r="DF53" s="23"/>
      <c r="DG53" s="23"/>
      <c r="DH53" s="23"/>
      <c r="DI53" s="23"/>
      <c r="DJ53" s="23"/>
      <c r="DK53" s="23"/>
      <c r="DL53" s="23"/>
      <c r="DM53" s="23"/>
      <c r="DN53" s="23"/>
      <c r="DO53" s="23"/>
      <c r="DP53" s="23"/>
      <c r="DQ53" s="23"/>
      <c r="DR53" s="23"/>
      <c r="DS53" s="23"/>
      <c r="DT53" s="23"/>
      <c r="DU53" s="23"/>
      <c r="DV53" s="23"/>
      <c r="DW53" s="23"/>
      <c r="DX53" s="23"/>
      <c r="DY53" s="23"/>
      <c r="DZ53" s="80"/>
      <c r="EA53" s="78"/>
      <c r="EB53" s="79"/>
      <c r="EC53" s="79"/>
      <c r="ED53" s="23"/>
      <c r="EE53" s="23"/>
      <c r="EF53" s="23"/>
      <c r="EG53" s="23"/>
      <c r="EH53" s="23"/>
      <c r="EI53" s="23"/>
      <c r="EJ53" s="23"/>
      <c r="EK53" s="23"/>
      <c r="EL53" s="23"/>
      <c r="EM53" s="23"/>
      <c r="EN53" s="23"/>
      <c r="EO53" s="23"/>
      <c r="EP53" s="23"/>
      <c r="EQ53" s="23"/>
      <c r="ER53" s="23"/>
      <c r="ES53" s="2"/>
      <c r="ET53" s="2"/>
      <c r="EU53" s="2"/>
      <c r="EV53" s="2"/>
      <c r="EW53" s="2"/>
      <c r="EX53" s="2"/>
      <c r="EY53" s="2"/>
      <c r="EZ53" s="2"/>
      <c r="FA53" s="2"/>
      <c r="FB53" s="2"/>
      <c r="FC53" s="2"/>
      <c r="FD53" s="2"/>
      <c r="FE53" s="2"/>
      <c r="FF53" s="2"/>
      <c r="FG53" s="2"/>
      <c r="FH53" s="2"/>
      <c r="FI53" s="2"/>
      <c r="FJ53" s="2"/>
      <c r="FK53" s="2"/>
      <c r="FL53" s="2"/>
      <c r="FM53" s="2"/>
      <c r="FN53" s="2"/>
      <c r="FO53" s="2"/>
      <c r="FP53" s="23"/>
      <c r="FQ53" s="23"/>
      <c r="FR53" s="23"/>
      <c r="FS53" s="23"/>
    </row>
    <row r="54" spans="1:175" ht="14.5" customHeight="1" x14ac:dyDescent="0.35">
      <c r="A54" s="23"/>
      <c r="B54" s="23"/>
      <c r="C54" s="23"/>
      <c r="D54" s="23"/>
      <c r="E54" s="94"/>
      <c r="F54" s="109"/>
      <c r="G54" s="121"/>
      <c r="H54" s="121"/>
      <c r="I54" s="23"/>
      <c r="J54" s="23"/>
      <c r="K54" s="23"/>
      <c r="L54" s="23"/>
      <c r="M54" s="23"/>
      <c r="N54" s="23"/>
      <c r="O54" s="23"/>
      <c r="P54" s="23"/>
      <c r="Q54" s="23"/>
      <c r="R54" s="23"/>
      <c r="S54" s="23"/>
      <c r="T54" s="23"/>
      <c r="U54" s="23"/>
      <c r="V54" s="23"/>
      <c r="W54" s="23"/>
      <c r="X54" s="23"/>
      <c r="Y54" s="23"/>
      <c r="Z54" s="23"/>
      <c r="AA54" s="23"/>
      <c r="AB54" s="23"/>
      <c r="AC54" s="23"/>
      <c r="AD54" s="39"/>
      <c r="AE54" s="39"/>
      <c r="AF54" s="39"/>
      <c r="AG54" s="39"/>
      <c r="AH54" s="23"/>
      <c r="AI54" s="23"/>
      <c r="AJ54" s="23"/>
      <c r="AK54" s="23"/>
      <c r="AL54" s="23"/>
      <c r="AM54" s="23"/>
      <c r="AN54" s="23"/>
      <c r="AO54" s="23"/>
      <c r="AP54" s="23"/>
      <c r="AQ54" s="23"/>
      <c r="AR54" s="23"/>
      <c r="AS54" s="23"/>
      <c r="AT54" s="23"/>
      <c r="AU54" s="23"/>
      <c r="AV54" s="23"/>
      <c r="AW54" s="23"/>
      <c r="AX54" s="23"/>
      <c r="AY54" s="23"/>
      <c r="AZ54" s="23"/>
      <c r="BA54" s="23"/>
      <c r="BB54" s="23"/>
      <c r="BC54" s="79"/>
      <c r="BD54" s="79"/>
      <c r="BE54" s="79"/>
      <c r="BF54" s="79"/>
      <c r="BG54" s="23"/>
      <c r="BH54" s="23"/>
      <c r="BI54" s="23"/>
      <c r="BJ54" s="23"/>
      <c r="BK54" s="23"/>
      <c r="BL54" s="23"/>
      <c r="BM54" s="23"/>
      <c r="BN54" s="23"/>
      <c r="BO54" s="23"/>
      <c r="BP54" s="23"/>
      <c r="BQ54" s="23"/>
      <c r="BR54" s="23"/>
      <c r="BS54" s="23"/>
      <c r="BT54" s="23"/>
      <c r="BU54" s="23"/>
      <c r="BV54" s="23"/>
      <c r="BW54" s="23"/>
      <c r="BX54" s="23"/>
      <c r="BY54" s="23"/>
      <c r="BZ54" s="23"/>
      <c r="CA54" s="23"/>
      <c r="CB54" s="80"/>
      <c r="CC54" s="78"/>
      <c r="CD54" s="79"/>
      <c r="CE54" s="79"/>
      <c r="CF54" s="23"/>
      <c r="CG54" s="23"/>
      <c r="CH54" s="23"/>
      <c r="CI54" s="23"/>
      <c r="CJ54" s="23"/>
      <c r="CK54" s="23"/>
      <c r="CL54" s="23"/>
      <c r="CM54" s="23"/>
      <c r="CN54" s="23"/>
      <c r="CO54" s="23"/>
      <c r="CP54" s="23"/>
      <c r="CQ54" s="23"/>
      <c r="CR54" s="23"/>
      <c r="CS54" s="23"/>
      <c r="CT54" s="23"/>
      <c r="CU54" s="23"/>
      <c r="CV54" s="23"/>
      <c r="CW54" s="23"/>
      <c r="CX54" s="23"/>
      <c r="CY54" s="23"/>
      <c r="CZ54" s="23"/>
      <c r="DA54" s="80"/>
      <c r="DB54" s="78"/>
      <c r="DC54" s="79"/>
      <c r="DD54" s="79"/>
      <c r="DE54" s="23"/>
      <c r="DF54" s="23"/>
      <c r="DG54" s="23"/>
      <c r="DH54" s="23"/>
      <c r="DI54" s="23"/>
      <c r="DJ54" s="23"/>
      <c r="DK54" s="23"/>
      <c r="DL54" s="23"/>
      <c r="DM54" s="23"/>
      <c r="DN54" s="23"/>
      <c r="DO54" s="23"/>
      <c r="DP54" s="23"/>
      <c r="DQ54" s="23"/>
      <c r="DR54" s="23"/>
      <c r="DS54" s="23"/>
      <c r="DT54" s="23"/>
      <c r="DU54" s="23"/>
      <c r="DV54" s="23"/>
      <c r="DW54" s="23"/>
      <c r="DX54" s="23"/>
      <c r="DY54" s="23"/>
      <c r="DZ54" s="80"/>
      <c r="EA54" s="78"/>
      <c r="EB54" s="79"/>
      <c r="EC54" s="79"/>
      <c r="ED54" s="23"/>
      <c r="EE54" s="23"/>
      <c r="EF54" s="23"/>
      <c r="EG54" s="23"/>
      <c r="EH54" s="23"/>
      <c r="EI54" s="23"/>
      <c r="EJ54" s="23"/>
      <c r="EK54" s="23"/>
      <c r="EL54" s="23"/>
      <c r="EM54" s="23"/>
      <c r="EN54" s="23"/>
      <c r="EO54" s="23"/>
      <c r="EP54" s="23"/>
      <c r="EQ54" s="23"/>
      <c r="ER54" s="23"/>
      <c r="ES54" s="2"/>
      <c r="ET54" s="2"/>
      <c r="EU54" s="2"/>
      <c r="EV54" s="2"/>
      <c r="EW54" s="2"/>
      <c r="EX54" s="2"/>
      <c r="EY54" s="2"/>
      <c r="EZ54" s="2"/>
      <c r="FA54" s="2"/>
      <c r="FB54" s="2"/>
      <c r="FC54" s="2"/>
      <c r="FD54" s="2"/>
      <c r="FE54" s="2"/>
      <c r="FF54" s="2"/>
      <c r="FG54" s="2"/>
      <c r="FH54" s="2"/>
      <c r="FI54" s="2"/>
      <c r="FJ54" s="2"/>
      <c r="FK54" s="2"/>
      <c r="FL54" s="2"/>
      <c r="FM54" s="2"/>
      <c r="FN54" s="2"/>
      <c r="FO54" s="2"/>
      <c r="FP54" s="23"/>
      <c r="FQ54" s="23"/>
      <c r="FR54" s="23"/>
      <c r="FS54" s="23"/>
    </row>
    <row r="55" spans="1:175" ht="15" customHeight="1" thickBot="1" x14ac:dyDescent="0.4">
      <c r="A55" s="23"/>
      <c r="B55" s="23"/>
      <c r="C55" s="23"/>
      <c r="D55" s="23"/>
      <c r="E55" s="95"/>
      <c r="F55" s="109"/>
      <c r="G55" s="121"/>
      <c r="H55" s="121"/>
      <c r="I55" s="23"/>
      <c r="J55" s="23"/>
      <c r="K55" s="23"/>
      <c r="L55" s="23"/>
      <c r="M55" s="23"/>
      <c r="N55" s="23"/>
      <c r="O55" s="23"/>
      <c r="P55" s="23"/>
      <c r="Q55" s="23"/>
      <c r="R55" s="23"/>
      <c r="S55" s="23"/>
      <c r="T55" s="23"/>
      <c r="U55" s="23"/>
      <c r="V55" s="23"/>
      <c r="W55" s="23"/>
      <c r="X55" s="23"/>
      <c r="Y55" s="23"/>
      <c r="Z55" s="23"/>
      <c r="AA55" s="23"/>
      <c r="AB55" s="23"/>
      <c r="AC55" s="23"/>
      <c r="AD55" s="39"/>
      <c r="AE55" s="39"/>
      <c r="AF55" s="39"/>
      <c r="AG55" s="39"/>
      <c r="AH55" s="23"/>
      <c r="AI55" s="23"/>
      <c r="AJ55" s="23"/>
      <c r="AK55" s="23"/>
      <c r="AL55" s="23"/>
      <c r="AM55" s="23"/>
      <c r="AN55" s="23"/>
      <c r="AO55" s="23"/>
      <c r="AP55" s="23"/>
      <c r="AQ55" s="23"/>
      <c r="AR55" s="23"/>
      <c r="AS55" s="23"/>
      <c r="AT55" s="23"/>
      <c r="AU55" s="23"/>
      <c r="AV55" s="23"/>
      <c r="AW55" s="23"/>
      <c r="AX55" s="23"/>
      <c r="AY55" s="23"/>
      <c r="AZ55" s="23"/>
      <c r="BA55" s="23"/>
      <c r="BB55" s="23"/>
      <c r="BC55" s="79"/>
      <c r="BD55" s="79"/>
      <c r="BE55" s="79"/>
      <c r="BF55" s="79"/>
      <c r="BG55" s="23"/>
      <c r="BH55" s="23"/>
      <c r="BI55" s="23"/>
      <c r="BJ55" s="23"/>
      <c r="BK55" s="23"/>
      <c r="BL55" s="23"/>
      <c r="BM55" s="23"/>
      <c r="BN55" s="23"/>
      <c r="BO55" s="23"/>
      <c r="BP55" s="23"/>
      <c r="BQ55" s="23"/>
      <c r="BR55" s="23"/>
      <c r="BS55" s="23"/>
      <c r="BT55" s="23"/>
      <c r="BU55" s="23"/>
      <c r="BV55" s="23"/>
      <c r="BW55" s="23"/>
      <c r="BX55" s="23"/>
      <c r="BY55" s="23"/>
      <c r="BZ55" s="23"/>
      <c r="CA55" s="23"/>
      <c r="CB55" s="81"/>
      <c r="CC55" s="78"/>
      <c r="CD55" s="79"/>
      <c r="CE55" s="79"/>
      <c r="CF55" s="23"/>
      <c r="CG55" s="23"/>
      <c r="CH55" s="23"/>
      <c r="CI55" s="23"/>
      <c r="CJ55" s="23"/>
      <c r="CK55" s="23"/>
      <c r="CL55" s="23"/>
      <c r="CM55" s="23"/>
      <c r="CN55" s="23"/>
      <c r="CO55" s="23"/>
      <c r="CP55" s="23"/>
      <c r="CQ55" s="23"/>
      <c r="CR55" s="23"/>
      <c r="CS55" s="23"/>
      <c r="CT55" s="23"/>
      <c r="CU55" s="23"/>
      <c r="CV55" s="23"/>
      <c r="CW55" s="23"/>
      <c r="CX55" s="23"/>
      <c r="CY55" s="23"/>
      <c r="CZ55" s="23"/>
      <c r="DA55" s="81"/>
      <c r="DB55" s="78"/>
      <c r="DC55" s="79"/>
      <c r="DD55" s="79"/>
      <c r="DE55" s="23"/>
      <c r="DF55" s="23"/>
      <c r="DG55" s="23"/>
      <c r="DH55" s="23"/>
      <c r="DI55" s="23"/>
      <c r="DJ55" s="23"/>
      <c r="DK55" s="23"/>
      <c r="DL55" s="23"/>
      <c r="DM55" s="23"/>
      <c r="DN55" s="23"/>
      <c r="DO55" s="23"/>
      <c r="DP55" s="23"/>
      <c r="DQ55" s="23"/>
      <c r="DR55" s="23"/>
      <c r="DS55" s="23"/>
      <c r="DT55" s="23"/>
      <c r="DU55" s="23"/>
      <c r="DV55" s="23"/>
      <c r="DW55" s="23"/>
      <c r="DX55" s="23"/>
      <c r="DY55" s="23"/>
      <c r="DZ55" s="81"/>
      <c r="EA55" s="78"/>
      <c r="EB55" s="79"/>
      <c r="EC55" s="79"/>
      <c r="ED55" s="23"/>
      <c r="EE55" s="23"/>
      <c r="EF55" s="23"/>
      <c r="EG55" s="23"/>
      <c r="EH55" s="23"/>
      <c r="EI55" s="23"/>
      <c r="EJ55" s="23"/>
      <c r="EK55" s="23"/>
      <c r="EL55" s="23"/>
      <c r="EM55" s="23"/>
      <c r="EN55" s="23"/>
      <c r="EO55" s="23"/>
      <c r="EP55" s="23"/>
      <c r="EQ55" s="23"/>
      <c r="ER55" s="23"/>
      <c r="ES55" s="2"/>
      <c r="ET55" s="2"/>
      <c r="EU55" s="2"/>
      <c r="EV55" s="2"/>
      <c r="EW55" s="2"/>
      <c r="EX55" s="2"/>
      <c r="EY55" s="2"/>
      <c r="EZ55" s="2"/>
      <c r="FA55" s="2"/>
      <c r="FB55" s="2"/>
      <c r="FC55" s="2"/>
      <c r="FD55" s="2"/>
      <c r="FE55" s="2"/>
      <c r="FF55" s="2"/>
      <c r="FG55" s="2"/>
      <c r="FH55" s="2"/>
      <c r="FI55" s="2"/>
      <c r="FJ55" s="2"/>
      <c r="FK55" s="2"/>
      <c r="FL55" s="2"/>
      <c r="FM55" s="2"/>
      <c r="FN55" s="2"/>
      <c r="FO55" s="2"/>
      <c r="FP55" s="23"/>
      <c r="FQ55" s="23"/>
      <c r="FR55" s="23"/>
      <c r="FS55" s="23"/>
    </row>
    <row r="56" spans="1:175" ht="14.5" customHeight="1" x14ac:dyDescent="0.35">
      <c r="A56" s="23"/>
      <c r="B56" s="23"/>
      <c r="C56" s="23"/>
      <c r="D56" s="23"/>
      <c r="E56" s="94" t="s">
        <v>70</v>
      </c>
      <c r="F56" s="107">
        <f>D39+AC39+BB39+CA39+CZ39+DY39+EX39</f>
        <v>47778.13314162031</v>
      </c>
      <c r="G56" s="120"/>
      <c r="H56" s="120"/>
      <c r="I56" s="23"/>
      <c r="J56" s="23"/>
      <c r="K56" s="23"/>
      <c r="L56" s="23"/>
      <c r="M56" s="23"/>
      <c r="N56" s="23"/>
      <c r="O56" s="23"/>
      <c r="P56" s="23"/>
      <c r="Q56" s="23"/>
      <c r="R56" s="23"/>
      <c r="S56" s="23"/>
      <c r="T56" s="23"/>
      <c r="U56" s="23"/>
      <c r="V56" s="23"/>
      <c r="W56" s="23"/>
      <c r="X56" s="23"/>
      <c r="Y56" s="23"/>
      <c r="Z56" s="23"/>
      <c r="AA56" s="23"/>
      <c r="AB56" s="23"/>
      <c r="AC56" s="23"/>
      <c r="AD56" s="39"/>
      <c r="AE56" s="39"/>
      <c r="AF56" s="39"/>
      <c r="AG56" s="39"/>
      <c r="AH56" s="23"/>
      <c r="AI56" s="23"/>
      <c r="AJ56" s="23"/>
      <c r="AK56" s="23"/>
      <c r="AL56" s="23"/>
      <c r="AM56" s="23"/>
      <c r="AN56" s="23"/>
      <c r="AO56" s="23"/>
      <c r="AP56" s="23"/>
      <c r="AQ56" s="23"/>
      <c r="AR56" s="23"/>
      <c r="AS56" s="23"/>
      <c r="AT56" s="23"/>
      <c r="AU56" s="23"/>
      <c r="AV56" s="23"/>
      <c r="AW56" s="23"/>
      <c r="AX56" s="23"/>
      <c r="AY56" s="23"/>
      <c r="AZ56" s="23"/>
      <c r="BA56" s="23"/>
      <c r="BB56" s="23"/>
      <c r="BC56" s="79"/>
      <c r="BD56" s="79"/>
      <c r="BE56" s="79"/>
      <c r="BF56" s="79"/>
      <c r="BG56" s="23"/>
      <c r="BH56" s="23"/>
      <c r="BI56" s="23"/>
      <c r="BJ56" s="23"/>
      <c r="BK56" s="23"/>
      <c r="BL56" s="23"/>
      <c r="BM56" s="23"/>
      <c r="BN56" s="23"/>
      <c r="BO56" s="23"/>
      <c r="BP56" s="23"/>
      <c r="BQ56" s="23"/>
      <c r="BR56" s="23"/>
      <c r="BS56" s="23"/>
      <c r="BT56" s="23"/>
      <c r="BU56" s="23"/>
      <c r="BV56" s="23"/>
      <c r="BW56" s="23"/>
      <c r="BX56" s="23"/>
      <c r="BY56" s="23"/>
      <c r="BZ56" s="23"/>
      <c r="CA56" s="23"/>
      <c r="CB56" s="80" t="s">
        <v>70</v>
      </c>
      <c r="CC56" s="76"/>
      <c r="CD56" s="77"/>
      <c r="CE56" s="77"/>
      <c r="CF56" s="23"/>
      <c r="CG56" s="23"/>
      <c r="CH56" s="23"/>
      <c r="CI56" s="23"/>
      <c r="CJ56" s="23"/>
      <c r="CK56" s="23"/>
      <c r="CL56" s="23"/>
      <c r="CM56" s="23"/>
      <c r="CN56" s="23"/>
      <c r="CO56" s="23"/>
      <c r="CP56" s="23"/>
      <c r="CQ56" s="23"/>
      <c r="CR56" s="23"/>
      <c r="CS56" s="23"/>
      <c r="CT56" s="23"/>
      <c r="CU56" s="23"/>
      <c r="CV56" s="23"/>
      <c r="CW56" s="23"/>
      <c r="CX56" s="23"/>
      <c r="CY56" s="23"/>
      <c r="CZ56" s="23"/>
      <c r="DA56" s="80" t="s">
        <v>70</v>
      </c>
      <c r="DB56" s="76"/>
      <c r="DC56" s="77"/>
      <c r="DD56" s="77"/>
      <c r="DE56" s="23"/>
      <c r="DF56" s="23"/>
      <c r="DG56" s="23"/>
      <c r="DH56" s="23"/>
      <c r="DI56" s="23"/>
      <c r="DJ56" s="23"/>
      <c r="DK56" s="23"/>
      <c r="DL56" s="23"/>
      <c r="DM56" s="23"/>
      <c r="DN56" s="23"/>
      <c r="DO56" s="23"/>
      <c r="DP56" s="23"/>
      <c r="DQ56" s="23"/>
      <c r="DR56" s="23"/>
      <c r="DS56" s="23"/>
      <c r="DT56" s="23"/>
      <c r="DU56" s="23"/>
      <c r="DV56" s="23"/>
      <c r="DW56" s="23"/>
      <c r="DX56" s="23"/>
      <c r="DY56" s="23"/>
      <c r="DZ56" s="80" t="s">
        <v>70</v>
      </c>
      <c r="EA56" s="76"/>
      <c r="EB56" s="77"/>
      <c r="EC56" s="77"/>
      <c r="ED56" s="23"/>
      <c r="EE56" s="23"/>
      <c r="EF56" s="23"/>
      <c r="EG56" s="23"/>
      <c r="EH56" s="23"/>
      <c r="EI56" s="23"/>
      <c r="EJ56" s="23"/>
      <c r="EK56" s="23"/>
      <c r="EL56" s="23"/>
      <c r="EM56" s="23"/>
      <c r="EN56" s="23"/>
      <c r="EO56" s="23"/>
      <c r="EP56" s="23"/>
      <c r="EQ56" s="23"/>
      <c r="ER56" s="23"/>
      <c r="ES56" s="2"/>
      <c r="ET56" s="2"/>
      <c r="EU56" s="2"/>
      <c r="EV56" s="2"/>
      <c r="EW56" s="2"/>
      <c r="EX56" s="2"/>
      <c r="EY56" s="2"/>
      <c r="EZ56" s="2"/>
      <c r="FA56" s="2"/>
      <c r="FB56" s="2"/>
      <c r="FC56" s="2"/>
      <c r="FD56" s="2"/>
      <c r="FE56" s="2"/>
      <c r="FF56" s="2"/>
      <c r="FG56" s="2"/>
      <c r="FH56" s="2"/>
      <c r="FI56" s="2"/>
      <c r="FJ56" s="2"/>
      <c r="FK56" s="2"/>
      <c r="FL56" s="2"/>
      <c r="FM56" s="2"/>
      <c r="FN56" s="2"/>
      <c r="FO56" s="2"/>
      <c r="FP56" s="23"/>
      <c r="FQ56" s="23"/>
      <c r="FR56" s="23"/>
      <c r="FS56" s="23"/>
    </row>
    <row r="57" spans="1:175" ht="14.5" customHeight="1" x14ac:dyDescent="0.35">
      <c r="A57" s="23"/>
      <c r="B57" s="23"/>
      <c r="C57" s="23"/>
      <c r="D57" s="23"/>
      <c r="E57" s="94"/>
      <c r="F57" s="109"/>
      <c r="G57" s="121"/>
      <c r="H57" s="121"/>
      <c r="I57" s="23"/>
      <c r="J57" s="23"/>
      <c r="K57" s="23"/>
      <c r="L57" s="23"/>
      <c r="M57" s="23"/>
      <c r="N57" s="23"/>
      <c r="O57" s="23"/>
      <c r="P57" s="23"/>
      <c r="Q57" s="23"/>
      <c r="R57" s="23"/>
      <c r="S57" s="23"/>
      <c r="T57" s="23"/>
      <c r="U57" s="23"/>
      <c r="V57" s="23"/>
      <c r="W57" s="23"/>
      <c r="X57" s="23"/>
      <c r="Y57" s="23"/>
      <c r="Z57" s="23"/>
      <c r="AA57" s="23"/>
      <c r="AB57" s="23"/>
      <c r="AC57" s="23"/>
      <c r="AD57" s="39"/>
      <c r="AE57" s="39"/>
      <c r="AF57" s="39"/>
      <c r="AG57" s="39"/>
      <c r="AH57" s="23"/>
      <c r="AI57" s="23"/>
      <c r="AJ57" s="23"/>
      <c r="AK57" s="23"/>
      <c r="AL57" s="23"/>
      <c r="AM57" s="23"/>
      <c r="AN57" s="23"/>
      <c r="AO57" s="23"/>
      <c r="AP57" s="23"/>
      <c r="AQ57" s="23"/>
      <c r="AR57" s="23"/>
      <c r="AS57" s="23"/>
      <c r="AT57" s="23"/>
      <c r="AU57" s="23"/>
      <c r="AV57" s="23"/>
      <c r="AW57" s="23"/>
      <c r="AX57" s="23"/>
      <c r="AY57" s="23"/>
      <c r="AZ57" s="23"/>
      <c r="BA57" s="23"/>
      <c r="BB57" s="23"/>
      <c r="BC57" s="79"/>
      <c r="BD57" s="79"/>
      <c r="BE57" s="79"/>
      <c r="BF57" s="79"/>
      <c r="BG57" s="23"/>
      <c r="BH57" s="23"/>
      <c r="BI57" s="23"/>
      <c r="BJ57" s="23"/>
      <c r="BK57" s="23"/>
      <c r="BL57" s="23"/>
      <c r="BM57" s="23"/>
      <c r="BN57" s="23"/>
      <c r="BO57" s="23"/>
      <c r="BP57" s="23"/>
      <c r="BQ57" s="23"/>
      <c r="BR57" s="23"/>
      <c r="BS57" s="23"/>
      <c r="BT57" s="23"/>
      <c r="BU57" s="23"/>
      <c r="BV57" s="23"/>
      <c r="BW57" s="23"/>
      <c r="BX57" s="23"/>
      <c r="BY57" s="23"/>
      <c r="BZ57" s="23"/>
      <c r="CA57" s="23"/>
      <c r="CB57" s="80"/>
      <c r="CC57" s="78"/>
      <c r="CD57" s="79"/>
      <c r="CE57" s="79"/>
      <c r="CF57" s="23"/>
      <c r="CG57" s="23"/>
      <c r="CH57" s="23"/>
      <c r="CI57" s="23"/>
      <c r="CJ57" s="23"/>
      <c r="CK57" s="23"/>
      <c r="CL57" s="23"/>
      <c r="CM57" s="23"/>
      <c r="CN57" s="23"/>
      <c r="CO57" s="23"/>
      <c r="CP57" s="23"/>
      <c r="CQ57" s="23"/>
      <c r="CR57" s="23"/>
      <c r="CS57" s="23"/>
      <c r="CT57" s="23"/>
      <c r="CU57" s="23"/>
      <c r="CV57" s="23"/>
      <c r="CW57" s="23"/>
      <c r="CX57" s="23"/>
      <c r="CY57" s="23"/>
      <c r="CZ57" s="23"/>
      <c r="DA57" s="80"/>
      <c r="DB57" s="78"/>
      <c r="DC57" s="79"/>
      <c r="DD57" s="79"/>
      <c r="DE57" s="23"/>
      <c r="DF57" s="23"/>
      <c r="DG57" s="23"/>
      <c r="DH57" s="23"/>
      <c r="DI57" s="23"/>
      <c r="DJ57" s="23"/>
      <c r="DK57" s="23"/>
      <c r="DL57" s="23"/>
      <c r="DM57" s="23"/>
      <c r="DN57" s="23"/>
      <c r="DO57" s="23"/>
      <c r="DP57" s="23"/>
      <c r="DQ57" s="23"/>
      <c r="DR57" s="23"/>
      <c r="DS57" s="23"/>
      <c r="DT57" s="23"/>
      <c r="DU57" s="23"/>
      <c r="DV57" s="23"/>
      <c r="DW57" s="23"/>
      <c r="DX57" s="23"/>
      <c r="DY57" s="23"/>
      <c r="DZ57" s="80"/>
      <c r="EA57" s="78"/>
      <c r="EB57" s="79"/>
      <c r="EC57" s="79"/>
      <c r="ED57" s="23"/>
      <c r="EE57" s="23"/>
      <c r="EF57" s="23"/>
      <c r="EG57" s="23"/>
      <c r="EH57" s="23"/>
      <c r="EI57" s="23"/>
      <c r="EJ57" s="23"/>
      <c r="EK57" s="23"/>
      <c r="EL57" s="23"/>
      <c r="EM57" s="23"/>
      <c r="EN57" s="23"/>
      <c r="EO57" s="23"/>
      <c r="EP57" s="23"/>
      <c r="EQ57" s="23"/>
      <c r="ER57" s="23"/>
      <c r="ES57" s="2"/>
      <c r="ET57" s="2"/>
      <c r="EU57" s="2"/>
      <c r="EV57" s="2"/>
      <c r="EW57" s="2"/>
      <c r="EX57" s="2"/>
      <c r="EY57" s="2"/>
      <c r="EZ57" s="2"/>
      <c r="FA57" s="2"/>
      <c r="FB57" s="2"/>
      <c r="FC57" s="2"/>
      <c r="FD57" s="2"/>
      <c r="FE57" s="2"/>
      <c r="FF57" s="2"/>
      <c r="FG57" s="2"/>
      <c r="FH57" s="2"/>
      <c r="FI57" s="2"/>
      <c r="FJ57" s="2"/>
      <c r="FK57" s="2"/>
      <c r="FL57" s="2"/>
      <c r="FM57" s="2"/>
      <c r="FN57" s="2"/>
      <c r="FO57" s="2"/>
      <c r="FP57" s="23"/>
      <c r="FQ57" s="23"/>
      <c r="FR57" s="23"/>
      <c r="FS57" s="23"/>
    </row>
    <row r="58" spans="1:175" ht="14.5" customHeight="1" x14ac:dyDescent="0.35">
      <c r="A58" s="23"/>
      <c r="B58" s="23"/>
      <c r="C58" s="23"/>
      <c r="D58" s="23"/>
      <c r="E58" s="94"/>
      <c r="F58" s="109"/>
      <c r="G58" s="121"/>
      <c r="H58" s="121"/>
      <c r="I58" s="23"/>
      <c r="J58" s="23"/>
      <c r="K58" s="23"/>
      <c r="L58" s="23"/>
      <c r="M58" s="23"/>
      <c r="N58" s="23"/>
      <c r="O58" s="23"/>
      <c r="P58" s="23"/>
      <c r="Q58" s="23"/>
      <c r="R58" s="23"/>
      <c r="S58" s="23"/>
      <c r="T58" s="23"/>
      <c r="U58" s="23"/>
      <c r="V58" s="23"/>
      <c r="W58" s="23"/>
      <c r="X58" s="23"/>
      <c r="Y58" s="23"/>
      <c r="Z58" s="23"/>
      <c r="AA58" s="23"/>
      <c r="AB58" s="23"/>
      <c r="AC58" s="23"/>
      <c r="AD58" s="39"/>
      <c r="AE58" s="39"/>
      <c r="AF58" s="39"/>
      <c r="AG58" s="39"/>
      <c r="AH58" s="23"/>
      <c r="AI58" s="23"/>
      <c r="AJ58" s="23"/>
      <c r="AK58" s="23"/>
      <c r="AL58" s="23"/>
      <c r="AM58" s="23"/>
      <c r="AN58" s="23"/>
      <c r="AO58" s="23"/>
      <c r="AP58" s="23"/>
      <c r="AQ58" s="23"/>
      <c r="AR58" s="23"/>
      <c r="AS58" s="23"/>
      <c r="AT58" s="23"/>
      <c r="AU58" s="23"/>
      <c r="AV58" s="23"/>
      <c r="AW58" s="23"/>
      <c r="AX58" s="23"/>
      <c r="AY58" s="23"/>
      <c r="AZ58" s="23"/>
      <c r="BA58" s="23"/>
      <c r="BB58" s="23"/>
      <c r="BC58" s="79"/>
      <c r="BD58" s="79"/>
      <c r="BE58" s="79"/>
      <c r="BF58" s="79"/>
      <c r="BG58" s="23"/>
      <c r="BH58" s="23"/>
      <c r="BI58" s="23"/>
      <c r="BJ58" s="23"/>
      <c r="BK58" s="23"/>
      <c r="BL58" s="23"/>
      <c r="BM58" s="23"/>
      <c r="BN58" s="23"/>
      <c r="BO58" s="23"/>
      <c r="BP58" s="23"/>
      <c r="BQ58" s="23"/>
      <c r="BR58" s="23"/>
      <c r="BS58" s="23"/>
      <c r="BT58" s="23"/>
      <c r="BU58" s="23"/>
      <c r="BV58" s="23"/>
      <c r="BW58" s="23"/>
      <c r="BX58" s="23"/>
      <c r="BY58" s="23"/>
      <c r="BZ58" s="23"/>
      <c r="CA58" s="23"/>
      <c r="CB58" s="80"/>
      <c r="CC58" s="78"/>
      <c r="CD58" s="79"/>
      <c r="CE58" s="79"/>
      <c r="CF58" s="23"/>
      <c r="CG58" s="23"/>
      <c r="CH58" s="23"/>
      <c r="CI58" s="23"/>
      <c r="CJ58" s="23"/>
      <c r="CK58" s="23"/>
      <c r="CL58" s="23"/>
      <c r="CM58" s="23"/>
      <c r="CN58" s="23"/>
      <c r="CO58" s="23"/>
      <c r="CP58" s="23"/>
      <c r="CQ58" s="23"/>
      <c r="CR58" s="23"/>
      <c r="CS58" s="23"/>
      <c r="CT58" s="23"/>
      <c r="CU58" s="23"/>
      <c r="CV58" s="23"/>
      <c r="CW58" s="23"/>
      <c r="CX58" s="23"/>
      <c r="CY58" s="23"/>
      <c r="CZ58" s="23"/>
      <c r="DA58" s="80"/>
      <c r="DB58" s="78"/>
      <c r="DC58" s="79"/>
      <c r="DD58" s="79"/>
      <c r="DE58" s="23"/>
      <c r="DF58" s="23"/>
      <c r="DG58" s="23"/>
      <c r="DH58" s="23"/>
      <c r="DI58" s="23"/>
      <c r="DJ58" s="23"/>
      <c r="DK58" s="23"/>
      <c r="DL58" s="23"/>
      <c r="DM58" s="23"/>
      <c r="DN58" s="23"/>
      <c r="DO58" s="23"/>
      <c r="DP58" s="23"/>
      <c r="DQ58" s="23"/>
      <c r="DR58" s="23"/>
      <c r="DS58" s="23"/>
      <c r="DT58" s="23"/>
      <c r="DU58" s="23"/>
      <c r="DV58" s="23"/>
      <c r="DW58" s="23"/>
      <c r="DX58" s="23"/>
      <c r="DY58" s="23"/>
      <c r="DZ58" s="80"/>
      <c r="EA58" s="78"/>
      <c r="EB58" s="79"/>
      <c r="EC58" s="79"/>
      <c r="ED58" s="23"/>
      <c r="EE58" s="23"/>
      <c r="EF58" s="23"/>
      <c r="EG58" s="23"/>
      <c r="EH58" s="23"/>
      <c r="EI58" s="23"/>
      <c r="EJ58" s="23"/>
      <c r="EK58" s="23"/>
      <c r="EL58" s="23"/>
      <c r="EM58" s="23"/>
      <c r="EN58" s="23"/>
      <c r="EO58" s="23"/>
      <c r="EP58" s="23"/>
      <c r="EQ58" s="23"/>
      <c r="ER58" s="23"/>
      <c r="ES58" s="2"/>
      <c r="ET58" s="2"/>
      <c r="EU58" s="2"/>
      <c r="EV58" s="2"/>
      <c r="EW58" s="2"/>
      <c r="EX58" s="2"/>
      <c r="EY58" s="2"/>
      <c r="EZ58" s="2"/>
      <c r="FA58" s="2"/>
      <c r="FB58" s="2"/>
      <c r="FC58" s="2"/>
      <c r="FD58" s="2"/>
      <c r="FE58" s="2"/>
      <c r="FF58" s="2"/>
      <c r="FG58" s="2"/>
      <c r="FH58" s="2"/>
      <c r="FI58" s="2"/>
      <c r="FJ58" s="2"/>
      <c r="FK58" s="2"/>
      <c r="FL58" s="2"/>
      <c r="FM58" s="2"/>
      <c r="FN58" s="2"/>
      <c r="FO58" s="2"/>
      <c r="FP58" s="23"/>
      <c r="FQ58" s="23"/>
      <c r="FR58" s="23"/>
      <c r="FS58" s="23"/>
    </row>
    <row r="59" spans="1:175" ht="15" customHeight="1" thickBot="1" x14ac:dyDescent="0.4">
      <c r="A59" s="23"/>
      <c r="B59" s="23"/>
      <c r="C59" s="23"/>
      <c r="D59" s="23"/>
      <c r="E59" s="95"/>
      <c r="F59" s="109"/>
      <c r="G59" s="121"/>
      <c r="H59" s="121"/>
      <c r="I59" s="23"/>
      <c r="J59" s="23"/>
      <c r="K59" s="23"/>
      <c r="L59" s="23"/>
      <c r="M59" s="23"/>
      <c r="N59" s="23"/>
      <c r="O59" s="23"/>
      <c r="P59" s="23"/>
      <c r="Q59" s="23"/>
      <c r="R59" s="23"/>
      <c r="S59" s="23"/>
      <c r="T59" s="23"/>
      <c r="U59" s="23"/>
      <c r="V59" s="23"/>
      <c r="W59" s="23"/>
      <c r="X59" s="23"/>
      <c r="Y59" s="23"/>
      <c r="Z59" s="23"/>
      <c r="AA59" s="23"/>
      <c r="AB59" s="23"/>
      <c r="AC59" s="23"/>
      <c r="AD59" s="39"/>
      <c r="AE59" s="39"/>
      <c r="AF59" s="39"/>
      <c r="AG59" s="39"/>
      <c r="AH59" s="23"/>
      <c r="AI59" s="23"/>
      <c r="AJ59" s="23"/>
      <c r="AK59" s="23"/>
      <c r="AL59" s="23"/>
      <c r="AM59" s="23"/>
      <c r="AN59" s="23"/>
      <c r="AO59" s="23"/>
      <c r="AP59" s="23"/>
      <c r="AQ59" s="23"/>
      <c r="AR59" s="23"/>
      <c r="AS59" s="23"/>
      <c r="AT59" s="23"/>
      <c r="AU59" s="23"/>
      <c r="AV59" s="23"/>
      <c r="AW59" s="23"/>
      <c r="AX59" s="23"/>
      <c r="AY59" s="23"/>
      <c r="AZ59" s="23"/>
      <c r="BA59" s="23"/>
      <c r="BB59" s="23"/>
      <c r="BC59" s="79"/>
      <c r="BD59" s="79"/>
      <c r="BE59" s="79"/>
      <c r="BF59" s="79"/>
      <c r="BG59" s="23"/>
      <c r="BH59" s="23"/>
      <c r="BI59" s="23"/>
      <c r="BJ59" s="23"/>
      <c r="BK59" s="23"/>
      <c r="BL59" s="23"/>
      <c r="BM59" s="23"/>
      <c r="BN59" s="23"/>
      <c r="BO59" s="23"/>
      <c r="BP59" s="23"/>
      <c r="BQ59" s="23"/>
      <c r="BR59" s="23"/>
      <c r="BS59" s="23"/>
      <c r="BT59" s="23"/>
      <c r="BU59" s="23"/>
      <c r="BV59" s="23"/>
      <c r="BW59" s="23"/>
      <c r="BX59" s="23"/>
      <c r="BY59" s="23"/>
      <c r="BZ59" s="23"/>
      <c r="CA59" s="23"/>
      <c r="CB59" s="81"/>
      <c r="CC59" s="78"/>
      <c r="CD59" s="79"/>
      <c r="CE59" s="79"/>
      <c r="CF59" s="23"/>
      <c r="CG59" s="23"/>
      <c r="CH59" s="23"/>
      <c r="CI59" s="23"/>
      <c r="CJ59" s="23"/>
      <c r="CK59" s="23"/>
      <c r="CL59" s="23"/>
      <c r="CM59" s="23"/>
      <c r="CN59" s="23"/>
      <c r="CO59" s="23"/>
      <c r="CP59" s="23"/>
      <c r="CQ59" s="23"/>
      <c r="CR59" s="23"/>
      <c r="CS59" s="23"/>
      <c r="CT59" s="23"/>
      <c r="CU59" s="23"/>
      <c r="CV59" s="23"/>
      <c r="CW59" s="23"/>
      <c r="CX59" s="23"/>
      <c r="CY59" s="23"/>
      <c r="CZ59" s="23"/>
      <c r="DA59" s="81"/>
      <c r="DB59" s="78"/>
      <c r="DC59" s="79"/>
      <c r="DD59" s="79"/>
      <c r="DE59" s="23"/>
      <c r="DF59" s="23"/>
      <c r="DG59" s="23"/>
      <c r="DH59" s="23"/>
      <c r="DI59" s="23"/>
      <c r="DJ59" s="23"/>
      <c r="DK59" s="23"/>
      <c r="DL59" s="23"/>
      <c r="DM59" s="23"/>
      <c r="DN59" s="23"/>
      <c r="DO59" s="23"/>
      <c r="DP59" s="23"/>
      <c r="DQ59" s="23"/>
      <c r="DR59" s="23"/>
      <c r="DS59" s="23"/>
      <c r="DT59" s="23"/>
      <c r="DU59" s="23"/>
      <c r="DV59" s="23"/>
      <c r="DW59" s="23"/>
      <c r="DX59" s="23"/>
      <c r="DY59" s="23"/>
      <c r="DZ59" s="81"/>
      <c r="EA59" s="78"/>
      <c r="EB59" s="79"/>
      <c r="EC59" s="79"/>
      <c r="ED59" s="23"/>
      <c r="EE59" s="23"/>
      <c r="EF59" s="23"/>
      <c r="EG59" s="23"/>
      <c r="EH59" s="23"/>
      <c r="EI59" s="23"/>
      <c r="EJ59" s="23"/>
      <c r="EK59" s="23"/>
      <c r="EL59" s="23"/>
      <c r="EM59" s="23"/>
      <c r="EN59" s="23"/>
      <c r="EO59" s="23"/>
      <c r="EP59" s="23"/>
      <c r="EQ59" s="23"/>
      <c r="ER59" s="23"/>
      <c r="ES59" s="23"/>
      <c r="ET59" s="23"/>
      <c r="EU59" s="23"/>
      <c r="EV59" s="23"/>
      <c r="EW59" s="23"/>
      <c r="EX59" s="23"/>
      <c r="EY59" s="46"/>
      <c r="EZ59" s="49"/>
      <c r="FA59" s="50"/>
      <c r="FB59" s="50"/>
      <c r="FC59" s="23"/>
      <c r="FD59" s="23"/>
      <c r="FE59" s="23"/>
      <c r="FF59" s="23"/>
      <c r="FG59" s="23"/>
      <c r="FH59" s="23"/>
      <c r="FI59" s="23"/>
      <c r="FJ59" s="23"/>
      <c r="FK59" s="23"/>
      <c r="FL59" s="23"/>
      <c r="FM59" s="23"/>
      <c r="FN59" s="23"/>
      <c r="FO59" s="23"/>
      <c r="FP59" s="23"/>
      <c r="FQ59" s="23"/>
      <c r="FR59" s="23"/>
      <c r="FS59" s="23"/>
    </row>
    <row r="60" spans="1:175" ht="14.5" customHeight="1" x14ac:dyDescent="0.35">
      <c r="A60" s="23"/>
      <c r="B60" s="23"/>
      <c r="C60" s="23"/>
      <c r="D60" s="23"/>
      <c r="E60" s="94" t="s">
        <v>73</v>
      </c>
      <c r="F60" s="107">
        <f>F56-F52</f>
        <v>39723.13314162031</v>
      </c>
      <c r="G60" s="120"/>
      <c r="H60" s="120"/>
      <c r="I60" s="23"/>
      <c r="J60" s="23"/>
      <c r="K60" s="23"/>
      <c r="L60" s="23"/>
      <c r="M60" s="23"/>
      <c r="N60" s="23"/>
      <c r="O60" s="23"/>
      <c r="P60" s="23"/>
      <c r="Q60" s="23"/>
      <c r="R60" s="23"/>
      <c r="S60" s="23"/>
      <c r="T60" s="23"/>
      <c r="U60" s="23"/>
      <c r="V60" s="23"/>
      <c r="W60" s="23"/>
      <c r="X60" s="23"/>
      <c r="Y60" s="23"/>
      <c r="Z60" s="23"/>
      <c r="AA60" s="23"/>
      <c r="AB60" s="23"/>
      <c r="AC60" s="23"/>
      <c r="AD60" s="39"/>
      <c r="AE60" s="39"/>
      <c r="AF60" s="39"/>
      <c r="AG60" s="39"/>
      <c r="AH60" s="23"/>
      <c r="AI60" s="23"/>
      <c r="AJ60" s="23"/>
      <c r="AK60" s="23"/>
      <c r="AL60" s="23"/>
      <c r="AM60" s="23"/>
      <c r="AN60" s="23"/>
      <c r="AO60" s="23"/>
      <c r="AP60" s="23"/>
      <c r="AQ60" s="23"/>
      <c r="AR60" s="23"/>
      <c r="AS60" s="23"/>
      <c r="AT60" s="23"/>
      <c r="AU60" s="23"/>
      <c r="AV60" s="23"/>
      <c r="AW60" s="23"/>
      <c r="AX60" s="23"/>
      <c r="AY60" s="23"/>
      <c r="AZ60" s="23"/>
      <c r="BA60" s="23"/>
      <c r="BB60" s="23"/>
      <c r="BC60" s="79"/>
      <c r="BD60" s="79"/>
      <c r="BE60" s="79"/>
      <c r="BF60" s="79"/>
      <c r="BG60" s="23"/>
      <c r="BH60" s="23"/>
      <c r="BI60" s="23"/>
      <c r="BJ60" s="23"/>
      <c r="BK60" s="23"/>
      <c r="BL60" s="23"/>
      <c r="BM60" s="23"/>
      <c r="BN60" s="23"/>
      <c r="BO60" s="23"/>
      <c r="BP60" s="23"/>
      <c r="BQ60" s="23"/>
      <c r="BR60" s="23"/>
      <c r="BS60" s="23"/>
      <c r="BT60" s="23"/>
      <c r="BU60" s="23"/>
      <c r="BV60" s="23"/>
      <c r="BW60" s="23"/>
      <c r="BX60" s="23"/>
      <c r="BY60" s="23"/>
      <c r="BZ60" s="23"/>
      <c r="CA60" s="23"/>
      <c r="CB60" s="80" t="s">
        <v>73</v>
      </c>
      <c r="CC60" s="76"/>
      <c r="CD60" s="77"/>
      <c r="CE60" s="77"/>
      <c r="CF60" s="23"/>
      <c r="CG60" s="23"/>
      <c r="CH60" s="23"/>
      <c r="CI60" s="23"/>
      <c r="CJ60" s="23"/>
      <c r="CK60" s="23"/>
      <c r="CL60" s="23"/>
      <c r="CM60" s="23"/>
      <c r="CN60" s="23"/>
      <c r="CO60" s="23"/>
      <c r="CP60" s="23"/>
      <c r="CQ60" s="23"/>
      <c r="CR60" s="23"/>
      <c r="CS60" s="23"/>
      <c r="CT60" s="23"/>
      <c r="CU60" s="23"/>
      <c r="CV60" s="23"/>
      <c r="CW60" s="23"/>
      <c r="CX60" s="23"/>
      <c r="CY60" s="23"/>
      <c r="CZ60" s="23"/>
      <c r="DA60" s="80" t="s">
        <v>73</v>
      </c>
      <c r="DB60" s="76"/>
      <c r="DC60" s="77"/>
      <c r="DD60" s="77"/>
      <c r="DE60" s="23"/>
      <c r="DF60" s="23"/>
      <c r="DG60" s="23"/>
      <c r="DH60" s="23"/>
      <c r="DI60" s="23"/>
      <c r="DJ60" s="23"/>
      <c r="DK60" s="23"/>
      <c r="DL60" s="23"/>
      <c r="DM60" s="23"/>
      <c r="DN60" s="23"/>
      <c r="DO60" s="23"/>
      <c r="DP60" s="23"/>
      <c r="DQ60" s="23"/>
      <c r="DR60" s="23"/>
      <c r="DS60" s="23"/>
      <c r="DT60" s="23"/>
      <c r="DU60" s="23"/>
      <c r="DV60" s="23"/>
      <c r="DW60" s="23"/>
      <c r="DX60" s="23"/>
      <c r="DY60" s="23"/>
      <c r="DZ60" s="80" t="s">
        <v>73</v>
      </c>
      <c r="EA60" s="76"/>
      <c r="EB60" s="77"/>
      <c r="EC60" s="77"/>
      <c r="ED60" s="23"/>
      <c r="EE60" s="23"/>
      <c r="EF60" s="23"/>
      <c r="EG60" s="23"/>
      <c r="EH60" s="23"/>
      <c r="EI60" s="23"/>
      <c r="EJ60" s="23"/>
      <c r="EK60" s="23"/>
      <c r="EL60" s="23"/>
      <c r="EM60" s="23"/>
      <c r="EN60" s="23"/>
      <c r="EO60" s="23"/>
      <c r="EP60" s="23"/>
      <c r="EQ60" s="23"/>
      <c r="ER60" s="23"/>
      <c r="ES60" s="23"/>
      <c r="ET60" s="23"/>
      <c r="EU60" s="23"/>
      <c r="EV60" s="23"/>
      <c r="EW60" s="23"/>
      <c r="EX60" s="23"/>
      <c r="EY60" s="45" t="s">
        <v>73</v>
      </c>
      <c r="EZ60" s="47"/>
      <c r="FA60" s="48"/>
      <c r="FB60" s="48"/>
      <c r="FC60" s="23"/>
      <c r="FD60" s="23"/>
      <c r="FE60" s="23"/>
      <c r="FF60" s="23"/>
      <c r="FG60" s="23"/>
      <c r="FH60" s="23"/>
      <c r="FI60" s="23"/>
      <c r="FJ60" s="23"/>
      <c r="FK60" s="23"/>
      <c r="FL60" s="23"/>
      <c r="FM60" s="23"/>
      <c r="FN60" s="23"/>
      <c r="FO60" s="23"/>
      <c r="FP60" s="23"/>
      <c r="FQ60" s="23"/>
      <c r="FR60" s="23"/>
      <c r="FS60" s="23"/>
    </row>
    <row r="61" spans="1:175" ht="14.5" customHeight="1" x14ac:dyDescent="0.35">
      <c r="A61" s="23"/>
      <c r="B61" s="23"/>
      <c r="C61" s="23"/>
      <c r="D61" s="23"/>
      <c r="E61" s="94"/>
      <c r="F61" s="109"/>
      <c r="G61" s="121"/>
      <c r="H61" s="121"/>
      <c r="I61" s="23"/>
      <c r="J61" s="23"/>
      <c r="K61" s="23"/>
      <c r="L61" s="23"/>
      <c r="M61" s="23"/>
      <c r="N61" s="23"/>
      <c r="O61" s="23"/>
      <c r="P61" s="23"/>
      <c r="Q61" s="23"/>
      <c r="R61" s="23"/>
      <c r="S61" s="23"/>
      <c r="T61" s="23"/>
      <c r="U61" s="23"/>
      <c r="V61" s="23"/>
      <c r="W61" s="23"/>
      <c r="X61" s="23"/>
      <c r="Y61" s="23"/>
      <c r="Z61" s="23"/>
      <c r="AA61" s="23"/>
      <c r="AB61" s="23"/>
      <c r="AC61" s="23"/>
      <c r="AD61" s="39"/>
      <c r="AE61" s="39"/>
      <c r="AF61" s="39"/>
      <c r="AG61" s="39"/>
      <c r="AH61" s="23"/>
      <c r="AI61" s="23"/>
      <c r="AJ61" s="23"/>
      <c r="AK61" s="23"/>
      <c r="AL61" s="23"/>
      <c r="AM61" s="23"/>
      <c r="AN61" s="23"/>
      <c r="AO61" s="23"/>
      <c r="AP61" s="23"/>
      <c r="AQ61" s="23"/>
      <c r="AR61" s="23"/>
      <c r="AS61" s="23"/>
      <c r="AT61" s="23"/>
      <c r="AU61" s="23"/>
      <c r="AV61" s="23"/>
      <c r="AW61" s="23"/>
      <c r="AX61" s="23"/>
      <c r="AY61" s="23"/>
      <c r="AZ61" s="23"/>
      <c r="BA61" s="23"/>
      <c r="BB61" s="23"/>
      <c r="BC61" s="79"/>
      <c r="BD61" s="79"/>
      <c r="BE61" s="79"/>
      <c r="BF61" s="79"/>
      <c r="BG61" s="23"/>
      <c r="BH61" s="23"/>
      <c r="BI61" s="23"/>
      <c r="BJ61" s="23"/>
      <c r="BK61" s="23"/>
      <c r="BL61" s="23"/>
      <c r="BM61" s="23"/>
      <c r="BN61" s="23"/>
      <c r="BO61" s="23"/>
      <c r="BP61" s="23"/>
      <c r="BQ61" s="23"/>
      <c r="BR61" s="23"/>
      <c r="BS61" s="23"/>
      <c r="BT61" s="23"/>
      <c r="BU61" s="23"/>
      <c r="BV61" s="23"/>
      <c r="BW61" s="23"/>
      <c r="BX61" s="23"/>
      <c r="BY61" s="23"/>
      <c r="BZ61" s="23"/>
      <c r="CA61" s="23"/>
      <c r="CB61" s="80"/>
      <c r="CC61" s="78"/>
      <c r="CD61" s="79"/>
      <c r="CE61" s="79"/>
      <c r="CF61" s="23"/>
      <c r="CG61" s="23"/>
      <c r="CH61" s="23"/>
      <c r="CI61" s="23"/>
      <c r="CJ61" s="23"/>
      <c r="CK61" s="23"/>
      <c r="CL61" s="23"/>
      <c r="CM61" s="23"/>
      <c r="CN61" s="23"/>
      <c r="CO61" s="23"/>
      <c r="CP61" s="23"/>
      <c r="CQ61" s="23"/>
      <c r="CR61" s="23"/>
      <c r="CS61" s="23"/>
      <c r="CT61" s="23"/>
      <c r="CU61" s="23"/>
      <c r="CV61" s="23"/>
      <c r="CW61" s="23"/>
      <c r="CX61" s="23"/>
      <c r="CY61" s="23"/>
      <c r="CZ61" s="23"/>
      <c r="DA61" s="80"/>
      <c r="DB61" s="78"/>
      <c r="DC61" s="79"/>
      <c r="DD61" s="79"/>
      <c r="DE61" s="23"/>
      <c r="DF61" s="23"/>
      <c r="DG61" s="23"/>
      <c r="DH61" s="23"/>
      <c r="DI61" s="23"/>
      <c r="DJ61" s="23"/>
      <c r="DK61" s="23"/>
      <c r="DL61" s="23"/>
      <c r="DM61" s="23"/>
      <c r="DN61" s="23"/>
      <c r="DO61" s="23"/>
      <c r="DP61" s="23"/>
      <c r="DQ61" s="23"/>
      <c r="DR61" s="23"/>
      <c r="DS61" s="23"/>
      <c r="DT61" s="23"/>
      <c r="DU61" s="23"/>
      <c r="DV61" s="23"/>
      <c r="DW61" s="23"/>
      <c r="DX61" s="23"/>
      <c r="DY61" s="23"/>
      <c r="DZ61" s="80"/>
      <c r="EA61" s="78"/>
      <c r="EB61" s="79"/>
      <c r="EC61" s="79"/>
      <c r="ED61" s="23"/>
      <c r="EE61" s="23"/>
      <c r="EF61" s="23"/>
      <c r="EG61" s="23"/>
      <c r="EH61" s="23"/>
      <c r="EI61" s="23"/>
      <c r="EJ61" s="23"/>
      <c r="EK61" s="23"/>
      <c r="EL61" s="23"/>
      <c r="EM61" s="23"/>
      <c r="EN61" s="23"/>
      <c r="EO61" s="23"/>
      <c r="EP61" s="23"/>
      <c r="EQ61" s="23"/>
      <c r="ER61" s="23"/>
      <c r="ES61" s="23"/>
      <c r="ET61" s="23"/>
      <c r="EU61" s="23"/>
      <c r="EV61" s="23"/>
      <c r="EW61" s="23"/>
      <c r="EX61" s="23"/>
      <c r="EY61" s="45"/>
      <c r="EZ61" s="49"/>
      <c r="FA61" s="50"/>
      <c r="FB61" s="50"/>
      <c r="FC61" s="23"/>
      <c r="FD61" s="23"/>
      <c r="FE61" s="23"/>
      <c r="FF61" s="23"/>
      <c r="FG61" s="23"/>
      <c r="FH61" s="23"/>
      <c r="FI61" s="23"/>
      <c r="FJ61" s="23"/>
      <c r="FK61" s="23"/>
      <c r="FL61" s="23"/>
      <c r="FM61" s="23"/>
      <c r="FN61" s="23"/>
      <c r="FO61" s="23"/>
      <c r="FP61" s="23"/>
      <c r="FQ61" s="23"/>
      <c r="FR61" s="23"/>
      <c r="FS61" s="23"/>
    </row>
    <row r="62" spans="1:175" ht="14.5" customHeight="1" x14ac:dyDescent="0.35">
      <c r="A62" s="23"/>
      <c r="B62" s="23"/>
      <c r="C62" s="23"/>
      <c r="D62" s="23"/>
      <c r="E62" s="94"/>
      <c r="F62" s="109"/>
      <c r="G62" s="121"/>
      <c r="H62" s="121"/>
      <c r="I62" s="23"/>
      <c r="J62" s="23"/>
      <c r="K62" s="23"/>
      <c r="L62" s="23"/>
      <c r="M62" s="23"/>
      <c r="N62" s="23"/>
      <c r="O62" s="23"/>
      <c r="P62" s="23"/>
      <c r="Q62" s="23"/>
      <c r="R62" s="23"/>
      <c r="S62" s="23"/>
      <c r="T62" s="23"/>
      <c r="U62" s="23"/>
      <c r="V62" s="23"/>
      <c r="W62" s="23"/>
      <c r="X62" s="23"/>
      <c r="Y62" s="23"/>
      <c r="Z62" s="23"/>
      <c r="AA62" s="23"/>
      <c r="AB62" s="23"/>
      <c r="AC62" s="23"/>
      <c r="AD62" s="39"/>
      <c r="AE62" s="39"/>
      <c r="AF62" s="39"/>
      <c r="AG62" s="39"/>
      <c r="AH62" s="23"/>
      <c r="AI62" s="23"/>
      <c r="AJ62" s="23"/>
      <c r="AK62" s="23"/>
      <c r="AL62" s="23"/>
      <c r="AM62" s="23"/>
      <c r="AN62" s="23"/>
      <c r="AO62" s="23"/>
      <c r="AP62" s="23"/>
      <c r="AQ62" s="23"/>
      <c r="AR62" s="23"/>
      <c r="AS62" s="23"/>
      <c r="AT62" s="23"/>
      <c r="AU62" s="23"/>
      <c r="AV62" s="23"/>
      <c r="AW62" s="23"/>
      <c r="AX62" s="23"/>
      <c r="AY62" s="23"/>
      <c r="AZ62" s="23"/>
      <c r="BA62" s="23"/>
      <c r="BB62" s="23"/>
      <c r="BC62" s="79"/>
      <c r="BD62" s="79"/>
      <c r="BE62" s="79"/>
      <c r="BF62" s="79"/>
      <c r="BG62" s="23"/>
      <c r="BH62" s="23"/>
      <c r="BI62" s="23"/>
      <c r="BJ62" s="23"/>
      <c r="BK62" s="23"/>
      <c r="BL62" s="23"/>
      <c r="BM62" s="23"/>
      <c r="BN62" s="23"/>
      <c r="BO62" s="23"/>
      <c r="BP62" s="23"/>
      <c r="BQ62" s="23"/>
      <c r="BR62" s="23"/>
      <c r="BS62" s="23"/>
      <c r="BT62" s="23"/>
      <c r="BU62" s="23"/>
      <c r="BV62" s="23"/>
      <c r="BW62" s="23"/>
      <c r="BX62" s="23"/>
      <c r="BY62" s="23"/>
      <c r="BZ62" s="23"/>
      <c r="CA62" s="23"/>
      <c r="CB62" s="80"/>
      <c r="CC62" s="78"/>
      <c r="CD62" s="79"/>
      <c r="CE62" s="79"/>
      <c r="CF62" s="23"/>
      <c r="CG62" s="23"/>
      <c r="CH62" s="23"/>
      <c r="CI62" s="23"/>
      <c r="CJ62" s="23"/>
      <c r="CK62" s="23"/>
      <c r="CL62" s="23"/>
      <c r="CM62" s="23"/>
      <c r="CN62" s="23"/>
      <c r="CO62" s="23"/>
      <c r="CP62" s="23"/>
      <c r="CQ62" s="23"/>
      <c r="CR62" s="23"/>
      <c r="CS62" s="23"/>
      <c r="CT62" s="23"/>
      <c r="CU62" s="23"/>
      <c r="CV62" s="23"/>
      <c r="CW62" s="23"/>
      <c r="CX62" s="23"/>
      <c r="CY62" s="23"/>
      <c r="CZ62" s="23"/>
      <c r="DA62" s="80"/>
      <c r="DB62" s="78"/>
      <c r="DC62" s="79"/>
      <c r="DD62" s="79"/>
      <c r="DE62" s="23"/>
      <c r="DF62" s="23"/>
      <c r="DG62" s="23"/>
      <c r="DH62" s="23"/>
      <c r="DI62" s="23"/>
      <c r="DJ62" s="23"/>
      <c r="DK62" s="23"/>
      <c r="DL62" s="23"/>
      <c r="DM62" s="23"/>
      <c r="DN62" s="23"/>
      <c r="DO62" s="23"/>
      <c r="DP62" s="23"/>
      <c r="DQ62" s="23"/>
      <c r="DR62" s="23"/>
      <c r="DS62" s="23"/>
      <c r="DT62" s="23"/>
      <c r="DU62" s="23"/>
      <c r="DV62" s="23"/>
      <c r="DW62" s="23"/>
      <c r="DX62" s="23"/>
      <c r="DY62" s="23"/>
      <c r="DZ62" s="80"/>
      <c r="EA62" s="78"/>
      <c r="EB62" s="79"/>
      <c r="EC62" s="79"/>
      <c r="ED62" s="23"/>
      <c r="EE62" s="23"/>
      <c r="EF62" s="23"/>
      <c r="EG62" s="23"/>
      <c r="EH62" s="23"/>
      <c r="EI62" s="23"/>
      <c r="EJ62" s="23"/>
      <c r="EK62" s="23"/>
      <c r="EL62" s="23"/>
      <c r="EM62" s="23"/>
      <c r="EN62" s="23"/>
      <c r="EO62" s="23"/>
      <c r="EP62" s="23"/>
      <c r="EQ62" s="23"/>
      <c r="ER62" s="23"/>
      <c r="ES62" s="23"/>
      <c r="ET62" s="23"/>
      <c r="EU62" s="23"/>
      <c r="EV62" s="23"/>
      <c r="EW62" s="23"/>
      <c r="EX62" s="23"/>
      <c r="EY62" s="45"/>
      <c r="EZ62" s="49"/>
      <c r="FA62" s="50"/>
      <c r="FB62" s="50"/>
      <c r="FC62" s="23"/>
      <c r="FD62" s="23"/>
      <c r="FE62" s="23"/>
      <c r="FF62" s="23"/>
      <c r="FG62" s="23"/>
      <c r="FH62" s="23"/>
      <c r="FI62" s="23"/>
      <c r="FJ62" s="23"/>
      <c r="FK62" s="23"/>
      <c r="FL62" s="23"/>
      <c r="FM62" s="23"/>
      <c r="FN62" s="23"/>
      <c r="FO62" s="23"/>
      <c r="FP62" s="23"/>
      <c r="FQ62" s="23"/>
      <c r="FR62" s="23"/>
      <c r="FS62" s="23"/>
    </row>
    <row r="63" spans="1:175" ht="15" customHeight="1" thickBot="1" x14ac:dyDescent="0.4">
      <c r="A63" s="23"/>
      <c r="B63" s="23"/>
      <c r="C63" s="23"/>
      <c r="D63" s="23"/>
      <c r="E63" s="95"/>
      <c r="F63" s="109"/>
      <c r="G63" s="121"/>
      <c r="H63" s="121"/>
      <c r="I63" s="23"/>
      <c r="J63" s="23"/>
      <c r="K63" s="23"/>
      <c r="L63" s="23"/>
      <c r="M63" s="23"/>
      <c r="N63" s="23"/>
      <c r="O63" s="23"/>
      <c r="P63" s="23"/>
      <c r="Q63" s="23"/>
      <c r="R63" s="23"/>
      <c r="S63" s="23"/>
      <c r="T63" s="23"/>
      <c r="U63" s="23"/>
      <c r="V63" s="23"/>
      <c r="W63" s="23"/>
      <c r="X63" s="23"/>
      <c r="Y63" s="23"/>
      <c r="Z63" s="23"/>
      <c r="AA63" s="23"/>
      <c r="AB63" s="23"/>
      <c r="AC63" s="23"/>
      <c r="AD63" s="39"/>
      <c r="AE63" s="39"/>
      <c r="AF63" s="39"/>
      <c r="AG63" s="39"/>
      <c r="AH63" s="23"/>
      <c r="AI63" s="23"/>
      <c r="AJ63" s="23"/>
      <c r="AK63" s="23"/>
      <c r="AL63" s="23"/>
      <c r="AM63" s="23"/>
      <c r="AN63" s="23"/>
      <c r="AO63" s="23"/>
      <c r="AP63" s="23"/>
      <c r="AQ63" s="23"/>
      <c r="AR63" s="23"/>
      <c r="AS63" s="23"/>
      <c r="AT63" s="23"/>
      <c r="AU63" s="23"/>
      <c r="AV63" s="23"/>
      <c r="AW63" s="23"/>
      <c r="AX63" s="23"/>
      <c r="AY63" s="23"/>
      <c r="AZ63" s="23"/>
      <c r="BA63" s="23"/>
      <c r="BB63" s="23"/>
      <c r="BC63" s="79"/>
      <c r="BD63" s="79"/>
      <c r="BE63" s="79"/>
      <c r="BF63" s="79"/>
      <c r="BG63" s="23"/>
      <c r="BH63" s="23"/>
      <c r="BI63" s="23"/>
      <c r="BJ63" s="23"/>
      <c r="BK63" s="23"/>
      <c r="BL63" s="23"/>
      <c r="BM63" s="23"/>
      <c r="BN63" s="23"/>
      <c r="BO63" s="23"/>
      <c r="BP63" s="23"/>
      <c r="BQ63" s="23"/>
      <c r="BR63" s="23"/>
      <c r="BS63" s="23"/>
      <c r="BT63" s="23"/>
      <c r="BU63" s="23"/>
      <c r="BV63" s="23"/>
      <c r="BW63" s="23"/>
      <c r="BX63" s="23"/>
      <c r="BY63" s="23"/>
      <c r="BZ63" s="23"/>
      <c r="CA63" s="23"/>
      <c r="CB63" s="81"/>
      <c r="CC63" s="78"/>
      <c r="CD63" s="79"/>
      <c r="CE63" s="79"/>
      <c r="CF63" s="23"/>
      <c r="CG63" s="23"/>
      <c r="CH63" s="23"/>
      <c r="CI63" s="23"/>
      <c r="CJ63" s="23"/>
      <c r="CK63" s="23"/>
      <c r="CL63" s="23"/>
      <c r="CM63" s="23"/>
      <c r="CN63" s="23"/>
      <c r="CO63" s="23"/>
      <c r="CP63" s="23"/>
      <c r="CQ63" s="23"/>
      <c r="CR63" s="23"/>
      <c r="CS63" s="23"/>
      <c r="CT63" s="23"/>
      <c r="CU63" s="23"/>
      <c r="CV63" s="23"/>
      <c r="CW63" s="23"/>
      <c r="CX63" s="23"/>
      <c r="CY63" s="23"/>
      <c r="CZ63" s="23"/>
      <c r="DA63" s="81"/>
      <c r="DB63" s="78"/>
      <c r="DC63" s="79"/>
      <c r="DD63" s="79"/>
      <c r="DE63" s="23"/>
      <c r="DF63" s="23"/>
      <c r="DG63" s="23"/>
      <c r="DH63" s="23"/>
      <c r="DI63" s="23"/>
      <c r="DJ63" s="23"/>
      <c r="DK63" s="23"/>
      <c r="DL63" s="23"/>
      <c r="DM63" s="23"/>
      <c r="DN63" s="23"/>
      <c r="DO63" s="23"/>
      <c r="DP63" s="23"/>
      <c r="DQ63" s="23"/>
      <c r="DR63" s="23"/>
      <c r="DS63" s="23"/>
      <c r="DT63" s="23"/>
      <c r="DU63" s="23"/>
      <c r="DV63" s="23"/>
      <c r="DW63" s="23"/>
      <c r="DX63" s="23"/>
      <c r="DY63" s="23"/>
      <c r="DZ63" s="81"/>
      <c r="EA63" s="78"/>
      <c r="EB63" s="79"/>
      <c r="EC63" s="79"/>
      <c r="ED63" s="23"/>
      <c r="EE63" s="23"/>
      <c r="EF63" s="23"/>
      <c r="EG63" s="23"/>
      <c r="EH63" s="23"/>
      <c r="EI63" s="23"/>
      <c r="EJ63" s="23"/>
      <c r="EK63" s="23"/>
      <c r="EL63" s="23"/>
      <c r="EM63" s="23"/>
      <c r="EN63" s="23"/>
      <c r="EO63" s="23"/>
      <c r="EP63" s="23"/>
      <c r="EQ63" s="23"/>
      <c r="ER63" s="23"/>
      <c r="ES63" s="23"/>
      <c r="ET63" s="23"/>
      <c r="EU63" s="23"/>
      <c r="EV63" s="23"/>
      <c r="EW63" s="23"/>
      <c r="EX63" s="23"/>
      <c r="EY63" s="46"/>
      <c r="EZ63" s="49"/>
      <c r="FA63" s="50"/>
      <c r="FB63" s="50"/>
      <c r="FC63" s="23"/>
      <c r="FD63" s="23"/>
      <c r="FE63" s="23"/>
      <c r="FF63" s="23"/>
      <c r="FG63" s="23"/>
      <c r="FH63" s="23"/>
      <c r="FI63" s="23"/>
      <c r="FJ63" s="23"/>
      <c r="FK63" s="23"/>
      <c r="FL63" s="23"/>
      <c r="FM63" s="23"/>
      <c r="FN63" s="23"/>
      <c r="FO63" s="23"/>
      <c r="FP63" s="23"/>
      <c r="FQ63" s="23"/>
      <c r="FR63" s="23"/>
      <c r="FS63" s="23"/>
    </row>
    <row r="64" spans="1:175" ht="14.5" customHeight="1" x14ac:dyDescent="0.35">
      <c r="A64" s="23"/>
      <c r="B64" s="23"/>
      <c r="C64" s="23"/>
      <c r="D64" s="23"/>
      <c r="E64" s="94" t="s">
        <v>74</v>
      </c>
      <c r="F64" s="107">
        <f>(F60)/7700</f>
        <v>5.1588484599506899</v>
      </c>
      <c r="G64" s="120"/>
      <c r="H64" s="120"/>
      <c r="I64" s="23"/>
      <c r="J64" s="23"/>
      <c r="K64" s="23"/>
      <c r="L64" s="23"/>
      <c r="M64" s="23"/>
      <c r="N64" s="23"/>
      <c r="O64" s="23"/>
      <c r="P64" s="23"/>
      <c r="Q64" s="23"/>
      <c r="R64" s="23"/>
      <c r="S64" s="23"/>
      <c r="T64" s="23"/>
      <c r="U64" s="23"/>
      <c r="V64" s="23"/>
      <c r="W64" s="23"/>
      <c r="X64" s="23"/>
      <c r="Y64" s="23"/>
      <c r="Z64" s="23"/>
      <c r="AA64" s="23"/>
      <c r="AB64" s="23"/>
      <c r="AC64" s="23"/>
      <c r="AD64" s="23"/>
      <c r="AE64" s="39"/>
      <c r="AF64" s="39"/>
      <c r="AG64" s="39"/>
      <c r="AH64" s="23"/>
      <c r="AI64" s="23"/>
      <c r="AJ64" s="23"/>
      <c r="AK64" s="23"/>
      <c r="AL64" s="23"/>
      <c r="AM64" s="23"/>
      <c r="AN64" s="23"/>
      <c r="AO64" s="23"/>
      <c r="AP64" s="23"/>
      <c r="AQ64" s="23"/>
      <c r="AR64" s="23"/>
      <c r="AS64" s="23"/>
      <c r="AT64" s="23"/>
      <c r="AU64" s="23"/>
      <c r="AV64" s="23"/>
      <c r="AW64" s="23"/>
      <c r="AX64" s="23"/>
      <c r="AY64" s="23"/>
      <c r="AZ64" s="23"/>
      <c r="BA64" s="23"/>
      <c r="BB64" s="23"/>
      <c r="BC64" s="79"/>
      <c r="BD64" s="79"/>
      <c r="BE64" s="79"/>
      <c r="BF64" s="79"/>
      <c r="BG64" s="23"/>
      <c r="BH64" s="23"/>
      <c r="BI64" s="23"/>
      <c r="BJ64" s="23"/>
      <c r="BK64" s="23"/>
      <c r="BL64" s="23"/>
      <c r="BM64" s="23"/>
      <c r="BN64" s="23"/>
      <c r="BO64" s="23"/>
      <c r="BP64" s="23"/>
      <c r="BQ64" s="23"/>
      <c r="BR64" s="23"/>
      <c r="BS64" s="23"/>
      <c r="BT64" s="23"/>
      <c r="BU64" s="23"/>
      <c r="BV64" s="23"/>
      <c r="BW64" s="23"/>
      <c r="BX64" s="23"/>
      <c r="BY64" s="23"/>
      <c r="BZ64" s="23"/>
      <c r="CA64" s="23"/>
      <c r="CB64" s="80" t="s">
        <v>74</v>
      </c>
      <c r="CC64" s="76"/>
      <c r="CD64" s="77"/>
      <c r="CE64" s="77"/>
      <c r="CF64" s="23"/>
      <c r="CG64" s="23"/>
      <c r="CH64" s="23"/>
      <c r="CI64" s="23"/>
      <c r="CJ64" s="23"/>
      <c r="CK64" s="23"/>
      <c r="CL64" s="23"/>
      <c r="CM64" s="23"/>
      <c r="CN64" s="23"/>
      <c r="CO64" s="23"/>
      <c r="CP64" s="23"/>
      <c r="CQ64" s="23"/>
      <c r="CR64" s="23"/>
      <c r="CS64" s="23"/>
      <c r="CT64" s="23"/>
      <c r="CU64" s="23"/>
      <c r="CV64" s="23"/>
      <c r="CW64" s="23"/>
      <c r="CX64" s="23"/>
      <c r="CY64" s="23"/>
      <c r="CZ64" s="23"/>
      <c r="DA64" s="80" t="s">
        <v>74</v>
      </c>
      <c r="DB64" s="76"/>
      <c r="DC64" s="77"/>
      <c r="DD64" s="77"/>
      <c r="DE64" s="23"/>
      <c r="DF64" s="23"/>
      <c r="DG64" s="23"/>
      <c r="DH64" s="23"/>
      <c r="DI64" s="23"/>
      <c r="DJ64" s="23"/>
      <c r="DK64" s="23"/>
      <c r="DL64" s="23"/>
      <c r="DM64" s="23"/>
      <c r="DN64" s="23"/>
      <c r="DO64" s="23"/>
      <c r="DP64" s="23"/>
      <c r="DQ64" s="23"/>
      <c r="DR64" s="23"/>
      <c r="DS64" s="23"/>
      <c r="DT64" s="23"/>
      <c r="DU64" s="23"/>
      <c r="DV64" s="23"/>
      <c r="DW64" s="23"/>
      <c r="DX64" s="23"/>
      <c r="DY64" s="23"/>
      <c r="DZ64" s="80" t="s">
        <v>74</v>
      </c>
      <c r="EA64" s="76"/>
      <c r="EB64" s="77"/>
      <c r="EC64" s="77"/>
      <c r="ED64" s="23"/>
      <c r="EE64" s="23"/>
      <c r="EF64" s="23"/>
      <c r="EG64" s="23"/>
      <c r="EH64" s="23"/>
      <c r="EI64" s="23"/>
      <c r="EJ64" s="23"/>
      <c r="EK64" s="23"/>
      <c r="EL64" s="23"/>
      <c r="EM64" s="23"/>
      <c r="EN64" s="23"/>
      <c r="EO64" s="23"/>
      <c r="EP64" s="23"/>
      <c r="EQ64" s="23"/>
      <c r="ER64" s="23"/>
      <c r="ES64" s="23"/>
      <c r="ET64" s="23"/>
      <c r="EU64" s="23"/>
      <c r="EV64" s="23"/>
      <c r="EW64" s="23"/>
      <c r="EX64" s="23"/>
      <c r="EY64" s="80" t="s">
        <v>74</v>
      </c>
      <c r="EZ64" s="76"/>
      <c r="FA64" s="77"/>
      <c r="FB64" s="77"/>
      <c r="FC64" s="23"/>
      <c r="FD64" s="23"/>
      <c r="FE64" s="23"/>
      <c r="FF64" s="23"/>
      <c r="FG64" s="23"/>
      <c r="FH64" s="23"/>
      <c r="FI64" s="23"/>
      <c r="FJ64" s="23"/>
      <c r="FK64" s="23"/>
      <c r="FL64" s="23"/>
      <c r="FM64" s="23"/>
      <c r="FN64" s="23"/>
      <c r="FO64" s="23"/>
      <c r="FP64" s="23"/>
      <c r="FQ64" s="23"/>
      <c r="FR64" s="23"/>
      <c r="FS64" s="23"/>
    </row>
    <row r="65" spans="1:175" ht="14.5" customHeight="1" x14ac:dyDescent="0.35">
      <c r="A65" s="23"/>
      <c r="B65" s="23"/>
      <c r="C65" s="23"/>
      <c r="D65" s="23"/>
      <c r="E65" s="94"/>
      <c r="F65" s="109"/>
      <c r="G65" s="121"/>
      <c r="H65" s="121"/>
      <c r="I65" s="23"/>
      <c r="J65" s="23"/>
      <c r="K65" s="23"/>
      <c r="L65" s="23"/>
      <c r="M65" s="23"/>
      <c r="N65" s="23"/>
      <c r="O65" s="23"/>
      <c r="P65" s="23"/>
      <c r="Q65" s="23"/>
      <c r="R65" s="23"/>
      <c r="S65" s="23"/>
      <c r="T65" s="23"/>
      <c r="U65" s="23"/>
      <c r="V65" s="23"/>
      <c r="W65" s="23"/>
      <c r="X65" s="23"/>
      <c r="Y65" s="23"/>
      <c r="Z65" s="23"/>
      <c r="AA65" s="23"/>
      <c r="AB65" s="23"/>
      <c r="AC65" s="23"/>
      <c r="AD65" s="39"/>
      <c r="AE65" s="39"/>
      <c r="AF65" s="39"/>
      <c r="AG65" s="39"/>
      <c r="AH65" s="23"/>
      <c r="AI65" s="23"/>
      <c r="AJ65" s="23"/>
      <c r="AK65" s="23"/>
      <c r="AL65" s="23"/>
      <c r="AM65" s="23"/>
      <c r="AN65" s="23"/>
      <c r="AO65" s="23"/>
      <c r="AP65" s="23"/>
      <c r="AQ65" s="23"/>
      <c r="AR65" s="23"/>
      <c r="AS65" s="23"/>
      <c r="AT65" s="23"/>
      <c r="AU65" s="23"/>
      <c r="AV65" s="23"/>
      <c r="AW65" s="23"/>
      <c r="AX65" s="23"/>
      <c r="AY65" s="23"/>
      <c r="AZ65" s="23"/>
      <c r="BA65" s="23"/>
      <c r="BB65" s="23"/>
      <c r="BC65" s="79"/>
      <c r="BD65" s="79"/>
      <c r="BE65" s="79"/>
      <c r="BF65" s="79"/>
      <c r="BG65" s="23"/>
      <c r="BH65" s="23"/>
      <c r="BI65" s="23"/>
      <c r="BJ65" s="23"/>
      <c r="BK65" s="23"/>
      <c r="BL65" s="23"/>
      <c r="BM65" s="23"/>
      <c r="BN65" s="23"/>
      <c r="BO65" s="23"/>
      <c r="BP65" s="23"/>
      <c r="BQ65" s="23"/>
      <c r="BR65" s="23"/>
      <c r="BS65" s="23"/>
      <c r="BT65" s="23"/>
      <c r="BU65" s="23"/>
      <c r="BV65" s="23"/>
      <c r="BW65" s="23"/>
      <c r="BX65" s="23"/>
      <c r="BY65" s="23"/>
      <c r="BZ65" s="23"/>
      <c r="CA65" s="23"/>
      <c r="CB65" s="80"/>
      <c r="CC65" s="78"/>
      <c r="CD65" s="79"/>
      <c r="CE65" s="79"/>
      <c r="CF65" s="23"/>
      <c r="CG65" s="23"/>
      <c r="CH65" s="23"/>
      <c r="CI65" s="23"/>
      <c r="CJ65" s="23"/>
      <c r="CK65" s="23"/>
      <c r="CL65" s="23"/>
      <c r="CM65" s="23"/>
      <c r="CN65" s="23"/>
      <c r="CO65" s="23"/>
      <c r="CP65" s="23"/>
      <c r="CQ65" s="23"/>
      <c r="CR65" s="23"/>
      <c r="CS65" s="23"/>
      <c r="CT65" s="23"/>
      <c r="CU65" s="23"/>
      <c r="CV65" s="23"/>
      <c r="CW65" s="23"/>
      <c r="CX65" s="23"/>
      <c r="CY65" s="23"/>
      <c r="CZ65" s="23"/>
      <c r="DA65" s="80"/>
      <c r="DB65" s="78"/>
      <c r="DC65" s="79"/>
      <c r="DD65" s="79"/>
      <c r="DE65" s="23"/>
      <c r="DF65" s="23"/>
      <c r="DG65" s="23"/>
      <c r="DH65" s="23"/>
      <c r="DI65" s="23"/>
      <c r="DJ65" s="23"/>
      <c r="DK65" s="23"/>
      <c r="DL65" s="23"/>
      <c r="DM65" s="23"/>
      <c r="DN65" s="23"/>
      <c r="DO65" s="23"/>
      <c r="DP65" s="23"/>
      <c r="DQ65" s="23"/>
      <c r="DR65" s="23"/>
      <c r="DS65" s="23"/>
      <c r="DT65" s="23"/>
      <c r="DU65" s="23"/>
      <c r="DV65" s="23"/>
      <c r="DW65" s="23"/>
      <c r="DX65" s="23"/>
      <c r="DY65" s="23"/>
      <c r="DZ65" s="80"/>
      <c r="EA65" s="78"/>
      <c r="EB65" s="79"/>
      <c r="EC65" s="79"/>
      <c r="ED65" s="23"/>
      <c r="EE65" s="23"/>
      <c r="EF65" s="23"/>
      <c r="EG65" s="23"/>
      <c r="EH65" s="23"/>
      <c r="EI65" s="23"/>
      <c r="EJ65" s="23"/>
      <c r="EK65" s="23"/>
      <c r="EL65" s="23"/>
      <c r="EM65" s="23"/>
      <c r="EN65" s="23"/>
      <c r="EO65" s="23"/>
      <c r="EP65" s="23"/>
      <c r="EQ65" s="23"/>
      <c r="ER65" s="23"/>
      <c r="ES65" s="23"/>
      <c r="ET65" s="23"/>
      <c r="EU65" s="23"/>
      <c r="EV65" s="23"/>
      <c r="EW65" s="23"/>
      <c r="EX65" s="23"/>
      <c r="EY65" s="80"/>
      <c r="EZ65" s="78"/>
      <c r="FA65" s="79"/>
      <c r="FB65" s="79"/>
      <c r="FC65" s="23"/>
      <c r="FD65" s="23"/>
      <c r="FE65" s="23"/>
      <c r="FF65" s="23"/>
      <c r="FG65" s="23"/>
      <c r="FH65" s="23"/>
      <c r="FI65" s="23"/>
      <c r="FJ65" s="23"/>
      <c r="FK65" s="23"/>
      <c r="FL65" s="23"/>
      <c r="FM65" s="23"/>
      <c r="FN65" s="23"/>
      <c r="FO65" s="23"/>
      <c r="FP65" s="23"/>
      <c r="FQ65" s="23"/>
      <c r="FR65" s="23"/>
      <c r="FS65" s="23"/>
    </row>
    <row r="66" spans="1:175" ht="14.5" customHeight="1" x14ac:dyDescent="0.35">
      <c r="A66" s="23"/>
      <c r="B66" s="23"/>
      <c r="C66" s="23"/>
      <c r="D66" s="23"/>
      <c r="E66" s="94"/>
      <c r="F66" s="109"/>
      <c r="G66" s="121"/>
      <c r="H66" s="121"/>
      <c r="I66" s="23"/>
      <c r="J66" s="23"/>
      <c r="K66" s="23"/>
      <c r="L66" s="23"/>
      <c r="M66" s="23"/>
      <c r="N66" s="23"/>
      <c r="O66" s="23"/>
      <c r="P66" s="23"/>
      <c r="Q66" s="23"/>
      <c r="R66" s="23"/>
      <c r="S66" s="23"/>
      <c r="T66" s="23"/>
      <c r="U66" s="23"/>
      <c r="V66" s="23"/>
      <c r="W66" s="23"/>
      <c r="X66" s="23"/>
      <c r="Y66" s="23"/>
      <c r="Z66" s="23"/>
      <c r="AA66" s="23"/>
      <c r="AB66" s="23"/>
      <c r="AC66" s="23"/>
      <c r="AD66" s="39"/>
      <c r="AE66" s="39"/>
      <c r="AF66" s="39"/>
      <c r="AG66" s="39"/>
      <c r="AH66" s="23"/>
      <c r="AI66" s="23"/>
      <c r="AJ66" s="23"/>
      <c r="AK66" s="23"/>
      <c r="AL66" s="23"/>
      <c r="AM66" s="23"/>
      <c r="AN66" s="23"/>
      <c r="AO66" s="23"/>
      <c r="AP66" s="23"/>
      <c r="AQ66" s="23"/>
      <c r="AR66" s="23"/>
      <c r="AS66" s="23"/>
      <c r="AT66" s="23"/>
      <c r="AU66" s="23"/>
      <c r="AV66" s="23"/>
      <c r="AW66" s="23"/>
      <c r="AX66" s="23"/>
      <c r="AY66" s="23"/>
      <c r="AZ66" s="23"/>
      <c r="BA66" s="23"/>
      <c r="BB66" s="23"/>
      <c r="BC66" s="79"/>
      <c r="BD66" s="79"/>
      <c r="BE66" s="79"/>
      <c r="BF66" s="79"/>
      <c r="BG66" s="23"/>
      <c r="BH66" s="23"/>
      <c r="BI66" s="23"/>
      <c r="BJ66" s="23"/>
      <c r="BK66" s="23"/>
      <c r="BL66" s="23"/>
      <c r="BM66" s="23"/>
      <c r="BN66" s="23"/>
      <c r="BO66" s="23"/>
      <c r="BP66" s="23"/>
      <c r="BQ66" s="23"/>
      <c r="BR66" s="23"/>
      <c r="BS66" s="23"/>
      <c r="BT66" s="23"/>
      <c r="BU66" s="23"/>
      <c r="BV66" s="23"/>
      <c r="BW66" s="23"/>
      <c r="BX66" s="23"/>
      <c r="BY66" s="23"/>
      <c r="BZ66" s="23"/>
      <c r="CA66" s="23"/>
      <c r="CB66" s="80"/>
      <c r="CC66" s="78"/>
      <c r="CD66" s="79"/>
      <c r="CE66" s="79"/>
      <c r="CF66" s="23"/>
      <c r="CG66" s="23"/>
      <c r="CH66" s="23"/>
      <c r="CI66" s="23"/>
      <c r="CJ66" s="23"/>
      <c r="CK66" s="23"/>
      <c r="CL66" s="23"/>
      <c r="CM66" s="23"/>
      <c r="CN66" s="23"/>
      <c r="CO66" s="23"/>
      <c r="CP66" s="23"/>
      <c r="CQ66" s="23"/>
      <c r="CR66" s="23"/>
      <c r="CS66" s="23"/>
      <c r="CT66" s="23"/>
      <c r="CU66" s="23"/>
      <c r="CV66" s="23"/>
      <c r="CW66" s="23"/>
      <c r="CX66" s="23"/>
      <c r="CY66" s="23"/>
      <c r="CZ66" s="23"/>
      <c r="DA66" s="80"/>
      <c r="DB66" s="78"/>
      <c r="DC66" s="79"/>
      <c r="DD66" s="79"/>
      <c r="DE66" s="23"/>
      <c r="DF66" s="23"/>
      <c r="DG66" s="23"/>
      <c r="DH66" s="23"/>
      <c r="DI66" s="23"/>
      <c r="DJ66" s="23"/>
      <c r="DK66" s="23"/>
      <c r="DL66" s="23"/>
      <c r="DM66" s="23"/>
      <c r="DN66" s="23"/>
      <c r="DO66" s="23"/>
      <c r="DP66" s="23"/>
      <c r="DQ66" s="23"/>
      <c r="DR66" s="23"/>
      <c r="DS66" s="23"/>
      <c r="DT66" s="23"/>
      <c r="DU66" s="23"/>
      <c r="DV66" s="23"/>
      <c r="DW66" s="23"/>
      <c r="DX66" s="23"/>
      <c r="DY66" s="23"/>
      <c r="DZ66" s="80"/>
      <c r="EA66" s="78"/>
      <c r="EB66" s="79"/>
      <c r="EC66" s="79"/>
      <c r="ED66" s="23"/>
      <c r="EE66" s="23"/>
      <c r="EF66" s="23"/>
      <c r="EG66" s="23"/>
      <c r="EH66" s="23"/>
      <c r="EI66" s="23"/>
      <c r="EJ66" s="23"/>
      <c r="EK66" s="23"/>
      <c r="EL66" s="23"/>
      <c r="EM66" s="23"/>
      <c r="EN66" s="23"/>
      <c r="EO66" s="23"/>
      <c r="EP66" s="23"/>
      <c r="EQ66" s="23"/>
      <c r="ER66" s="23"/>
      <c r="ES66" s="23"/>
      <c r="ET66" s="23"/>
      <c r="EU66" s="23"/>
      <c r="EV66" s="23"/>
      <c r="EW66" s="23"/>
      <c r="EX66" s="23"/>
      <c r="EY66" s="80"/>
      <c r="EZ66" s="78"/>
      <c r="FA66" s="79"/>
      <c r="FB66" s="79"/>
      <c r="FC66" s="23"/>
      <c r="FD66" s="23"/>
      <c r="FE66" s="23"/>
      <c r="FF66" s="23"/>
      <c r="FG66" s="23"/>
      <c r="FH66" s="23"/>
      <c r="FI66" s="23"/>
      <c r="FJ66" s="23"/>
      <c r="FK66" s="23"/>
      <c r="FL66" s="23"/>
      <c r="FM66" s="23"/>
      <c r="FN66" s="23"/>
      <c r="FO66" s="23"/>
      <c r="FP66" s="23"/>
      <c r="FQ66" s="23"/>
      <c r="FR66" s="23"/>
      <c r="FS66" s="23"/>
    </row>
    <row r="67" spans="1:175" ht="15" customHeight="1" thickBot="1" x14ac:dyDescent="0.4">
      <c r="A67" s="23"/>
      <c r="B67" s="23"/>
      <c r="C67" s="23"/>
      <c r="D67" s="23"/>
      <c r="E67" s="95"/>
      <c r="F67" s="109"/>
      <c r="G67" s="121"/>
      <c r="H67" s="121"/>
      <c r="I67" s="23"/>
      <c r="J67" s="23"/>
      <c r="K67" s="23"/>
      <c r="L67" s="23"/>
      <c r="M67" s="23"/>
      <c r="N67" s="23"/>
      <c r="O67" s="23"/>
      <c r="P67" s="23"/>
      <c r="Q67" s="23"/>
      <c r="R67" s="23"/>
      <c r="S67" s="23"/>
      <c r="T67" s="23"/>
      <c r="U67" s="23"/>
      <c r="V67" s="23"/>
      <c r="W67" s="23"/>
      <c r="X67" s="23"/>
      <c r="Y67" s="23"/>
      <c r="Z67" s="23"/>
      <c r="AA67" s="23"/>
      <c r="AB67" s="23"/>
      <c r="AC67" s="23"/>
      <c r="AD67" s="39"/>
      <c r="AE67" s="39"/>
      <c r="AF67" s="39"/>
      <c r="AG67" s="39"/>
      <c r="AH67" s="23"/>
      <c r="AI67" s="23"/>
      <c r="AJ67" s="23"/>
      <c r="AK67" s="23"/>
      <c r="AL67" s="23"/>
      <c r="AM67" s="23"/>
      <c r="AN67" s="23"/>
      <c r="AO67" s="23"/>
      <c r="AP67" s="23"/>
      <c r="AQ67" s="23"/>
      <c r="AR67" s="23"/>
      <c r="AS67" s="23"/>
      <c r="AT67" s="23"/>
      <c r="AU67" s="23"/>
      <c r="AV67" s="23"/>
      <c r="AW67" s="23"/>
      <c r="AX67" s="23"/>
      <c r="AY67" s="23"/>
      <c r="AZ67" s="23"/>
      <c r="BA67" s="23"/>
      <c r="BB67" s="23"/>
      <c r="BC67" s="79"/>
      <c r="BD67" s="79"/>
      <c r="BE67" s="79"/>
      <c r="BF67" s="79"/>
      <c r="BG67" s="23"/>
      <c r="BH67" s="23"/>
      <c r="BI67" s="23"/>
      <c r="BJ67" s="23"/>
      <c r="BK67" s="23"/>
      <c r="BL67" s="23"/>
      <c r="BM67" s="23"/>
      <c r="BN67" s="23"/>
      <c r="BO67" s="23"/>
      <c r="BP67" s="23"/>
      <c r="BQ67" s="23"/>
      <c r="BR67" s="23"/>
      <c r="BS67" s="23"/>
      <c r="BT67" s="23"/>
      <c r="BU67" s="23"/>
      <c r="BV67" s="23"/>
      <c r="BW67" s="23"/>
      <c r="BX67" s="23"/>
      <c r="BY67" s="23"/>
      <c r="BZ67" s="23"/>
      <c r="CA67" s="23"/>
      <c r="CB67" s="81"/>
      <c r="CC67" s="78"/>
      <c r="CD67" s="79"/>
      <c r="CE67" s="79"/>
      <c r="CF67" s="23"/>
      <c r="CG67" s="23"/>
      <c r="CH67" s="23"/>
      <c r="CI67" s="23"/>
      <c r="CJ67" s="23"/>
      <c r="CK67" s="23"/>
      <c r="CL67" s="23"/>
      <c r="CM67" s="23"/>
      <c r="CN67" s="23"/>
      <c r="CO67" s="23"/>
      <c r="CP67" s="23"/>
      <c r="CQ67" s="23"/>
      <c r="CR67" s="23"/>
      <c r="CS67" s="23"/>
      <c r="CT67" s="23"/>
      <c r="CU67" s="23"/>
      <c r="CV67" s="23"/>
      <c r="CW67" s="23"/>
      <c r="CX67" s="23"/>
      <c r="CY67" s="23"/>
      <c r="CZ67" s="23"/>
      <c r="DA67" s="81"/>
      <c r="DB67" s="78"/>
      <c r="DC67" s="79"/>
      <c r="DD67" s="79"/>
      <c r="DE67" s="23"/>
      <c r="DF67" s="23"/>
      <c r="DG67" s="23"/>
      <c r="DH67" s="23"/>
      <c r="DI67" s="23"/>
      <c r="DJ67" s="23"/>
      <c r="DK67" s="23"/>
      <c r="DL67" s="23"/>
      <c r="DM67" s="23"/>
      <c r="DN67" s="23"/>
      <c r="DO67" s="23"/>
      <c r="DP67" s="23"/>
      <c r="DQ67" s="23"/>
      <c r="DR67" s="23"/>
      <c r="DS67" s="23"/>
      <c r="DT67" s="23"/>
      <c r="DU67" s="23"/>
      <c r="DV67" s="23"/>
      <c r="DW67" s="23"/>
      <c r="DX67" s="23"/>
      <c r="DY67" s="23"/>
      <c r="DZ67" s="81"/>
      <c r="EA67" s="78"/>
      <c r="EB67" s="79"/>
      <c r="EC67" s="79"/>
      <c r="ED67" s="23"/>
      <c r="EE67" s="23"/>
      <c r="EF67" s="23"/>
      <c r="EG67" s="23"/>
      <c r="EH67" s="23"/>
      <c r="EI67" s="23"/>
      <c r="EJ67" s="23"/>
      <c r="EK67" s="23"/>
      <c r="EL67" s="23"/>
      <c r="EM67" s="23"/>
      <c r="EN67" s="23"/>
      <c r="EO67" s="23"/>
      <c r="EP67" s="23"/>
      <c r="EQ67" s="23"/>
      <c r="ER67" s="23"/>
      <c r="ES67" s="23"/>
      <c r="ET67" s="23"/>
      <c r="EU67" s="23"/>
      <c r="EV67" s="23"/>
      <c r="EW67" s="23"/>
      <c r="EX67" s="23"/>
      <c r="EY67" s="81"/>
      <c r="EZ67" s="78"/>
      <c r="FA67" s="79"/>
      <c r="FB67" s="79"/>
      <c r="FC67" s="23"/>
      <c r="FD67" s="23"/>
      <c r="FE67" s="23"/>
      <c r="FF67" s="23"/>
      <c r="FG67" s="23"/>
      <c r="FH67" s="23"/>
      <c r="FI67" s="23"/>
      <c r="FJ67" s="23"/>
      <c r="FK67" s="23"/>
      <c r="FL67" s="23"/>
      <c r="FM67" s="23"/>
      <c r="FN67" s="23"/>
      <c r="FO67" s="23"/>
      <c r="FP67" s="23"/>
      <c r="FQ67" s="23"/>
      <c r="FR67" s="23"/>
      <c r="FS67" s="23"/>
    </row>
    <row r="68" spans="1:175" ht="14.5" customHeight="1" x14ac:dyDescent="0.35">
      <c r="A68" s="23"/>
      <c r="B68" s="23"/>
      <c r="C68" s="23"/>
      <c r="D68" s="23"/>
      <c r="E68" s="94" t="s">
        <v>82</v>
      </c>
      <c r="F68" s="107">
        <f>D3-F64</f>
        <v>177.14825119327955</v>
      </c>
      <c r="G68" s="120"/>
      <c r="H68" s="120"/>
      <c r="I68" s="23"/>
      <c r="J68" s="23"/>
      <c r="K68" s="23"/>
      <c r="L68" s="23"/>
      <c r="M68" s="23"/>
      <c r="N68" s="23"/>
      <c r="O68" s="23"/>
      <c r="P68" s="23"/>
      <c r="Q68" s="23"/>
      <c r="R68" s="23"/>
      <c r="S68" s="23"/>
      <c r="T68" s="23"/>
      <c r="U68" s="23"/>
      <c r="V68" s="23"/>
      <c r="W68" s="23"/>
      <c r="X68" s="23"/>
      <c r="Y68" s="23"/>
      <c r="Z68" s="23"/>
      <c r="AA68" s="23"/>
      <c r="AB68" s="23"/>
      <c r="AC68" s="23"/>
      <c r="AD68" s="39"/>
      <c r="AE68" s="39"/>
      <c r="AF68" s="39"/>
      <c r="AG68" s="39"/>
      <c r="AH68" s="23"/>
      <c r="AI68" s="23"/>
      <c r="AJ68" s="23"/>
      <c r="AK68" s="23"/>
      <c r="AL68" s="23"/>
      <c r="AM68" s="23"/>
      <c r="AN68" s="23"/>
      <c r="AO68" s="23"/>
      <c r="AP68" s="23"/>
      <c r="AQ68" s="23"/>
      <c r="AR68" s="23"/>
      <c r="AS68" s="23"/>
      <c r="AT68" s="23"/>
      <c r="AU68" s="23"/>
      <c r="AV68" s="23"/>
      <c r="AW68" s="23"/>
      <c r="AX68" s="23"/>
      <c r="AY68" s="23"/>
      <c r="AZ68" s="23"/>
      <c r="BA68" s="23"/>
      <c r="BB68" s="23"/>
      <c r="BC68" s="79"/>
      <c r="BD68" s="79"/>
      <c r="BE68" s="79"/>
      <c r="BF68" s="79"/>
      <c r="BG68" s="23"/>
      <c r="BH68" s="23"/>
      <c r="BI68" s="23"/>
      <c r="BJ68" s="23"/>
      <c r="BK68" s="23"/>
      <c r="BL68" s="23"/>
      <c r="BM68" s="23"/>
      <c r="BN68" s="23"/>
      <c r="BO68" s="23"/>
      <c r="BP68" s="23"/>
      <c r="BQ68" s="23"/>
      <c r="BR68" s="23"/>
      <c r="BS68" s="23"/>
      <c r="BT68" s="23"/>
      <c r="BU68" s="23"/>
      <c r="BV68" s="23"/>
      <c r="BW68" s="23"/>
      <c r="BX68" s="23"/>
      <c r="BY68" s="23"/>
      <c r="BZ68" s="23"/>
      <c r="CA68" s="23"/>
      <c r="CB68" s="80" t="s">
        <v>75</v>
      </c>
      <c r="CC68" s="76"/>
      <c r="CD68" s="77"/>
      <c r="CE68" s="77"/>
      <c r="CF68" s="23"/>
      <c r="CG68" s="23"/>
      <c r="CH68" s="23"/>
      <c r="CI68" s="23"/>
      <c r="CJ68" s="23"/>
      <c r="CK68" s="23"/>
      <c r="CL68" s="23"/>
      <c r="CM68" s="23"/>
      <c r="CN68" s="23"/>
      <c r="CO68" s="23"/>
      <c r="CP68" s="23"/>
      <c r="CQ68" s="23"/>
      <c r="CR68" s="23"/>
      <c r="CS68" s="23"/>
      <c r="CT68" s="23"/>
      <c r="CU68" s="23"/>
      <c r="CV68" s="23"/>
      <c r="CW68" s="23"/>
      <c r="CX68" s="23"/>
      <c r="CY68" s="23"/>
      <c r="CZ68" s="23"/>
      <c r="DA68" s="80" t="s">
        <v>75</v>
      </c>
      <c r="DB68" s="76"/>
      <c r="DC68" s="77"/>
      <c r="DD68" s="77"/>
      <c r="DE68" s="23"/>
      <c r="DF68" s="23"/>
      <c r="DG68" s="23"/>
      <c r="DH68" s="23"/>
      <c r="DI68" s="23"/>
      <c r="DJ68" s="23"/>
      <c r="DK68" s="23"/>
      <c r="DL68" s="23"/>
      <c r="DM68" s="23"/>
      <c r="DN68" s="23"/>
      <c r="DO68" s="23"/>
      <c r="DP68" s="23"/>
      <c r="DQ68" s="23"/>
      <c r="DR68" s="23"/>
      <c r="DS68" s="23"/>
      <c r="DT68" s="23"/>
      <c r="DU68" s="23"/>
      <c r="DV68" s="23"/>
      <c r="DW68" s="23"/>
      <c r="DX68" s="23"/>
      <c r="DY68" s="23"/>
      <c r="DZ68" s="80" t="s">
        <v>75</v>
      </c>
      <c r="EA68" s="76"/>
      <c r="EB68" s="77"/>
      <c r="EC68" s="77"/>
      <c r="ED68" s="23"/>
      <c r="EE68" s="23"/>
      <c r="EF68" s="23"/>
      <c r="EG68" s="23"/>
      <c r="EH68" s="23"/>
      <c r="EI68" s="23"/>
      <c r="EJ68" s="23"/>
      <c r="EK68" s="23"/>
      <c r="EL68" s="23"/>
      <c r="EM68" s="23"/>
      <c r="EN68" s="23"/>
      <c r="EO68" s="23"/>
      <c r="EP68" s="23"/>
      <c r="EQ68" s="23"/>
      <c r="ER68" s="23"/>
      <c r="ES68" s="23"/>
      <c r="ET68" s="23"/>
      <c r="EU68" s="23"/>
      <c r="EV68" s="23"/>
      <c r="EW68" s="23"/>
      <c r="EX68" s="23"/>
      <c r="EY68" s="80" t="s">
        <v>75</v>
      </c>
      <c r="EZ68" s="76"/>
      <c r="FA68" s="77"/>
      <c r="FB68" s="77"/>
      <c r="FC68" s="23"/>
      <c r="FD68" s="23"/>
      <c r="FE68" s="23"/>
      <c r="FF68" s="23"/>
      <c r="FG68" s="23"/>
      <c r="FH68" s="23"/>
      <c r="FI68" s="23"/>
      <c r="FJ68" s="23"/>
      <c r="FK68" s="23"/>
      <c r="FL68" s="23"/>
      <c r="FM68" s="23"/>
      <c r="FN68" s="23"/>
      <c r="FO68" s="23"/>
      <c r="FP68" s="23"/>
      <c r="FQ68" s="23"/>
      <c r="FR68" s="23"/>
      <c r="FS68" s="23"/>
    </row>
    <row r="69" spans="1:175" ht="14.5" customHeight="1" x14ac:dyDescent="0.35">
      <c r="A69" s="23"/>
      <c r="B69" s="23"/>
      <c r="C69" s="23"/>
      <c r="D69" s="23"/>
      <c r="E69" s="94"/>
      <c r="F69" s="109"/>
      <c r="G69" s="121"/>
      <c r="H69" s="121"/>
      <c r="I69" s="23"/>
      <c r="J69" s="23"/>
      <c r="K69" s="23"/>
      <c r="L69" s="23"/>
      <c r="M69" s="23"/>
      <c r="N69" s="23"/>
      <c r="O69" s="23"/>
      <c r="P69" s="23"/>
      <c r="Q69" s="23"/>
      <c r="R69" s="23"/>
      <c r="S69" s="23"/>
      <c r="T69" s="23"/>
      <c r="U69" s="23"/>
      <c r="V69" s="23"/>
      <c r="W69" s="23"/>
      <c r="X69" s="23"/>
      <c r="Y69" s="23"/>
      <c r="Z69" s="23"/>
      <c r="AA69" s="23"/>
      <c r="AB69" s="23"/>
      <c r="AC69" s="23"/>
      <c r="AD69" s="39"/>
      <c r="AE69" s="39"/>
      <c r="AF69" s="39"/>
      <c r="AG69" s="39"/>
      <c r="AH69" s="23"/>
      <c r="AI69" s="23"/>
      <c r="AJ69" s="23"/>
      <c r="AK69" s="23"/>
      <c r="AL69" s="23"/>
      <c r="AM69" s="23"/>
      <c r="AN69" s="23"/>
      <c r="AO69" s="23"/>
      <c r="AP69" s="23"/>
      <c r="AQ69" s="23"/>
      <c r="AR69" s="23"/>
      <c r="AS69" s="23"/>
      <c r="AT69" s="23"/>
      <c r="AU69" s="23"/>
      <c r="AV69" s="23"/>
      <c r="AW69" s="23"/>
      <c r="AX69" s="23"/>
      <c r="AY69" s="23"/>
      <c r="AZ69" s="23"/>
      <c r="BA69" s="23"/>
      <c r="BB69" s="23"/>
      <c r="BC69" s="79"/>
      <c r="BD69" s="79"/>
      <c r="BE69" s="79"/>
      <c r="BF69" s="79"/>
      <c r="BG69" s="23"/>
      <c r="BH69" s="23"/>
      <c r="BI69" s="23"/>
      <c r="BJ69" s="23"/>
      <c r="BK69" s="23"/>
      <c r="BL69" s="23"/>
      <c r="BM69" s="23"/>
      <c r="BN69" s="23"/>
      <c r="BO69" s="23"/>
      <c r="BP69" s="23"/>
      <c r="BQ69" s="23"/>
      <c r="BR69" s="23"/>
      <c r="BS69" s="23"/>
      <c r="BT69" s="23"/>
      <c r="BU69" s="23"/>
      <c r="BV69" s="23"/>
      <c r="BW69" s="23"/>
      <c r="BX69" s="23"/>
      <c r="BY69" s="23"/>
      <c r="BZ69" s="23"/>
      <c r="CA69" s="23"/>
      <c r="CB69" s="80"/>
      <c r="CC69" s="78"/>
      <c r="CD69" s="79"/>
      <c r="CE69" s="79"/>
      <c r="CF69" s="23"/>
      <c r="CG69" s="23"/>
      <c r="CH69" s="23"/>
      <c r="CI69" s="23"/>
      <c r="CJ69" s="23"/>
      <c r="CK69" s="23"/>
      <c r="CL69" s="23"/>
      <c r="CM69" s="23"/>
      <c r="CN69" s="23"/>
      <c r="CO69" s="23"/>
      <c r="CP69" s="23"/>
      <c r="CQ69" s="23"/>
      <c r="CR69" s="23"/>
      <c r="CS69" s="23"/>
      <c r="CT69" s="23"/>
      <c r="CU69" s="23"/>
      <c r="CV69" s="23"/>
      <c r="CW69" s="23"/>
      <c r="CX69" s="23"/>
      <c r="CY69" s="23"/>
      <c r="CZ69" s="23"/>
      <c r="DA69" s="80"/>
      <c r="DB69" s="78"/>
      <c r="DC69" s="79"/>
      <c r="DD69" s="79"/>
      <c r="DE69" s="23"/>
      <c r="DF69" s="23"/>
      <c r="DG69" s="23"/>
      <c r="DH69" s="23"/>
      <c r="DI69" s="23"/>
      <c r="DJ69" s="23"/>
      <c r="DK69" s="23"/>
      <c r="DL69" s="23"/>
      <c r="DM69" s="23"/>
      <c r="DN69" s="23"/>
      <c r="DO69" s="23"/>
      <c r="DP69" s="23"/>
      <c r="DQ69" s="23"/>
      <c r="DR69" s="23"/>
      <c r="DS69" s="23"/>
      <c r="DT69" s="23"/>
      <c r="DU69" s="23"/>
      <c r="DV69" s="23"/>
      <c r="DW69" s="23"/>
      <c r="DX69" s="23"/>
      <c r="DY69" s="23"/>
      <c r="DZ69" s="80"/>
      <c r="EA69" s="78"/>
      <c r="EB69" s="79"/>
      <c r="EC69" s="79"/>
      <c r="ED69" s="23"/>
      <c r="EE69" s="23"/>
      <c r="EF69" s="23"/>
      <c r="EG69" s="23"/>
      <c r="EH69" s="23"/>
      <c r="EI69" s="23"/>
      <c r="EJ69" s="23"/>
      <c r="EK69" s="23"/>
      <c r="EL69" s="23"/>
      <c r="EM69" s="23"/>
      <c r="EN69" s="23"/>
      <c r="EO69" s="23"/>
      <c r="EP69" s="23"/>
      <c r="EQ69" s="23"/>
      <c r="ER69" s="23"/>
      <c r="ES69" s="23"/>
      <c r="ET69" s="23"/>
      <c r="EU69" s="23"/>
      <c r="EV69" s="23"/>
      <c r="EW69" s="23"/>
      <c r="EX69" s="23"/>
      <c r="EY69" s="80"/>
      <c r="EZ69" s="78"/>
      <c r="FA69" s="79"/>
      <c r="FB69" s="79"/>
      <c r="FC69" s="23"/>
      <c r="FD69" s="23"/>
      <c r="FE69" s="23"/>
      <c r="FF69" s="23"/>
      <c r="FG69" s="23"/>
      <c r="FH69" s="23"/>
      <c r="FI69" s="23"/>
      <c r="FJ69" s="23"/>
      <c r="FK69" s="23"/>
      <c r="FL69" s="23"/>
      <c r="FM69" s="23"/>
      <c r="FN69" s="23"/>
      <c r="FO69" s="23"/>
      <c r="FP69" s="23"/>
      <c r="FQ69" s="23"/>
      <c r="FR69" s="23"/>
      <c r="FS69" s="23"/>
    </row>
    <row r="70" spans="1:175" ht="14.5" customHeight="1" x14ac:dyDescent="0.35">
      <c r="A70" s="23"/>
      <c r="B70" s="23"/>
      <c r="C70" s="23"/>
      <c r="D70" s="23"/>
      <c r="E70" s="94"/>
      <c r="F70" s="109"/>
      <c r="G70" s="121"/>
      <c r="H70" s="121"/>
      <c r="I70" s="23"/>
      <c r="J70" s="23"/>
      <c r="K70" s="23"/>
      <c r="L70" s="23"/>
      <c r="M70" s="23"/>
      <c r="N70" s="23"/>
      <c r="O70" s="23"/>
      <c r="P70" s="23"/>
      <c r="Q70" s="23"/>
      <c r="R70" s="23"/>
      <c r="S70" s="23"/>
      <c r="T70" s="23"/>
      <c r="U70" s="23"/>
      <c r="V70" s="23"/>
      <c r="W70" s="23"/>
      <c r="X70" s="23"/>
      <c r="Y70" s="23"/>
      <c r="Z70" s="23"/>
      <c r="AA70" s="23"/>
      <c r="AB70" s="23"/>
      <c r="AC70" s="23"/>
      <c r="AD70" s="39"/>
      <c r="AE70" s="39"/>
      <c r="AF70" s="39"/>
      <c r="AG70" s="39"/>
      <c r="AH70" s="23"/>
      <c r="AI70" s="23"/>
      <c r="AJ70" s="23"/>
      <c r="AK70" s="23"/>
      <c r="AL70" s="23"/>
      <c r="AM70" s="23"/>
      <c r="AN70" s="23"/>
      <c r="AO70" s="23"/>
      <c r="AP70" s="23"/>
      <c r="AQ70" s="23"/>
      <c r="AR70" s="23"/>
      <c r="AS70" s="23"/>
      <c r="AT70" s="23"/>
      <c r="AU70" s="23"/>
      <c r="AV70" s="23"/>
      <c r="AW70" s="23"/>
      <c r="AX70" s="23"/>
      <c r="AY70" s="23"/>
      <c r="AZ70" s="23"/>
      <c r="BA70" s="23"/>
      <c r="BB70" s="23"/>
      <c r="BC70" s="79"/>
      <c r="BD70" s="79"/>
      <c r="BE70" s="79"/>
      <c r="BF70" s="79"/>
      <c r="BG70" s="23"/>
      <c r="BH70" s="23"/>
      <c r="BI70" s="23"/>
      <c r="BJ70" s="23"/>
      <c r="BK70" s="23"/>
      <c r="BL70" s="23"/>
      <c r="BM70" s="23"/>
      <c r="BN70" s="23"/>
      <c r="BO70" s="23"/>
      <c r="BP70" s="23"/>
      <c r="BQ70" s="23"/>
      <c r="BR70" s="23"/>
      <c r="BS70" s="23"/>
      <c r="BT70" s="23"/>
      <c r="BU70" s="23"/>
      <c r="BV70" s="23"/>
      <c r="BW70" s="23"/>
      <c r="BX70" s="23"/>
      <c r="BY70" s="23"/>
      <c r="BZ70" s="23"/>
      <c r="CA70" s="23"/>
      <c r="CB70" s="80"/>
      <c r="CC70" s="78"/>
      <c r="CD70" s="79"/>
      <c r="CE70" s="79"/>
      <c r="CF70" s="23"/>
      <c r="CG70" s="23"/>
      <c r="CH70" s="23"/>
      <c r="CI70" s="23"/>
      <c r="CJ70" s="23"/>
      <c r="CK70" s="23"/>
      <c r="CL70" s="23"/>
      <c r="CM70" s="23"/>
      <c r="CN70" s="23"/>
      <c r="CO70" s="23"/>
      <c r="CP70" s="23"/>
      <c r="CQ70" s="23"/>
      <c r="CR70" s="23"/>
      <c r="CS70" s="23"/>
      <c r="CT70" s="23"/>
      <c r="CU70" s="23"/>
      <c r="CV70" s="23"/>
      <c r="CW70" s="23"/>
      <c r="CX70" s="23"/>
      <c r="CY70" s="23"/>
      <c r="CZ70" s="23"/>
      <c r="DA70" s="80"/>
      <c r="DB70" s="78"/>
      <c r="DC70" s="79"/>
      <c r="DD70" s="79"/>
      <c r="DE70" s="23"/>
      <c r="DF70" s="23"/>
      <c r="DG70" s="23"/>
      <c r="DH70" s="23"/>
      <c r="DI70" s="23"/>
      <c r="DJ70" s="23"/>
      <c r="DK70" s="23"/>
      <c r="DL70" s="23"/>
      <c r="DM70" s="23"/>
      <c r="DN70" s="23"/>
      <c r="DO70" s="23"/>
      <c r="DP70" s="23"/>
      <c r="DQ70" s="23"/>
      <c r="DR70" s="23"/>
      <c r="DS70" s="23"/>
      <c r="DT70" s="23"/>
      <c r="DU70" s="23"/>
      <c r="DV70" s="23"/>
      <c r="DW70" s="23"/>
      <c r="DX70" s="23"/>
      <c r="DY70" s="23"/>
      <c r="DZ70" s="80"/>
      <c r="EA70" s="78"/>
      <c r="EB70" s="79"/>
      <c r="EC70" s="79"/>
      <c r="ED70" s="23"/>
      <c r="EE70" s="23"/>
      <c r="EF70" s="23"/>
      <c r="EG70" s="23"/>
      <c r="EH70" s="23"/>
      <c r="EI70" s="23"/>
      <c r="EJ70" s="23"/>
      <c r="EK70" s="23"/>
      <c r="EL70" s="23"/>
      <c r="EM70" s="23"/>
      <c r="EN70" s="23"/>
      <c r="EO70" s="23"/>
      <c r="EP70" s="23"/>
      <c r="EQ70" s="23"/>
      <c r="ER70" s="23"/>
      <c r="ES70" s="23"/>
      <c r="ET70" s="23"/>
      <c r="EU70" s="23"/>
      <c r="EV70" s="23"/>
      <c r="EW70" s="23"/>
      <c r="EX70" s="23"/>
      <c r="EY70" s="80"/>
      <c r="EZ70" s="78"/>
      <c r="FA70" s="79"/>
      <c r="FB70" s="79"/>
      <c r="FC70" s="23"/>
      <c r="FD70" s="23"/>
      <c r="FE70" s="23"/>
      <c r="FF70" s="23"/>
      <c r="FG70" s="23"/>
      <c r="FH70" s="23"/>
      <c r="FI70" s="23"/>
      <c r="FJ70" s="23"/>
      <c r="FK70" s="23"/>
      <c r="FL70" s="23"/>
      <c r="FM70" s="23"/>
      <c r="FN70" s="23"/>
      <c r="FO70" s="23"/>
      <c r="FP70" s="23"/>
      <c r="FQ70" s="23"/>
      <c r="FR70" s="23"/>
      <c r="FS70" s="23"/>
    </row>
    <row r="71" spans="1:175" ht="15" customHeight="1" thickBot="1" x14ac:dyDescent="0.4">
      <c r="A71" s="23"/>
      <c r="B71" s="23"/>
      <c r="C71" s="23"/>
      <c r="D71" s="23"/>
      <c r="E71" s="95"/>
      <c r="F71" s="109"/>
      <c r="G71" s="121"/>
      <c r="H71" s="121"/>
      <c r="I71" s="23"/>
      <c r="J71" s="23"/>
      <c r="K71" s="23"/>
      <c r="L71" s="23"/>
      <c r="M71" s="23"/>
      <c r="N71" s="23"/>
      <c r="O71" s="23"/>
      <c r="P71" s="23"/>
      <c r="Q71" s="23"/>
      <c r="R71" s="23"/>
      <c r="S71" s="23"/>
      <c r="T71" s="23"/>
      <c r="U71" s="23"/>
      <c r="V71" s="23"/>
      <c r="W71" s="23"/>
      <c r="X71" s="23"/>
      <c r="Y71" s="23"/>
      <c r="Z71" s="23"/>
      <c r="AA71" s="23"/>
      <c r="AB71" s="23"/>
      <c r="AC71" s="23"/>
      <c r="AD71" s="39"/>
      <c r="AE71" s="39"/>
      <c r="AF71" s="39"/>
      <c r="AG71" s="39"/>
      <c r="AH71" s="23"/>
      <c r="AI71" s="23"/>
      <c r="AJ71" s="23"/>
      <c r="AK71" s="23"/>
      <c r="AL71" s="23"/>
      <c r="AM71" s="23"/>
      <c r="AN71" s="23"/>
      <c r="AO71" s="23"/>
      <c r="AP71" s="23"/>
      <c r="AQ71" s="23"/>
      <c r="AR71" s="23"/>
      <c r="AS71" s="23"/>
      <c r="AT71" s="23"/>
      <c r="AU71" s="23"/>
      <c r="AV71" s="23"/>
      <c r="AW71" s="23"/>
      <c r="AX71" s="23"/>
      <c r="AY71" s="23"/>
      <c r="AZ71" s="23"/>
      <c r="BA71" s="23"/>
      <c r="BB71" s="23"/>
      <c r="BC71" s="79"/>
      <c r="BD71" s="79"/>
      <c r="BE71" s="79"/>
      <c r="BF71" s="79"/>
      <c r="BG71" s="23"/>
      <c r="BH71" s="23"/>
      <c r="BI71" s="23"/>
      <c r="BJ71" s="23"/>
      <c r="BK71" s="23"/>
      <c r="BL71" s="23"/>
      <c r="BM71" s="23"/>
      <c r="BN71" s="23"/>
      <c r="BO71" s="23"/>
      <c r="BP71" s="23"/>
      <c r="BQ71" s="23"/>
      <c r="BR71" s="23"/>
      <c r="BS71" s="23"/>
      <c r="BT71" s="23"/>
      <c r="BU71" s="23"/>
      <c r="BV71" s="23"/>
      <c r="BW71" s="23"/>
      <c r="BX71" s="23"/>
      <c r="BY71" s="23"/>
      <c r="BZ71" s="23"/>
      <c r="CA71" s="23"/>
      <c r="CB71" s="81"/>
      <c r="CC71" s="78"/>
      <c r="CD71" s="79"/>
      <c r="CE71" s="79"/>
      <c r="CF71" s="23"/>
      <c r="CG71" s="23"/>
      <c r="CH71" s="23"/>
      <c r="CI71" s="23"/>
      <c r="CJ71" s="23"/>
      <c r="CK71" s="23"/>
      <c r="CL71" s="23"/>
      <c r="CM71" s="23"/>
      <c r="CN71" s="23"/>
      <c r="CO71" s="23"/>
      <c r="CP71" s="23"/>
      <c r="CQ71" s="23"/>
      <c r="CR71" s="23"/>
      <c r="CS71" s="23"/>
      <c r="CT71" s="23"/>
      <c r="CU71" s="23"/>
      <c r="CV71" s="23"/>
      <c r="CW71" s="23"/>
      <c r="CX71" s="23"/>
      <c r="CY71" s="23"/>
      <c r="CZ71" s="23"/>
      <c r="DA71" s="81"/>
      <c r="DB71" s="78"/>
      <c r="DC71" s="79"/>
      <c r="DD71" s="79"/>
      <c r="DE71" s="23"/>
      <c r="DF71" s="23"/>
      <c r="DG71" s="23"/>
      <c r="DH71" s="23"/>
      <c r="DI71" s="23"/>
      <c r="DJ71" s="23"/>
      <c r="DK71" s="23"/>
      <c r="DL71" s="23"/>
      <c r="DM71" s="23"/>
      <c r="DN71" s="23"/>
      <c r="DO71" s="23"/>
      <c r="DP71" s="23"/>
      <c r="DQ71" s="23"/>
      <c r="DR71" s="23"/>
      <c r="DS71" s="23"/>
      <c r="DT71" s="23"/>
      <c r="DU71" s="23"/>
      <c r="DV71" s="23"/>
      <c r="DW71" s="23"/>
      <c r="DX71" s="23"/>
      <c r="DY71" s="23"/>
      <c r="DZ71" s="81"/>
      <c r="EA71" s="78"/>
      <c r="EB71" s="79"/>
      <c r="EC71" s="79"/>
      <c r="ED71" s="23"/>
      <c r="EE71" s="23"/>
      <c r="EF71" s="23"/>
      <c r="EG71" s="23"/>
      <c r="EH71" s="23"/>
      <c r="EI71" s="23"/>
      <c r="EJ71" s="23"/>
      <c r="EK71" s="23"/>
      <c r="EL71" s="23"/>
      <c r="EM71" s="23"/>
      <c r="EN71" s="23"/>
      <c r="EO71" s="23"/>
      <c r="EP71" s="23"/>
      <c r="EQ71" s="23"/>
      <c r="ER71" s="23"/>
      <c r="ES71" s="23"/>
      <c r="ET71" s="23"/>
      <c r="EU71" s="23"/>
      <c r="EV71" s="23"/>
      <c r="EW71" s="23"/>
      <c r="EX71" s="23"/>
      <c r="EY71" s="81"/>
      <c r="EZ71" s="78"/>
      <c r="FA71" s="79"/>
      <c r="FB71" s="79"/>
      <c r="FC71" s="23"/>
      <c r="FD71" s="23"/>
      <c r="FE71" s="23"/>
      <c r="FF71" s="23"/>
      <c r="FG71" s="23"/>
      <c r="FH71" s="23"/>
      <c r="FI71" s="23"/>
      <c r="FJ71" s="23"/>
      <c r="FK71" s="23"/>
      <c r="FL71" s="23"/>
      <c r="FM71" s="23"/>
      <c r="FN71" s="23"/>
      <c r="FO71" s="23"/>
      <c r="FP71" s="23"/>
      <c r="FQ71" s="23"/>
      <c r="FR71" s="23"/>
      <c r="FS71" s="23"/>
    </row>
    <row r="72" spans="1:175" ht="14.5" customHeight="1" x14ac:dyDescent="0.35">
      <c r="A72" s="23"/>
      <c r="B72" s="23"/>
      <c r="C72" s="23"/>
      <c r="D72" s="23"/>
      <c r="E72" s="94" t="s">
        <v>83</v>
      </c>
      <c r="F72" s="107">
        <f>Week4endweight/(HeightMeters*HeightMeters)</f>
        <v>44.287062798319887</v>
      </c>
      <c r="G72" s="120"/>
      <c r="H72" s="120"/>
      <c r="I72" s="23"/>
      <c r="J72" s="23"/>
      <c r="K72" s="23"/>
      <c r="L72" s="23"/>
      <c r="M72" s="23"/>
      <c r="N72" s="23"/>
      <c r="O72" s="23"/>
      <c r="P72" s="23"/>
      <c r="Q72" s="23"/>
      <c r="R72" s="23"/>
      <c r="S72" s="23"/>
      <c r="T72" s="23"/>
      <c r="U72" s="23"/>
      <c r="V72" s="23"/>
      <c r="W72" s="23"/>
      <c r="X72" s="23"/>
      <c r="Y72" s="23"/>
      <c r="Z72" s="23"/>
      <c r="AA72" s="23"/>
      <c r="AB72" s="23"/>
      <c r="AC72" s="23"/>
      <c r="AD72" s="39"/>
      <c r="AE72" s="39"/>
      <c r="AF72" s="39"/>
      <c r="AG72" s="39"/>
      <c r="AH72" s="23"/>
      <c r="AI72" s="23"/>
      <c r="AJ72" s="23"/>
      <c r="AK72" s="23"/>
      <c r="AL72" s="23"/>
      <c r="AM72" s="23"/>
      <c r="AN72" s="23"/>
      <c r="AO72" s="23"/>
      <c r="AP72" s="23"/>
      <c r="AQ72" s="23"/>
      <c r="AR72" s="23"/>
      <c r="AS72" s="23"/>
      <c r="AT72" s="23"/>
      <c r="AU72" s="23"/>
      <c r="AV72" s="23"/>
      <c r="AW72" s="23"/>
      <c r="AX72" s="23"/>
      <c r="AY72" s="23"/>
      <c r="AZ72" s="23"/>
      <c r="BA72" s="23"/>
      <c r="BB72" s="23"/>
      <c r="BC72" s="79"/>
      <c r="BD72" s="79"/>
      <c r="BE72" s="79"/>
      <c r="BF72" s="79"/>
      <c r="BG72" s="23"/>
      <c r="BH72" s="23"/>
      <c r="BI72" s="23"/>
      <c r="BJ72" s="23"/>
      <c r="BK72" s="23"/>
      <c r="BL72" s="23"/>
      <c r="BM72" s="23"/>
      <c r="BN72" s="23"/>
      <c r="BO72" s="23"/>
      <c r="BP72" s="23"/>
      <c r="BQ72" s="23"/>
      <c r="BR72" s="23"/>
      <c r="BS72" s="23"/>
      <c r="BT72" s="23"/>
      <c r="BU72" s="23"/>
      <c r="BV72" s="23"/>
      <c r="BW72" s="23"/>
      <c r="BX72" s="23"/>
      <c r="BY72" s="23"/>
      <c r="BZ72" s="23"/>
      <c r="CA72" s="23"/>
      <c r="CB72" s="80" t="s">
        <v>76</v>
      </c>
      <c r="CC72" s="76"/>
      <c r="CD72" s="77"/>
      <c r="CE72" s="77"/>
      <c r="CF72" s="23"/>
      <c r="CG72" s="23"/>
      <c r="CH72" s="23"/>
      <c r="CI72" s="23"/>
      <c r="CJ72" s="23"/>
      <c r="CK72" s="23"/>
      <c r="CL72" s="23"/>
      <c r="CM72" s="23"/>
      <c r="CN72" s="23"/>
      <c r="CO72" s="23"/>
      <c r="CP72" s="23"/>
      <c r="CQ72" s="23"/>
      <c r="CR72" s="23"/>
      <c r="CS72" s="23"/>
      <c r="CT72" s="23"/>
      <c r="CU72" s="23"/>
      <c r="CV72" s="23"/>
      <c r="CW72" s="23"/>
      <c r="CX72" s="23"/>
      <c r="CY72" s="23"/>
      <c r="CZ72" s="23"/>
      <c r="DA72" s="80" t="s">
        <v>76</v>
      </c>
      <c r="DB72" s="76"/>
      <c r="DC72" s="77"/>
      <c r="DD72" s="77"/>
      <c r="DE72" s="23"/>
      <c r="DF72" s="23"/>
      <c r="DG72" s="23"/>
      <c r="DH72" s="23"/>
      <c r="DI72" s="23"/>
      <c r="DJ72" s="23"/>
      <c r="DK72" s="23"/>
      <c r="DL72" s="23"/>
      <c r="DM72" s="23"/>
      <c r="DN72" s="23"/>
      <c r="DO72" s="23"/>
      <c r="DP72" s="23"/>
      <c r="DQ72" s="23"/>
      <c r="DR72" s="23"/>
      <c r="DS72" s="23"/>
      <c r="DT72" s="23"/>
      <c r="DU72" s="23"/>
      <c r="DV72" s="23"/>
      <c r="DW72" s="23"/>
      <c r="DX72" s="23"/>
      <c r="DY72" s="23"/>
      <c r="DZ72" s="80" t="s">
        <v>76</v>
      </c>
      <c r="EA72" s="76"/>
      <c r="EB72" s="77"/>
      <c r="EC72" s="77"/>
      <c r="ED72" s="23"/>
      <c r="EE72" s="23"/>
      <c r="EF72" s="23"/>
      <c r="EG72" s="23"/>
      <c r="EH72" s="23"/>
      <c r="EI72" s="23"/>
      <c r="EJ72" s="23"/>
      <c r="EK72" s="23"/>
      <c r="EL72" s="23"/>
      <c r="EM72" s="23"/>
      <c r="EN72" s="23"/>
      <c r="EO72" s="23"/>
      <c r="EP72" s="23"/>
      <c r="EQ72" s="23"/>
      <c r="ER72" s="23"/>
      <c r="ES72" s="23"/>
      <c r="ET72" s="23"/>
      <c r="EU72" s="23"/>
      <c r="EV72" s="23"/>
      <c r="EW72" s="23"/>
      <c r="EX72" s="23"/>
      <c r="EY72" s="80" t="s">
        <v>76</v>
      </c>
      <c r="EZ72" s="76"/>
      <c r="FA72" s="77"/>
      <c r="FB72" s="77"/>
      <c r="FC72" s="23"/>
      <c r="FD72" s="23"/>
      <c r="FE72" s="23"/>
      <c r="FF72" s="23"/>
      <c r="FG72" s="23"/>
      <c r="FH72" s="23"/>
      <c r="FI72" s="23"/>
      <c r="FJ72" s="23"/>
      <c r="FK72" s="23"/>
      <c r="FL72" s="23"/>
      <c r="FM72" s="23"/>
      <c r="FN72" s="23"/>
      <c r="FO72" s="23"/>
      <c r="FP72" s="23"/>
      <c r="FQ72" s="23"/>
      <c r="FR72" s="23"/>
      <c r="FS72" s="23"/>
    </row>
    <row r="73" spans="1:175" ht="14.5" customHeight="1" x14ac:dyDescent="0.35">
      <c r="A73" s="23"/>
      <c r="B73" s="23"/>
      <c r="C73" s="23"/>
      <c r="D73" s="23"/>
      <c r="E73" s="94"/>
      <c r="F73" s="109"/>
      <c r="G73" s="121"/>
      <c r="H73" s="121"/>
      <c r="I73" s="23"/>
      <c r="J73" s="23"/>
      <c r="K73" s="23"/>
      <c r="L73" s="23"/>
      <c r="M73" s="23"/>
      <c r="N73" s="23"/>
      <c r="O73" s="23"/>
      <c r="P73" s="23"/>
      <c r="Q73" s="23"/>
      <c r="R73" s="23"/>
      <c r="S73" s="23"/>
      <c r="T73" s="23"/>
      <c r="U73" s="23"/>
      <c r="V73" s="23"/>
      <c r="W73" s="23"/>
      <c r="X73" s="23"/>
      <c r="Y73" s="23"/>
      <c r="Z73" s="23"/>
      <c r="AA73" s="23"/>
      <c r="AB73" s="23"/>
      <c r="AC73" s="23"/>
      <c r="AD73" s="39"/>
      <c r="AE73" s="39"/>
      <c r="AF73" s="39"/>
      <c r="AG73" s="39"/>
      <c r="AH73" s="23"/>
      <c r="AI73" s="23"/>
      <c r="AJ73" s="23"/>
      <c r="AK73" s="23"/>
      <c r="AL73" s="23"/>
      <c r="AM73" s="23"/>
      <c r="AN73" s="23"/>
      <c r="AO73" s="23"/>
      <c r="AP73" s="23"/>
      <c r="AQ73" s="23"/>
      <c r="AR73" s="23"/>
      <c r="AS73" s="23"/>
      <c r="AT73" s="23"/>
      <c r="AU73" s="23"/>
      <c r="AV73" s="23"/>
      <c r="AW73" s="23"/>
      <c r="AX73" s="23"/>
      <c r="AY73" s="23"/>
      <c r="AZ73" s="23"/>
      <c r="BA73" s="23"/>
      <c r="BB73" s="23"/>
      <c r="BC73" s="79"/>
      <c r="BD73" s="79"/>
      <c r="BE73" s="79"/>
      <c r="BF73" s="79"/>
      <c r="BG73" s="23"/>
      <c r="BH73" s="23"/>
      <c r="BI73" s="23"/>
      <c r="BJ73" s="23"/>
      <c r="BK73" s="23"/>
      <c r="BL73" s="23"/>
      <c r="BM73" s="23"/>
      <c r="BN73" s="23"/>
      <c r="BO73" s="23"/>
      <c r="BP73" s="23"/>
      <c r="BQ73" s="23"/>
      <c r="BR73" s="23"/>
      <c r="BS73" s="23"/>
      <c r="BT73" s="23"/>
      <c r="BU73" s="23"/>
      <c r="BV73" s="23"/>
      <c r="BW73" s="23"/>
      <c r="BX73" s="23"/>
      <c r="BY73" s="23"/>
      <c r="BZ73" s="23"/>
      <c r="CA73" s="23"/>
      <c r="CB73" s="80"/>
      <c r="CC73" s="78"/>
      <c r="CD73" s="79"/>
      <c r="CE73" s="79"/>
      <c r="CF73" s="23"/>
      <c r="CG73" s="23"/>
      <c r="CH73" s="23"/>
      <c r="CI73" s="23"/>
      <c r="CJ73" s="23"/>
      <c r="CK73" s="23"/>
      <c r="CL73" s="23"/>
      <c r="CM73" s="23"/>
      <c r="CN73" s="23"/>
      <c r="CO73" s="23"/>
      <c r="CP73" s="23"/>
      <c r="CQ73" s="23"/>
      <c r="CR73" s="23"/>
      <c r="CS73" s="23"/>
      <c r="CT73" s="23"/>
      <c r="CU73" s="23"/>
      <c r="CV73" s="23"/>
      <c r="CW73" s="23"/>
      <c r="CX73" s="23"/>
      <c r="CY73" s="23"/>
      <c r="CZ73" s="23"/>
      <c r="DA73" s="80"/>
      <c r="DB73" s="78"/>
      <c r="DC73" s="79"/>
      <c r="DD73" s="79"/>
      <c r="DE73" s="23"/>
      <c r="DF73" s="23"/>
      <c r="DG73" s="23"/>
      <c r="DH73" s="23"/>
      <c r="DI73" s="23"/>
      <c r="DJ73" s="23"/>
      <c r="DK73" s="23"/>
      <c r="DL73" s="23"/>
      <c r="DM73" s="23"/>
      <c r="DN73" s="23"/>
      <c r="DO73" s="23"/>
      <c r="DP73" s="23"/>
      <c r="DQ73" s="23"/>
      <c r="DR73" s="23"/>
      <c r="DS73" s="23"/>
      <c r="DT73" s="23"/>
      <c r="DU73" s="23"/>
      <c r="DV73" s="23"/>
      <c r="DW73" s="23"/>
      <c r="DX73" s="23"/>
      <c r="DY73" s="23"/>
      <c r="DZ73" s="80"/>
      <c r="EA73" s="78"/>
      <c r="EB73" s="79"/>
      <c r="EC73" s="79"/>
      <c r="ED73" s="23"/>
      <c r="EE73" s="23"/>
      <c r="EF73" s="23"/>
      <c r="EG73" s="23"/>
      <c r="EH73" s="23"/>
      <c r="EI73" s="23"/>
      <c r="EJ73" s="23"/>
      <c r="EK73" s="23"/>
      <c r="EL73" s="23"/>
      <c r="EM73" s="23"/>
      <c r="EN73" s="23"/>
      <c r="EO73" s="23"/>
      <c r="EP73" s="23"/>
      <c r="EQ73" s="23"/>
      <c r="ER73" s="23"/>
      <c r="ES73" s="23"/>
      <c r="ET73" s="23"/>
      <c r="EU73" s="23"/>
      <c r="EV73" s="23"/>
      <c r="EW73" s="23"/>
      <c r="EX73" s="23"/>
      <c r="EY73" s="80"/>
      <c r="EZ73" s="78"/>
      <c r="FA73" s="79"/>
      <c r="FB73" s="79"/>
      <c r="FC73" s="23"/>
      <c r="FD73" s="23"/>
      <c r="FE73" s="23"/>
      <c r="FF73" s="23"/>
      <c r="FG73" s="23"/>
      <c r="FH73" s="23"/>
      <c r="FI73" s="23"/>
      <c r="FJ73" s="23"/>
      <c r="FK73" s="23"/>
      <c r="FL73" s="23"/>
      <c r="FM73" s="23"/>
      <c r="FN73" s="23"/>
      <c r="FO73" s="23"/>
      <c r="FP73" s="23"/>
      <c r="FQ73" s="23"/>
      <c r="FR73" s="23"/>
      <c r="FS73" s="23"/>
    </row>
    <row r="74" spans="1:175" ht="14.5" customHeight="1" x14ac:dyDescent="0.35">
      <c r="A74" s="23"/>
      <c r="B74" s="23"/>
      <c r="C74" s="23"/>
      <c r="D74" s="23"/>
      <c r="E74" s="94"/>
      <c r="F74" s="109"/>
      <c r="G74" s="121"/>
      <c r="H74" s="121"/>
      <c r="I74" s="23"/>
      <c r="J74" s="23"/>
      <c r="K74" s="23"/>
      <c r="L74" s="23"/>
      <c r="M74" s="23"/>
      <c r="N74" s="23"/>
      <c r="O74" s="23"/>
      <c r="P74" s="23"/>
      <c r="Q74" s="23"/>
      <c r="R74" s="23"/>
      <c r="S74" s="23"/>
      <c r="T74" s="23"/>
      <c r="U74" s="23"/>
      <c r="V74" s="23"/>
      <c r="W74" s="23"/>
      <c r="X74" s="23"/>
      <c r="Y74" s="23"/>
      <c r="Z74" s="23"/>
      <c r="AA74" s="23"/>
      <c r="AB74" s="23"/>
      <c r="AC74" s="23"/>
      <c r="AD74" s="39"/>
      <c r="AE74" s="39"/>
      <c r="AF74" s="39"/>
      <c r="AG74" s="39"/>
      <c r="AH74" s="23"/>
      <c r="AI74" s="23"/>
      <c r="AJ74" s="23"/>
      <c r="AK74" s="23"/>
      <c r="AL74" s="23"/>
      <c r="AM74" s="23"/>
      <c r="AN74" s="23"/>
      <c r="AO74" s="23"/>
      <c r="AP74" s="23"/>
      <c r="AQ74" s="23"/>
      <c r="AR74" s="23"/>
      <c r="AS74" s="23"/>
      <c r="AT74" s="23"/>
      <c r="AU74" s="23"/>
      <c r="AV74" s="23"/>
      <c r="AW74" s="23"/>
      <c r="AX74" s="23"/>
      <c r="AY74" s="23"/>
      <c r="AZ74" s="23"/>
      <c r="BA74" s="23"/>
      <c r="BB74" s="23"/>
      <c r="BC74" s="79"/>
      <c r="BD74" s="79"/>
      <c r="BE74" s="79"/>
      <c r="BF74" s="79"/>
      <c r="BG74" s="23"/>
      <c r="BH74" s="23"/>
      <c r="BI74" s="23"/>
      <c r="BJ74" s="23"/>
      <c r="BK74" s="23"/>
      <c r="BL74" s="23"/>
      <c r="BM74" s="23"/>
      <c r="BN74" s="23"/>
      <c r="BO74" s="23"/>
      <c r="BP74" s="23"/>
      <c r="BQ74" s="23"/>
      <c r="BR74" s="23"/>
      <c r="BS74" s="23"/>
      <c r="BT74" s="23"/>
      <c r="BU74" s="23"/>
      <c r="BV74" s="23"/>
      <c r="BW74" s="23"/>
      <c r="BX74" s="23"/>
      <c r="BY74" s="23"/>
      <c r="BZ74" s="23"/>
      <c r="CA74" s="23"/>
      <c r="CB74" s="80"/>
      <c r="CC74" s="78"/>
      <c r="CD74" s="79"/>
      <c r="CE74" s="79"/>
      <c r="CF74" s="23"/>
      <c r="CG74" s="23"/>
      <c r="CH74" s="23"/>
      <c r="CI74" s="23"/>
      <c r="CJ74" s="23"/>
      <c r="CK74" s="23"/>
      <c r="CL74" s="23"/>
      <c r="CM74" s="23"/>
      <c r="CN74" s="23"/>
      <c r="CO74" s="23"/>
      <c r="CP74" s="23"/>
      <c r="CQ74" s="23"/>
      <c r="CR74" s="23"/>
      <c r="CS74" s="23"/>
      <c r="CT74" s="23"/>
      <c r="CU74" s="23"/>
      <c r="CV74" s="23"/>
      <c r="CW74" s="23"/>
      <c r="CX74" s="23"/>
      <c r="CY74" s="23"/>
      <c r="CZ74" s="23"/>
      <c r="DA74" s="80"/>
      <c r="DB74" s="78"/>
      <c r="DC74" s="79"/>
      <c r="DD74" s="79"/>
      <c r="DE74" s="23"/>
      <c r="DF74" s="23"/>
      <c r="DG74" s="23"/>
      <c r="DH74" s="23"/>
      <c r="DI74" s="23"/>
      <c r="DJ74" s="23"/>
      <c r="DK74" s="23"/>
      <c r="DL74" s="23"/>
      <c r="DM74" s="23"/>
      <c r="DN74" s="23"/>
      <c r="DO74" s="23"/>
      <c r="DP74" s="23"/>
      <c r="DQ74" s="23"/>
      <c r="DR74" s="23"/>
      <c r="DS74" s="23"/>
      <c r="DT74" s="23"/>
      <c r="DU74" s="23"/>
      <c r="DV74" s="23"/>
      <c r="DW74" s="23"/>
      <c r="DX74" s="23"/>
      <c r="DY74" s="23"/>
      <c r="DZ74" s="80"/>
      <c r="EA74" s="78"/>
      <c r="EB74" s="79"/>
      <c r="EC74" s="79"/>
      <c r="ED74" s="23"/>
      <c r="EE74" s="23"/>
      <c r="EF74" s="23"/>
      <c r="EG74" s="23"/>
      <c r="EH74" s="23"/>
      <c r="EI74" s="23"/>
      <c r="EJ74" s="23"/>
      <c r="EK74" s="23"/>
      <c r="EL74" s="23"/>
      <c r="EM74" s="23"/>
      <c r="EN74" s="23"/>
      <c r="EO74" s="23"/>
      <c r="EP74" s="23"/>
      <c r="EQ74" s="23"/>
      <c r="ER74" s="23"/>
      <c r="ES74" s="23"/>
      <c r="ET74" s="23"/>
      <c r="EU74" s="23"/>
      <c r="EV74" s="23"/>
      <c r="EW74" s="23"/>
      <c r="EX74" s="23"/>
      <c r="EY74" s="80"/>
      <c r="EZ74" s="78"/>
      <c r="FA74" s="79"/>
      <c r="FB74" s="79"/>
      <c r="FC74" s="23"/>
      <c r="FD74" s="23"/>
      <c r="FE74" s="23"/>
      <c r="FF74" s="23"/>
      <c r="FG74" s="23"/>
      <c r="FH74" s="23"/>
      <c r="FI74" s="23"/>
      <c r="FJ74" s="23"/>
      <c r="FK74" s="23"/>
      <c r="FL74" s="23"/>
      <c r="FM74" s="23"/>
      <c r="FN74" s="23"/>
      <c r="FO74" s="23"/>
      <c r="FP74" s="23"/>
      <c r="FQ74" s="23"/>
      <c r="FR74" s="23"/>
      <c r="FS74" s="23"/>
    </row>
    <row r="75" spans="1:175" ht="15" customHeight="1" thickBot="1" x14ac:dyDescent="0.4">
      <c r="A75" s="23"/>
      <c r="B75" s="23"/>
      <c r="C75" s="23"/>
      <c r="D75" s="23"/>
      <c r="E75" s="95"/>
      <c r="F75" s="109"/>
      <c r="G75" s="121"/>
      <c r="H75" s="121"/>
      <c r="I75" s="23"/>
      <c r="J75" s="23"/>
      <c r="K75" s="23"/>
      <c r="L75" s="23"/>
      <c r="M75" s="23"/>
      <c r="N75" s="23"/>
      <c r="O75" s="23"/>
      <c r="P75" s="23"/>
      <c r="Q75" s="23"/>
      <c r="R75" s="23"/>
      <c r="S75" s="23"/>
      <c r="T75" s="23"/>
      <c r="U75" s="23"/>
      <c r="V75" s="23"/>
      <c r="W75" s="23"/>
      <c r="X75" s="23"/>
      <c r="Y75" s="23"/>
      <c r="Z75" s="23"/>
      <c r="AA75" s="23"/>
      <c r="AB75" s="23"/>
      <c r="AC75" s="23"/>
      <c r="AD75" s="39"/>
      <c r="AE75" s="39"/>
      <c r="AF75" s="39"/>
      <c r="AG75" s="39" t="s">
        <v>77</v>
      </c>
      <c r="AH75" s="23"/>
      <c r="AI75" s="23"/>
      <c r="AJ75" s="23"/>
      <c r="AK75" s="23"/>
      <c r="AL75" s="23"/>
      <c r="AM75" s="23"/>
      <c r="AN75" s="23"/>
      <c r="AO75" s="23"/>
      <c r="AP75" s="23"/>
      <c r="AQ75" s="23"/>
      <c r="AR75" s="23"/>
      <c r="AS75" s="23"/>
      <c r="AT75" s="23"/>
      <c r="AU75" s="23"/>
      <c r="AV75" s="23"/>
      <c r="AW75" s="23"/>
      <c r="AX75" s="23"/>
      <c r="AY75" s="23"/>
      <c r="AZ75" s="23"/>
      <c r="BA75" s="23"/>
      <c r="BB75" s="23"/>
      <c r="BC75" s="79"/>
      <c r="BD75" s="79"/>
      <c r="BE75" s="79"/>
      <c r="BF75" s="79"/>
      <c r="BG75" s="23"/>
      <c r="BH75" s="23"/>
      <c r="BI75" s="23"/>
      <c r="BJ75" s="23"/>
      <c r="BK75" s="23"/>
      <c r="BL75" s="23"/>
      <c r="BM75" s="23"/>
      <c r="BN75" s="23"/>
      <c r="BO75" s="23"/>
      <c r="BP75" s="23"/>
      <c r="BQ75" s="23"/>
      <c r="BR75" s="23"/>
      <c r="BS75" s="23"/>
      <c r="BT75" s="23"/>
      <c r="BU75" s="23"/>
      <c r="BV75" s="23"/>
      <c r="BW75" s="23"/>
      <c r="BX75" s="23"/>
      <c r="BY75" s="23"/>
      <c r="BZ75" s="23"/>
      <c r="CA75" s="23"/>
      <c r="CB75" s="81"/>
      <c r="CC75" s="78"/>
      <c r="CD75" s="79"/>
      <c r="CE75" s="79"/>
      <c r="CF75" s="23"/>
      <c r="CG75" s="23"/>
      <c r="CH75" s="23"/>
      <c r="CI75" s="23"/>
      <c r="CJ75" s="23"/>
      <c r="CK75" s="23"/>
      <c r="CL75" s="23"/>
      <c r="CM75" s="23"/>
      <c r="CN75" s="23"/>
      <c r="CO75" s="23"/>
      <c r="CP75" s="23"/>
      <c r="CQ75" s="23"/>
      <c r="CR75" s="23"/>
      <c r="CS75" s="23"/>
      <c r="CT75" s="23"/>
      <c r="CU75" s="23"/>
      <c r="CV75" s="23"/>
      <c r="CW75" s="23"/>
      <c r="CX75" s="23"/>
      <c r="CY75" s="23"/>
      <c r="CZ75" s="23"/>
      <c r="DA75" s="81"/>
      <c r="DB75" s="78"/>
      <c r="DC75" s="79"/>
      <c r="DD75" s="79"/>
      <c r="DE75" s="23"/>
      <c r="DF75" s="23"/>
      <c r="DG75" s="23"/>
      <c r="DH75" s="23"/>
      <c r="DI75" s="23"/>
      <c r="DJ75" s="23"/>
      <c r="DK75" s="23"/>
      <c r="DL75" s="23"/>
      <c r="DM75" s="23"/>
      <c r="DN75" s="23"/>
      <c r="DO75" s="23"/>
      <c r="DP75" s="23"/>
      <c r="DQ75" s="23"/>
      <c r="DR75" s="23"/>
      <c r="DS75" s="23"/>
      <c r="DT75" s="23"/>
      <c r="DU75" s="23"/>
      <c r="DV75" s="23"/>
      <c r="DW75" s="23"/>
      <c r="DX75" s="23"/>
      <c r="DY75" s="23"/>
      <c r="DZ75" s="81"/>
      <c r="EA75" s="78"/>
      <c r="EB75" s="79"/>
      <c r="EC75" s="79"/>
      <c r="ED75" s="23"/>
      <c r="EE75" s="23"/>
      <c r="EF75" s="23"/>
      <c r="EG75" s="23"/>
      <c r="EH75" s="23"/>
      <c r="EI75" s="23"/>
      <c r="EJ75" s="23"/>
      <c r="EK75" s="23"/>
      <c r="EL75" s="23"/>
      <c r="EM75" s="23"/>
      <c r="EN75" s="23"/>
      <c r="EO75" s="23"/>
      <c r="EP75" s="23"/>
      <c r="EQ75" s="23"/>
      <c r="ER75" s="23"/>
      <c r="ES75" s="23"/>
      <c r="ET75" s="23"/>
      <c r="EU75" s="23"/>
      <c r="EV75" s="23"/>
      <c r="EW75" s="23"/>
      <c r="EX75" s="23"/>
      <c r="EY75" s="81"/>
      <c r="EZ75" s="78"/>
      <c r="FA75" s="79"/>
      <c r="FB75" s="79"/>
      <c r="FC75" s="23"/>
      <c r="FD75" s="23"/>
      <c r="FE75" s="23"/>
      <c r="FF75" s="23"/>
      <c r="FG75" s="23"/>
      <c r="FH75" s="23"/>
      <c r="FI75" s="23"/>
      <c r="FJ75" s="23"/>
      <c r="FK75" s="23"/>
      <c r="FL75" s="23"/>
      <c r="FM75" s="23"/>
      <c r="FN75" s="23"/>
      <c r="FO75" s="23"/>
      <c r="FP75" s="23"/>
      <c r="FQ75" s="23"/>
      <c r="FR75" s="23"/>
      <c r="FS75" s="23"/>
    </row>
    <row r="76" spans="1:175" x14ac:dyDescent="0.3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row>
    <row r="77" spans="1:175" x14ac:dyDescent="0.3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23"/>
      <c r="FG77" s="23"/>
      <c r="FH77" s="23"/>
      <c r="FI77" s="23"/>
      <c r="FJ77" s="23"/>
      <c r="FK77" s="23"/>
      <c r="FL77" s="23"/>
      <c r="FM77" s="23"/>
      <c r="FN77" s="23"/>
      <c r="FO77" s="23"/>
      <c r="FP77" s="23"/>
      <c r="FQ77" s="23"/>
      <c r="FR77" s="23"/>
      <c r="FS77" s="23"/>
    </row>
    <row r="78" spans="1:175" x14ac:dyDescent="0.3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row>
  </sheetData>
  <mergeCells count="246">
    <mergeCell ref="DB72:DD75"/>
    <mergeCell ref="DZ72:DZ75"/>
    <mergeCell ref="EA72:EC75"/>
    <mergeCell ref="EY72:EY75"/>
    <mergeCell ref="EZ72:FB75"/>
    <mergeCell ref="BC72:BC75"/>
    <mergeCell ref="BD72:BF75"/>
    <mergeCell ref="CB72:CB75"/>
    <mergeCell ref="CC72:CE75"/>
    <mergeCell ref="DA72:DA75"/>
    <mergeCell ref="EY64:EY67"/>
    <mergeCell ref="EZ64:FB67"/>
    <mergeCell ref="BC64:BC67"/>
    <mergeCell ref="BD64:BF67"/>
    <mergeCell ref="CB64:CB67"/>
    <mergeCell ref="CC64:CE67"/>
    <mergeCell ref="DA64:DA67"/>
    <mergeCell ref="DB68:DD71"/>
    <mergeCell ref="DZ68:DZ71"/>
    <mergeCell ref="EA68:EC71"/>
    <mergeCell ref="EY68:EY71"/>
    <mergeCell ref="EZ68:FB71"/>
    <mergeCell ref="BC68:BC71"/>
    <mergeCell ref="BD68:BF71"/>
    <mergeCell ref="CB68:CB71"/>
    <mergeCell ref="CC68:CE71"/>
    <mergeCell ref="DA68:DA71"/>
    <mergeCell ref="DB60:DD63"/>
    <mergeCell ref="DZ60:DZ63"/>
    <mergeCell ref="EA60:EC63"/>
    <mergeCell ref="BC60:BC63"/>
    <mergeCell ref="BD60:BF63"/>
    <mergeCell ref="CB60:CB63"/>
    <mergeCell ref="CC60:CE63"/>
    <mergeCell ref="DA60:DA63"/>
    <mergeCell ref="DB64:DD67"/>
    <mergeCell ref="DZ64:DZ67"/>
    <mergeCell ref="EA64:EC67"/>
    <mergeCell ref="DB52:DD55"/>
    <mergeCell ref="DZ52:DZ55"/>
    <mergeCell ref="EA52:EC55"/>
    <mergeCell ref="BC52:BC55"/>
    <mergeCell ref="BD52:BF55"/>
    <mergeCell ref="CB52:CB55"/>
    <mergeCell ref="CC52:CE55"/>
    <mergeCell ref="DA52:DA55"/>
    <mergeCell ref="DB56:DD59"/>
    <mergeCell ref="DZ56:DZ59"/>
    <mergeCell ref="EA56:EC59"/>
    <mergeCell ref="BC56:BC59"/>
    <mergeCell ref="BD56:BF59"/>
    <mergeCell ref="CB56:CB59"/>
    <mergeCell ref="CC56:CE59"/>
    <mergeCell ref="DA56:DA59"/>
    <mergeCell ref="BC50:BF51"/>
    <mergeCell ref="CB50:CE51"/>
    <mergeCell ref="DA50:DD51"/>
    <mergeCell ref="DZ50:EC51"/>
    <mergeCell ref="DY39:DY42"/>
    <mergeCell ref="DZ39:DZ42"/>
    <mergeCell ref="EA39:EA42"/>
    <mergeCell ref="EW39:EW42"/>
    <mergeCell ref="EX39:EX42"/>
    <mergeCell ref="CY39:CY42"/>
    <mergeCell ref="CZ39:CZ42"/>
    <mergeCell ref="DA39:DA42"/>
    <mergeCell ref="DB39:DB42"/>
    <mergeCell ref="DX39:DX42"/>
    <mergeCell ref="EZ35:EZ38"/>
    <mergeCell ref="AB39:AB42"/>
    <mergeCell ref="AC39:AC42"/>
    <mergeCell ref="AD39:AD42"/>
    <mergeCell ref="AE39:AE42"/>
    <mergeCell ref="BA39:BA42"/>
    <mergeCell ref="BB39:BB42"/>
    <mergeCell ref="BC39:BC42"/>
    <mergeCell ref="BD39:BD42"/>
    <mergeCell ref="BZ39:BZ42"/>
    <mergeCell ref="CA39:CA42"/>
    <mergeCell ref="CB39:CB42"/>
    <mergeCell ref="CC39:CC42"/>
    <mergeCell ref="DB35:DB38"/>
    <mergeCell ref="DX35:DX38"/>
    <mergeCell ref="DY35:DY38"/>
    <mergeCell ref="DZ35:DZ38"/>
    <mergeCell ref="EA35:EA38"/>
    <mergeCell ref="EY39:EY42"/>
    <mergeCell ref="EZ39:EZ42"/>
    <mergeCell ref="EW33:EZ34"/>
    <mergeCell ref="AB35:AB38"/>
    <mergeCell ref="AC35:AC38"/>
    <mergeCell ref="AD35:AD38"/>
    <mergeCell ref="AE35:AE38"/>
    <mergeCell ref="BA35:BA38"/>
    <mergeCell ref="BB35:BB38"/>
    <mergeCell ref="BC35:BC38"/>
    <mergeCell ref="BD35:BD38"/>
    <mergeCell ref="BZ35:BZ38"/>
    <mergeCell ref="CA35:CA38"/>
    <mergeCell ref="CB35:CB38"/>
    <mergeCell ref="CC35:CC38"/>
    <mergeCell ref="CY35:CY38"/>
    <mergeCell ref="CZ35:CZ38"/>
    <mergeCell ref="DA35:DA38"/>
    <mergeCell ref="AB33:AE34"/>
    <mergeCell ref="BA33:BD34"/>
    <mergeCell ref="BZ33:CC34"/>
    <mergeCell ref="CY33:DB34"/>
    <mergeCell ref="DX33:EA34"/>
    <mergeCell ref="EW35:EW38"/>
    <mergeCell ref="EX35:EX38"/>
    <mergeCell ref="EY35:EY38"/>
    <mergeCell ref="EU19:EV22"/>
    <mergeCell ref="EW19:EW22"/>
    <mergeCell ref="EX19:EY22"/>
    <mergeCell ref="EZ19:EZ22"/>
    <mergeCell ref="CZ19:DA22"/>
    <mergeCell ref="DB19:DB22"/>
    <mergeCell ref="DV19:DW22"/>
    <mergeCell ref="DX19:DX22"/>
    <mergeCell ref="DY19:DZ22"/>
    <mergeCell ref="EZ15:EZ18"/>
    <mergeCell ref="Z19:AA22"/>
    <mergeCell ref="AB19:AB22"/>
    <mergeCell ref="AC19:AD22"/>
    <mergeCell ref="AE19:AE22"/>
    <mergeCell ref="AY19:AZ22"/>
    <mergeCell ref="BA19:BA22"/>
    <mergeCell ref="BB19:BC22"/>
    <mergeCell ref="BD19:BD22"/>
    <mergeCell ref="BX19:BY22"/>
    <mergeCell ref="BZ19:BZ22"/>
    <mergeCell ref="CA19:CB22"/>
    <mergeCell ref="CC19:CC22"/>
    <mergeCell ref="CW19:CX22"/>
    <mergeCell ref="CY19:CY22"/>
    <mergeCell ref="DX15:DX18"/>
    <mergeCell ref="DY15:DZ18"/>
    <mergeCell ref="EA15:EA18"/>
    <mergeCell ref="EU15:EV18"/>
    <mergeCell ref="EW15:EW18"/>
    <mergeCell ref="CW15:CX18"/>
    <mergeCell ref="CY15:CY18"/>
    <mergeCell ref="CZ15:DA18"/>
    <mergeCell ref="EA19:EA22"/>
    <mergeCell ref="DB15:DB18"/>
    <mergeCell ref="DV15:DW18"/>
    <mergeCell ref="EU11:EV14"/>
    <mergeCell ref="EW11:EW14"/>
    <mergeCell ref="EX11:EY14"/>
    <mergeCell ref="EZ11:EZ14"/>
    <mergeCell ref="Z15:AA18"/>
    <mergeCell ref="AB15:AB18"/>
    <mergeCell ref="AC15:AD18"/>
    <mergeCell ref="AE15:AE18"/>
    <mergeCell ref="AY15:AZ18"/>
    <mergeCell ref="BA15:BA18"/>
    <mergeCell ref="BB15:BC18"/>
    <mergeCell ref="BD15:BD18"/>
    <mergeCell ref="BX15:BY18"/>
    <mergeCell ref="BZ15:BZ18"/>
    <mergeCell ref="CA15:CB18"/>
    <mergeCell ref="CC15:CC18"/>
    <mergeCell ref="DB11:DB14"/>
    <mergeCell ref="DV11:DW14"/>
    <mergeCell ref="DX11:DX14"/>
    <mergeCell ref="DY11:DZ14"/>
    <mergeCell ref="EA11:EA14"/>
    <mergeCell ref="EX15:EY18"/>
    <mergeCell ref="FC9:FL10"/>
    <mergeCell ref="Z11:AA14"/>
    <mergeCell ref="AB11:AB14"/>
    <mergeCell ref="AC11:AD14"/>
    <mergeCell ref="AE11:AE14"/>
    <mergeCell ref="AY11:AZ14"/>
    <mergeCell ref="BA11:BA14"/>
    <mergeCell ref="BB11:BC14"/>
    <mergeCell ref="BD11:BD14"/>
    <mergeCell ref="BX11:BY14"/>
    <mergeCell ref="BZ11:BZ14"/>
    <mergeCell ref="CA11:CB14"/>
    <mergeCell ref="CC11:CC14"/>
    <mergeCell ref="CW11:CX14"/>
    <mergeCell ref="CY11:CY14"/>
    <mergeCell ref="CZ11:DA14"/>
    <mergeCell ref="EV3:EW4"/>
    <mergeCell ref="EX3:EX4"/>
    <mergeCell ref="Z9:AE10"/>
    <mergeCell ref="AH9:AQ10"/>
    <mergeCell ref="AY9:BD10"/>
    <mergeCell ref="BG9:BP10"/>
    <mergeCell ref="BX9:CC10"/>
    <mergeCell ref="CF9:CO10"/>
    <mergeCell ref="CW9:DB10"/>
    <mergeCell ref="DE9:DN10"/>
    <mergeCell ref="DV9:EA10"/>
    <mergeCell ref="ED9:EM10"/>
    <mergeCell ref="EU9:EZ10"/>
    <mergeCell ref="CA3:CA4"/>
    <mergeCell ref="CX3:CY4"/>
    <mergeCell ref="CZ3:CZ4"/>
    <mergeCell ref="DW3:DX4"/>
    <mergeCell ref="DY3:DY4"/>
    <mergeCell ref="AA3:AB4"/>
    <mergeCell ref="AC3:AC4"/>
    <mergeCell ref="AZ3:BA4"/>
    <mergeCell ref="BB3:BB4"/>
    <mergeCell ref="BY3:BZ4"/>
    <mergeCell ref="E68:E71"/>
    <mergeCell ref="F68:H71"/>
    <mergeCell ref="E72:E75"/>
    <mergeCell ref="F72:H75"/>
    <mergeCell ref="E60:E63"/>
    <mergeCell ref="F60:H63"/>
    <mergeCell ref="C33:F34"/>
    <mergeCell ref="C35:C38"/>
    <mergeCell ref="D35:D38"/>
    <mergeCell ref="E35:E38"/>
    <mergeCell ref="F35:F38"/>
    <mergeCell ref="C39:C42"/>
    <mergeCell ref="D39:D42"/>
    <mergeCell ref="E39:E42"/>
    <mergeCell ref="F39:F42"/>
    <mergeCell ref="E50:H51"/>
    <mergeCell ref="E52:E55"/>
    <mergeCell ref="F52:H55"/>
    <mergeCell ref="E56:E59"/>
    <mergeCell ref="F56:H59"/>
    <mergeCell ref="A19:B22"/>
    <mergeCell ref="C19:C22"/>
    <mergeCell ref="D19:E22"/>
    <mergeCell ref="F19:F22"/>
    <mergeCell ref="B3:C4"/>
    <mergeCell ref="D3:D4"/>
    <mergeCell ref="A9:F10"/>
    <mergeCell ref="E64:E67"/>
    <mergeCell ref="F64:H67"/>
    <mergeCell ref="I9:R10"/>
    <mergeCell ref="A11:B14"/>
    <mergeCell ref="C11:C14"/>
    <mergeCell ref="D11:E14"/>
    <mergeCell ref="F11:F14"/>
    <mergeCell ref="A15:B18"/>
    <mergeCell ref="C15:C18"/>
    <mergeCell ref="D15:E18"/>
    <mergeCell ref="F15:F18"/>
  </mergeCells>
  <conditionalFormatting sqref="F39:F42">
    <cfRule type="containsText" dxfId="27" priority="13" operator="containsText" text="Bad shape">
      <formula>NOT(ISERROR(SEARCH("Bad shape",F39)))</formula>
    </cfRule>
    <cfRule type="containsText" dxfId="26" priority="14" operator="containsText" text="Fit shape">
      <formula>NOT(ISERROR(SEARCH("Fit shape",F39)))</formula>
    </cfRule>
  </conditionalFormatting>
  <conditionalFormatting sqref="AE39:AE42">
    <cfRule type="containsText" dxfId="25" priority="11" operator="containsText" text="Bad shape">
      <formula>NOT(ISERROR(SEARCH("Bad shape",AE39)))</formula>
    </cfRule>
    <cfRule type="containsText" dxfId="24" priority="12" operator="containsText" text="Fit shape">
      <formula>NOT(ISERROR(SEARCH("Fit shape",AE39)))</formula>
    </cfRule>
  </conditionalFormatting>
  <conditionalFormatting sqref="BD39:BD42">
    <cfRule type="containsText" dxfId="23" priority="9" operator="containsText" text="Bad shape">
      <formula>NOT(ISERROR(SEARCH("Bad shape",BD39)))</formula>
    </cfRule>
    <cfRule type="containsText" dxfId="22" priority="10" operator="containsText" text="Fit shape">
      <formula>NOT(ISERROR(SEARCH("Fit shape",BD39)))</formula>
    </cfRule>
  </conditionalFormatting>
  <conditionalFormatting sqref="CC39:CC42">
    <cfRule type="containsText" dxfId="21" priority="7" operator="containsText" text="Bad shape">
      <formula>NOT(ISERROR(SEARCH("Bad shape",CC39)))</formula>
    </cfRule>
    <cfRule type="containsText" dxfId="20" priority="8" operator="containsText" text="Fit shape">
      <formula>NOT(ISERROR(SEARCH("Fit shape",CC39)))</formula>
    </cfRule>
  </conditionalFormatting>
  <conditionalFormatting sqref="DB39:DB42">
    <cfRule type="containsText" dxfId="19" priority="5" operator="containsText" text="Bad shape">
      <formula>NOT(ISERROR(SEARCH("Bad shape",DB39)))</formula>
    </cfRule>
    <cfRule type="containsText" dxfId="18" priority="6" operator="containsText" text="Fit shape">
      <formula>NOT(ISERROR(SEARCH("Fit shape",DB39)))</formula>
    </cfRule>
  </conditionalFormatting>
  <conditionalFormatting sqref="EA39:EA42">
    <cfRule type="containsText" dxfId="17" priority="3" operator="containsText" text="Bad shape">
      <formula>NOT(ISERROR(SEARCH("Bad shape",EA39)))</formula>
    </cfRule>
    <cfRule type="containsText" dxfId="16" priority="4" operator="containsText" text="Fit shape">
      <formula>NOT(ISERROR(SEARCH("Fit shape",EA39)))</formula>
    </cfRule>
  </conditionalFormatting>
  <conditionalFormatting sqref="EZ39:EZ42">
    <cfRule type="containsText" dxfId="15" priority="1" operator="containsText" text="Bad shape">
      <formula>NOT(ISERROR(SEARCH("Bad shape",EZ39)))</formula>
    </cfRule>
    <cfRule type="containsText" dxfId="14" priority="2" operator="containsText" text="Fit shape">
      <formula>NOT(ISERROR(SEARCH("Fit shape",EZ39)))</formula>
    </cfRule>
  </conditionalFormatting>
  <dataValidations count="5">
    <dataValidation type="list" allowBlank="1" showInputMessage="1" showErrorMessage="1" sqref="I13:J30 AH13:AI30 BG13:BH30 CF13:CG30 DE13:DF30 ED13:EE30 FC13:FD30" xr:uid="{04B4C5D3-DF60-45A7-8039-B5810FE06D01}">
      <formula1>EXERCISES</formula1>
    </dataValidation>
    <dataValidation type="list" allowBlank="1" showInputMessage="1" showErrorMessage="1" errorTitle="Error" error="Please ensure the right dinner" promptTitle="Hint" prompt="Select your dinner" sqref="C19:C22 AB19:AB22 BA19:BA22 BZ19:BZ22 CY19:CY22 DX19:DX22 EW19:EW22" xr:uid="{70A843BF-A1A9-4ADD-A38C-3B71E642A941}">
      <formula1>DINNER</formula1>
    </dataValidation>
    <dataValidation type="list" allowBlank="1" showInputMessage="1" showErrorMessage="1" errorTitle="error" error="Please ensure the right lunch" promptTitle="Hint" prompt="select your lunch" sqref="C15:C18 AB15:AB18 BA15:BA18 BZ15:BZ18 CY15:CY18 DX15:DX18 EW15:EW18" xr:uid="{FA675341-89F7-4544-BA87-E2CDE50B462D}">
      <formula1>LUNCH</formula1>
    </dataValidation>
    <dataValidation type="list" allowBlank="1" showInputMessage="1" showErrorMessage="1" errorTitle="error" error="Please ensure the right breakfast" promptTitle="Hint" prompt="Select your breakfast" sqref="C11:C14 AB11:AB14 BA11:BA14 BZ11:BZ14 CY11:CY14 DX11:DX14 EW11:EW14" xr:uid="{95800643-B612-4D08-BB68-CED31D9610BB}">
      <formula1>BREAKFAST</formula1>
    </dataValidation>
    <dataValidation type="list" allowBlank="1" showInputMessage="1" showErrorMessage="1" sqref="M13:N30 AL13:AL29 BK13:BK29 CJ13:CJ29 DI13:DI29 EH13:EH29 FG13:FG29" xr:uid="{9BAC3E19-8941-4B57-AD67-DB06A6E37958}">
      <formula1>ExercisesTime</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E85FF-4063-4EB3-AEC9-BE74DC950207}">
  <dimension ref="A1:GC78"/>
  <sheetViews>
    <sheetView topLeftCell="A24" zoomScale="40" zoomScaleNormal="40" workbookViewId="0">
      <selection activeCell="DX19" sqref="DX19:DX22"/>
    </sheetView>
  </sheetViews>
  <sheetFormatPr defaultRowHeight="14.5" x14ac:dyDescent="0.35"/>
  <cols>
    <col min="5" max="5" width="23.54296875" customWidth="1"/>
    <col min="53" max="53" width="26.26953125" customWidth="1"/>
    <col min="128" max="128" width="39.1796875" customWidth="1"/>
    <col min="153" max="153" width="22.36328125" customWidth="1"/>
  </cols>
  <sheetData>
    <row r="1" spans="1:175" x14ac:dyDescent="0.35">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c r="FJ1" s="23"/>
      <c r="FK1" s="23"/>
      <c r="FL1" s="23"/>
      <c r="FM1" s="23"/>
      <c r="FN1" s="23"/>
      <c r="FO1" s="23"/>
      <c r="FP1" s="23"/>
      <c r="FQ1" s="23"/>
      <c r="FR1" s="23"/>
      <c r="FS1" s="23"/>
    </row>
    <row r="2" spans="1:175" ht="15" thickBot="1" x14ac:dyDescent="0.4">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row>
    <row r="3" spans="1:175" x14ac:dyDescent="0.35">
      <c r="A3" s="23"/>
      <c r="B3" s="82" t="s">
        <v>40</v>
      </c>
      <c r="C3" s="83"/>
      <c r="D3" s="86">
        <f>Week4endweight</f>
        <v>177.14825119327955</v>
      </c>
      <c r="E3" s="23"/>
      <c r="F3" s="23"/>
      <c r="G3" s="23"/>
      <c r="H3" s="23"/>
      <c r="I3" s="23"/>
      <c r="J3" s="23"/>
      <c r="K3" s="23"/>
      <c r="L3" s="23"/>
      <c r="M3" s="23"/>
      <c r="N3" s="23"/>
      <c r="O3" s="23"/>
      <c r="P3" s="23"/>
      <c r="Q3" s="23"/>
      <c r="R3" s="23"/>
      <c r="S3" s="23"/>
      <c r="T3" s="23"/>
      <c r="U3" s="23"/>
      <c r="V3" s="23"/>
      <c r="W3" s="23"/>
      <c r="X3" s="23"/>
      <c r="Y3" s="23"/>
      <c r="Z3" s="23"/>
      <c r="AA3" s="82" t="s">
        <v>40</v>
      </c>
      <c r="AB3" s="83"/>
      <c r="AC3" s="86">
        <f>Week4endweight</f>
        <v>177.14825119327955</v>
      </c>
      <c r="AD3" s="23"/>
      <c r="AE3" s="23"/>
      <c r="AF3" s="23"/>
      <c r="AG3" s="23"/>
      <c r="AH3" s="23"/>
      <c r="AI3" s="23"/>
      <c r="AJ3" s="23"/>
      <c r="AK3" s="23"/>
      <c r="AL3" s="23"/>
      <c r="AM3" s="23"/>
      <c r="AN3" s="23"/>
      <c r="AO3" s="23"/>
      <c r="AP3" s="23"/>
      <c r="AQ3" s="23"/>
      <c r="AR3" s="23"/>
      <c r="AS3" s="23"/>
      <c r="AT3" s="23"/>
      <c r="AU3" s="23"/>
      <c r="AV3" s="23"/>
      <c r="AW3" s="23"/>
      <c r="AX3" s="23"/>
      <c r="AY3" s="23"/>
      <c r="AZ3" s="82" t="s">
        <v>40</v>
      </c>
      <c r="BA3" s="83"/>
      <c r="BB3" s="86">
        <f>Week4endweight</f>
        <v>177.14825119327955</v>
      </c>
      <c r="BC3" s="23"/>
      <c r="BD3" s="23"/>
      <c r="BE3" s="23"/>
      <c r="BF3" s="23"/>
      <c r="BG3" s="23"/>
      <c r="BH3" s="23"/>
      <c r="BI3" s="23"/>
      <c r="BJ3" s="23"/>
      <c r="BK3" s="23"/>
      <c r="BL3" s="23"/>
      <c r="BM3" s="23"/>
      <c r="BN3" s="23"/>
      <c r="BO3" s="23"/>
      <c r="BP3" s="23"/>
      <c r="BQ3" s="23"/>
      <c r="BR3" s="23"/>
      <c r="BS3" s="23"/>
      <c r="BT3" s="23"/>
      <c r="BU3" s="23"/>
      <c r="BV3" s="23"/>
      <c r="BW3" s="23"/>
      <c r="BX3" s="23"/>
      <c r="BY3" s="82" t="s">
        <v>40</v>
      </c>
      <c r="BZ3" s="83"/>
      <c r="CA3" s="86">
        <f>Week4endweight</f>
        <v>177.14825119327955</v>
      </c>
      <c r="CB3" s="23"/>
      <c r="CC3" s="23"/>
      <c r="CD3" s="23"/>
      <c r="CE3" s="23"/>
      <c r="CF3" s="23"/>
      <c r="CG3" s="23"/>
      <c r="CH3" s="23"/>
      <c r="CI3" s="23"/>
      <c r="CJ3" s="23"/>
      <c r="CK3" s="23"/>
      <c r="CL3" s="23"/>
      <c r="CM3" s="23"/>
      <c r="CN3" s="23"/>
      <c r="CO3" s="23"/>
      <c r="CP3" s="23"/>
      <c r="CQ3" s="23"/>
      <c r="CR3" s="23"/>
      <c r="CS3" s="23"/>
      <c r="CT3" s="23"/>
      <c r="CU3" s="23"/>
      <c r="CV3" s="23"/>
      <c r="CW3" s="23"/>
      <c r="CX3" s="82" t="s">
        <v>40</v>
      </c>
      <c r="CY3" s="83"/>
      <c r="CZ3" s="86">
        <f>Week4endweight</f>
        <v>177.14825119327955</v>
      </c>
      <c r="DA3" s="23"/>
      <c r="DB3" s="23"/>
      <c r="DC3" s="23"/>
      <c r="DD3" s="23"/>
      <c r="DE3" s="23"/>
      <c r="DF3" s="23"/>
      <c r="DG3" s="23"/>
      <c r="DH3" s="23"/>
      <c r="DI3" s="23"/>
      <c r="DJ3" s="23"/>
      <c r="DK3" s="23"/>
      <c r="DL3" s="23"/>
      <c r="DM3" s="23"/>
      <c r="DN3" s="23"/>
      <c r="DO3" s="23"/>
      <c r="DP3" s="23"/>
      <c r="DQ3" s="23"/>
      <c r="DR3" s="23"/>
      <c r="DS3" s="23"/>
      <c r="DT3" s="23"/>
      <c r="DU3" s="23"/>
      <c r="DV3" s="23"/>
      <c r="DW3" s="82" t="s">
        <v>40</v>
      </c>
      <c r="DX3" s="83"/>
      <c r="DY3" s="86">
        <f>Week4endweight</f>
        <v>177.14825119327955</v>
      </c>
      <c r="DZ3" s="23"/>
      <c r="EA3" s="23"/>
      <c r="EB3" s="23"/>
      <c r="EC3" s="23"/>
      <c r="ED3" s="23"/>
      <c r="EE3" s="23"/>
      <c r="EF3" s="23"/>
      <c r="EG3" s="23"/>
      <c r="EH3" s="23"/>
      <c r="EI3" s="23"/>
      <c r="EJ3" s="23"/>
      <c r="EK3" s="23"/>
      <c r="EL3" s="23"/>
      <c r="EM3" s="23"/>
      <c r="EN3" s="23"/>
      <c r="EO3" s="23"/>
      <c r="EP3" s="23"/>
      <c r="EQ3" s="23"/>
      <c r="ER3" s="23"/>
      <c r="ES3" s="23"/>
      <c r="ET3" s="23"/>
      <c r="EU3" s="23"/>
      <c r="EV3" s="82" t="s">
        <v>40</v>
      </c>
      <c r="EW3" s="83"/>
      <c r="EX3" s="86">
        <f>Week4endweight</f>
        <v>177.14825119327955</v>
      </c>
      <c r="EY3" s="23"/>
      <c r="EZ3" s="23"/>
      <c r="FA3" s="23"/>
      <c r="FB3" s="23"/>
      <c r="FC3" s="23"/>
      <c r="FD3" s="23"/>
      <c r="FE3" s="23"/>
      <c r="FF3" s="23"/>
      <c r="FG3" s="23"/>
      <c r="FH3" s="23"/>
      <c r="FI3" s="23"/>
      <c r="FJ3" s="23"/>
      <c r="FK3" s="23"/>
      <c r="FL3" s="23"/>
      <c r="FM3" s="23"/>
      <c r="FN3" s="23"/>
      <c r="FO3" s="23"/>
      <c r="FP3" s="23"/>
      <c r="FQ3" s="23"/>
      <c r="FR3" s="23"/>
      <c r="FS3" s="23"/>
    </row>
    <row r="4" spans="1:175" ht="15" thickBot="1" x14ac:dyDescent="0.4">
      <c r="A4" s="23"/>
      <c r="B4" s="84"/>
      <c r="C4" s="85"/>
      <c r="D4" s="87"/>
      <c r="E4" s="23"/>
      <c r="F4" s="23"/>
      <c r="G4" s="23"/>
      <c r="H4" s="23"/>
      <c r="I4" s="23"/>
      <c r="J4" s="23"/>
      <c r="K4" s="23"/>
      <c r="L4" s="23"/>
      <c r="M4" s="23"/>
      <c r="N4" s="23"/>
      <c r="O4" s="23"/>
      <c r="P4" s="23"/>
      <c r="Q4" s="23"/>
      <c r="R4" s="23"/>
      <c r="S4" s="23"/>
      <c r="T4" s="23"/>
      <c r="U4" s="23"/>
      <c r="V4" s="23"/>
      <c r="W4" s="23"/>
      <c r="X4" s="23"/>
      <c r="Y4" s="23"/>
      <c r="Z4" s="23"/>
      <c r="AA4" s="84"/>
      <c r="AB4" s="85"/>
      <c r="AC4" s="87"/>
      <c r="AD4" s="23"/>
      <c r="AE4" s="23"/>
      <c r="AF4" s="23"/>
      <c r="AG4" s="23"/>
      <c r="AH4" s="23"/>
      <c r="AI4" s="23"/>
      <c r="AJ4" s="23"/>
      <c r="AK4" s="23"/>
      <c r="AL4" s="23"/>
      <c r="AM4" s="23"/>
      <c r="AN4" s="23"/>
      <c r="AO4" s="23"/>
      <c r="AP4" s="23"/>
      <c r="AQ4" s="23"/>
      <c r="AR4" s="23"/>
      <c r="AS4" s="23"/>
      <c r="AT4" s="23"/>
      <c r="AU4" s="23"/>
      <c r="AV4" s="23"/>
      <c r="AW4" s="23"/>
      <c r="AX4" s="23"/>
      <c r="AY4" s="23"/>
      <c r="AZ4" s="84"/>
      <c r="BA4" s="85"/>
      <c r="BB4" s="87"/>
      <c r="BC4" s="23"/>
      <c r="BD4" s="23"/>
      <c r="BE4" s="23"/>
      <c r="BF4" s="23"/>
      <c r="BG4" s="23"/>
      <c r="BH4" s="23"/>
      <c r="BI4" s="23"/>
      <c r="BJ4" s="23"/>
      <c r="BK4" s="23"/>
      <c r="BL4" s="23"/>
      <c r="BM4" s="23"/>
      <c r="BN4" s="23"/>
      <c r="BO4" s="23"/>
      <c r="BP4" s="23"/>
      <c r="BQ4" s="23"/>
      <c r="BR4" s="23"/>
      <c r="BS4" s="23"/>
      <c r="BT4" s="23"/>
      <c r="BU4" s="23"/>
      <c r="BV4" s="23"/>
      <c r="BW4" s="23"/>
      <c r="BX4" s="23"/>
      <c r="BY4" s="84"/>
      <c r="BZ4" s="85"/>
      <c r="CA4" s="87"/>
      <c r="CB4" s="23"/>
      <c r="CC4" s="23"/>
      <c r="CD4" s="23"/>
      <c r="CE4" s="23"/>
      <c r="CF4" s="23"/>
      <c r="CG4" s="23"/>
      <c r="CH4" s="23"/>
      <c r="CI4" s="23"/>
      <c r="CJ4" s="23"/>
      <c r="CK4" s="23"/>
      <c r="CL4" s="23"/>
      <c r="CM4" s="23"/>
      <c r="CN4" s="23"/>
      <c r="CO4" s="23"/>
      <c r="CP4" s="23"/>
      <c r="CQ4" s="23"/>
      <c r="CR4" s="23"/>
      <c r="CS4" s="23"/>
      <c r="CT4" s="23"/>
      <c r="CU4" s="23"/>
      <c r="CV4" s="23"/>
      <c r="CW4" s="23"/>
      <c r="CX4" s="84"/>
      <c r="CY4" s="85"/>
      <c r="CZ4" s="87"/>
      <c r="DA4" s="23"/>
      <c r="DB4" s="23"/>
      <c r="DC4" s="23"/>
      <c r="DD4" s="23"/>
      <c r="DE4" s="23"/>
      <c r="DF4" s="23"/>
      <c r="DG4" s="23"/>
      <c r="DH4" s="23"/>
      <c r="DI4" s="23"/>
      <c r="DJ4" s="23"/>
      <c r="DK4" s="23"/>
      <c r="DL4" s="23"/>
      <c r="DM4" s="23"/>
      <c r="DN4" s="23"/>
      <c r="DO4" s="23"/>
      <c r="DP4" s="23"/>
      <c r="DQ4" s="23"/>
      <c r="DR4" s="23"/>
      <c r="DS4" s="23"/>
      <c r="DT4" s="23"/>
      <c r="DU4" s="23"/>
      <c r="DV4" s="23"/>
      <c r="DW4" s="84"/>
      <c r="DX4" s="85"/>
      <c r="DY4" s="87"/>
      <c r="DZ4" s="23"/>
      <c r="EA4" s="23"/>
      <c r="EB4" s="23"/>
      <c r="EC4" s="23"/>
      <c r="ED4" s="23"/>
      <c r="EE4" s="23"/>
      <c r="EF4" s="23"/>
      <c r="EG4" s="23"/>
      <c r="EH4" s="23"/>
      <c r="EI4" s="23"/>
      <c r="EJ4" s="23"/>
      <c r="EK4" s="23"/>
      <c r="EL4" s="23"/>
      <c r="EM4" s="23"/>
      <c r="EN4" s="23"/>
      <c r="EO4" s="23"/>
      <c r="EP4" s="23"/>
      <c r="EQ4" s="23"/>
      <c r="ER4" s="23"/>
      <c r="ES4" s="23"/>
      <c r="ET4" s="23"/>
      <c r="EU4" s="23"/>
      <c r="EV4" s="84"/>
      <c r="EW4" s="85"/>
      <c r="EX4" s="87"/>
      <c r="EY4" s="23"/>
      <c r="EZ4" s="23"/>
      <c r="FA4" s="23"/>
      <c r="FB4" s="23"/>
      <c r="FC4" s="23"/>
      <c r="FD4" s="23"/>
      <c r="FE4" s="23"/>
      <c r="FF4" s="23"/>
      <c r="FG4" s="23"/>
      <c r="FH4" s="23"/>
      <c r="FI4" s="23"/>
      <c r="FJ4" s="23"/>
      <c r="FK4" s="23"/>
      <c r="FL4" s="23"/>
      <c r="FM4" s="23"/>
      <c r="FN4" s="23"/>
      <c r="FO4" s="23"/>
      <c r="FP4" s="23"/>
      <c r="FQ4" s="23"/>
      <c r="FR4" s="23"/>
      <c r="FS4" s="23"/>
    </row>
    <row r="5" spans="1:175" x14ac:dyDescent="0.35">
      <c r="A5" s="23"/>
      <c r="B5" s="23"/>
      <c r="C5" s="23"/>
      <c r="D5" s="23"/>
      <c r="E5" s="23"/>
      <c r="F5" s="23"/>
      <c r="G5" s="25"/>
      <c r="H5" s="26"/>
      <c r="I5" s="26"/>
      <c r="J5" s="26"/>
      <c r="K5" s="23"/>
      <c r="L5" s="23"/>
      <c r="M5" s="23"/>
      <c r="N5" s="23"/>
      <c r="O5" s="23"/>
      <c r="P5" s="23"/>
      <c r="Q5" s="23"/>
      <c r="R5" s="23"/>
      <c r="S5" s="23"/>
      <c r="T5" s="23"/>
      <c r="U5" s="23"/>
      <c r="V5" s="23"/>
      <c r="W5" s="23"/>
      <c r="X5" s="23"/>
      <c r="Y5" s="23"/>
      <c r="Z5" s="23"/>
      <c r="AA5" s="23"/>
      <c r="AB5" s="23"/>
      <c r="AC5" s="23"/>
      <c r="AD5" s="23"/>
      <c r="AE5" s="23"/>
      <c r="AF5" s="25"/>
      <c r="AG5" s="26"/>
      <c r="AH5" s="26"/>
      <c r="AI5" s="26"/>
      <c r="AJ5" s="23"/>
      <c r="AK5" s="23"/>
      <c r="AL5" s="23"/>
      <c r="AM5" s="23"/>
      <c r="AN5" s="23"/>
      <c r="AO5" s="23"/>
      <c r="AP5" s="23"/>
      <c r="AQ5" s="23"/>
      <c r="AR5" s="23"/>
      <c r="AS5" s="23"/>
      <c r="AT5" s="23"/>
      <c r="AU5" s="23"/>
      <c r="AV5" s="23"/>
      <c r="AW5" s="23"/>
      <c r="AX5" s="23"/>
      <c r="AY5" s="23"/>
      <c r="AZ5" s="23"/>
      <c r="BA5" s="23"/>
      <c r="BB5" s="23"/>
      <c r="BC5" s="23"/>
      <c r="BD5" s="23"/>
      <c r="BE5" s="25"/>
      <c r="BF5" s="26"/>
      <c r="BG5" s="26"/>
      <c r="BH5" s="26"/>
      <c r="BI5" s="23"/>
      <c r="BJ5" s="23"/>
      <c r="BK5" s="23"/>
      <c r="BL5" s="23"/>
      <c r="BM5" s="23"/>
      <c r="BN5" s="23"/>
      <c r="BO5" s="23"/>
      <c r="BP5" s="23"/>
      <c r="BQ5" s="23"/>
      <c r="BR5" s="23"/>
      <c r="BS5" s="23"/>
      <c r="BT5" s="23"/>
      <c r="BU5" s="23"/>
      <c r="BV5" s="23"/>
      <c r="BW5" s="23"/>
      <c r="BX5" s="23"/>
      <c r="BY5" s="23"/>
      <c r="BZ5" s="23"/>
      <c r="CA5" s="23"/>
      <c r="CB5" s="23"/>
      <c r="CC5" s="23"/>
      <c r="CD5" s="25"/>
      <c r="CE5" s="26"/>
      <c r="CF5" s="26"/>
      <c r="CG5" s="26"/>
      <c r="CH5" s="23"/>
      <c r="CI5" s="23"/>
      <c r="CJ5" s="23"/>
      <c r="CK5" s="23"/>
      <c r="CL5" s="23"/>
      <c r="CM5" s="23"/>
      <c r="CN5" s="23"/>
      <c r="CO5" s="23"/>
      <c r="CP5" s="23"/>
      <c r="CQ5" s="23"/>
      <c r="CR5" s="23"/>
      <c r="CS5" s="23"/>
      <c r="CT5" s="23"/>
      <c r="CU5" s="23"/>
      <c r="CV5" s="23"/>
      <c r="CW5" s="23"/>
      <c r="CX5" s="23"/>
      <c r="CY5" s="23"/>
      <c r="CZ5" s="23"/>
      <c r="DA5" s="23"/>
      <c r="DB5" s="23"/>
      <c r="DC5" s="25"/>
      <c r="DD5" s="26"/>
      <c r="DE5" s="26"/>
      <c r="DF5" s="26"/>
      <c r="DG5" s="23"/>
      <c r="DH5" s="23"/>
      <c r="DI5" s="23"/>
      <c r="DJ5" s="23"/>
      <c r="DK5" s="23"/>
      <c r="DL5" s="23"/>
      <c r="DM5" s="23"/>
      <c r="DN5" s="23"/>
      <c r="DO5" s="23"/>
      <c r="DP5" s="23"/>
      <c r="DQ5" s="23"/>
      <c r="DR5" s="23"/>
      <c r="DS5" s="23"/>
      <c r="DT5" s="23"/>
      <c r="DU5" s="23"/>
      <c r="DV5" s="23"/>
      <c r="DW5" s="23"/>
      <c r="DX5" s="23"/>
      <c r="DY5" s="23"/>
      <c r="DZ5" s="23"/>
      <c r="EA5" s="23"/>
      <c r="EB5" s="25"/>
      <c r="EC5" s="26"/>
      <c r="ED5" s="26"/>
      <c r="EE5" s="26"/>
      <c r="EF5" s="23"/>
      <c r="EG5" s="23"/>
      <c r="EH5" s="23"/>
      <c r="EI5" s="23"/>
      <c r="EJ5" s="23"/>
      <c r="EK5" s="23"/>
      <c r="EL5" s="23"/>
      <c r="EM5" s="23"/>
      <c r="EN5" s="23"/>
      <c r="EO5" s="23"/>
      <c r="EP5" s="23"/>
      <c r="EQ5" s="23"/>
      <c r="ER5" s="23"/>
      <c r="ES5" s="23"/>
      <c r="ET5" s="23"/>
      <c r="EU5" s="23"/>
      <c r="EV5" s="23"/>
      <c r="EW5" s="23"/>
      <c r="EX5" s="23"/>
      <c r="EY5" s="23"/>
      <c r="EZ5" s="23"/>
      <c r="FA5" s="25"/>
      <c r="FB5" s="26"/>
      <c r="FC5" s="26"/>
      <c r="FD5" s="26"/>
      <c r="FE5" s="23"/>
      <c r="FF5" s="23"/>
      <c r="FG5" s="23"/>
      <c r="FH5" s="23"/>
      <c r="FI5" s="23"/>
      <c r="FJ5" s="23"/>
      <c r="FK5" s="23"/>
      <c r="FL5" s="23"/>
      <c r="FM5" s="23"/>
      <c r="FN5" s="23"/>
      <c r="FO5" s="23"/>
      <c r="FP5" s="23"/>
      <c r="FQ5" s="23"/>
      <c r="FR5" s="23"/>
      <c r="FS5" s="23"/>
    </row>
    <row r="6" spans="1:175" x14ac:dyDescent="0.35">
      <c r="A6" s="23"/>
      <c r="B6" s="23"/>
      <c r="C6" s="23"/>
      <c r="D6" s="23"/>
      <c r="E6" s="23"/>
      <c r="F6" s="23"/>
      <c r="G6" s="26"/>
      <c r="H6" s="26"/>
      <c r="I6" s="26"/>
      <c r="J6" s="26"/>
      <c r="K6" s="23"/>
      <c r="L6" s="23"/>
      <c r="M6" s="23"/>
      <c r="N6" s="23"/>
      <c r="O6" s="23"/>
      <c r="P6" s="23"/>
      <c r="Q6" s="23"/>
      <c r="R6" s="23"/>
      <c r="S6" s="23"/>
      <c r="T6" s="23"/>
      <c r="U6" s="23"/>
      <c r="V6" s="23"/>
      <c r="W6" s="23"/>
      <c r="X6" s="23"/>
      <c r="Y6" s="23"/>
      <c r="Z6" s="23"/>
      <c r="AA6" s="23"/>
      <c r="AB6" s="23"/>
      <c r="AC6" s="23"/>
      <c r="AD6" s="23"/>
      <c r="AE6" s="23"/>
      <c r="AF6" s="26"/>
      <c r="AG6" s="26"/>
      <c r="AH6" s="26"/>
      <c r="AI6" s="26"/>
      <c r="AJ6" s="23"/>
      <c r="AK6" s="23"/>
      <c r="AL6" s="23"/>
      <c r="AM6" s="23"/>
      <c r="AN6" s="23"/>
      <c r="AO6" s="23"/>
      <c r="AP6" s="23"/>
      <c r="AQ6" s="23"/>
      <c r="AR6" s="23"/>
      <c r="AS6" s="23"/>
      <c r="AT6" s="23"/>
      <c r="AU6" s="23"/>
      <c r="AV6" s="23"/>
      <c r="AW6" s="23"/>
      <c r="AX6" s="23"/>
      <c r="AY6" s="23"/>
      <c r="AZ6" s="23"/>
      <c r="BA6" s="23"/>
      <c r="BB6" s="23"/>
      <c r="BC6" s="23"/>
      <c r="BD6" s="23"/>
      <c r="BE6" s="26"/>
      <c r="BF6" s="26"/>
      <c r="BG6" s="26"/>
      <c r="BH6" s="26"/>
      <c r="BI6" s="23"/>
      <c r="BJ6" s="23"/>
      <c r="BK6" s="23"/>
      <c r="BL6" s="23"/>
      <c r="BM6" s="23"/>
      <c r="BN6" s="23"/>
      <c r="BO6" s="23"/>
      <c r="BP6" s="23"/>
      <c r="BQ6" s="23"/>
      <c r="BR6" s="23"/>
      <c r="BS6" s="23"/>
      <c r="BT6" s="23"/>
      <c r="BU6" s="23"/>
      <c r="BV6" s="23"/>
      <c r="BW6" s="23"/>
      <c r="BX6" s="23"/>
      <c r="BY6" s="23"/>
      <c r="BZ6" s="23"/>
      <c r="CA6" s="23"/>
      <c r="CB6" s="23"/>
      <c r="CC6" s="23"/>
      <c r="CD6" s="26"/>
      <c r="CE6" s="26"/>
      <c r="CF6" s="26"/>
      <c r="CG6" s="26"/>
      <c r="CH6" s="23"/>
      <c r="CI6" s="23"/>
      <c r="CJ6" s="23"/>
      <c r="CK6" s="23"/>
      <c r="CL6" s="23"/>
      <c r="CM6" s="23"/>
      <c r="CN6" s="23"/>
      <c r="CO6" s="23"/>
      <c r="CP6" s="23"/>
      <c r="CQ6" s="23"/>
      <c r="CR6" s="23"/>
      <c r="CS6" s="23"/>
      <c r="CT6" s="23"/>
      <c r="CU6" s="23"/>
      <c r="CV6" s="23"/>
      <c r="CW6" s="23"/>
      <c r="CX6" s="23"/>
      <c r="CY6" s="23"/>
      <c r="CZ6" s="23"/>
      <c r="DA6" s="23"/>
      <c r="DB6" s="23"/>
      <c r="DC6" s="26"/>
      <c r="DD6" s="26"/>
      <c r="DE6" s="26"/>
      <c r="DF6" s="26"/>
      <c r="DG6" s="23"/>
      <c r="DH6" s="23"/>
      <c r="DI6" s="23"/>
      <c r="DJ6" s="23"/>
      <c r="DK6" s="23"/>
      <c r="DL6" s="23"/>
      <c r="DM6" s="23"/>
      <c r="DN6" s="23"/>
      <c r="DO6" s="23"/>
      <c r="DP6" s="23"/>
      <c r="DQ6" s="23"/>
      <c r="DR6" s="23"/>
      <c r="DS6" s="23"/>
      <c r="DT6" s="23"/>
      <c r="DU6" s="23"/>
      <c r="DV6" s="23"/>
      <c r="DW6" s="23"/>
      <c r="DX6" s="23"/>
      <c r="DY6" s="23"/>
      <c r="DZ6" s="23"/>
      <c r="EA6" s="23"/>
      <c r="EB6" s="26"/>
      <c r="EC6" s="26"/>
      <c r="ED6" s="26"/>
      <c r="EE6" s="26"/>
      <c r="EF6" s="23"/>
      <c r="EG6" s="23"/>
      <c r="EH6" s="23"/>
      <c r="EI6" s="23"/>
      <c r="EJ6" s="23"/>
      <c r="EK6" s="23"/>
      <c r="EL6" s="23"/>
      <c r="EM6" s="23"/>
      <c r="EN6" s="23"/>
      <c r="EO6" s="23"/>
      <c r="EP6" s="23"/>
      <c r="EQ6" s="23"/>
      <c r="ER6" s="23"/>
      <c r="ES6" s="23"/>
      <c r="ET6" s="23"/>
      <c r="EU6" s="23"/>
      <c r="EV6" s="23"/>
      <c r="EW6" s="23"/>
      <c r="EX6" s="23"/>
      <c r="EY6" s="23"/>
      <c r="EZ6" s="23"/>
      <c r="FA6" s="26"/>
      <c r="FB6" s="26"/>
      <c r="FC6" s="26"/>
      <c r="FD6" s="26"/>
      <c r="FE6" s="23"/>
      <c r="FF6" s="23"/>
      <c r="FG6" s="23"/>
      <c r="FH6" s="23"/>
      <c r="FI6" s="23"/>
      <c r="FJ6" s="23"/>
      <c r="FK6" s="23"/>
      <c r="FL6" s="23"/>
      <c r="FM6" s="23"/>
      <c r="FN6" s="23"/>
      <c r="FO6" s="23"/>
      <c r="FP6" s="23"/>
      <c r="FQ6" s="23"/>
      <c r="FR6" s="23"/>
      <c r="FS6" s="23"/>
    </row>
    <row r="7" spans="1:175" x14ac:dyDescent="0.35">
      <c r="A7" s="23"/>
      <c r="B7" s="23"/>
      <c r="C7" s="23"/>
      <c r="D7" s="23"/>
      <c r="E7" s="23"/>
      <c r="F7" s="23"/>
      <c r="G7" s="25"/>
      <c r="H7" s="25"/>
      <c r="I7" s="27"/>
      <c r="J7" s="23"/>
      <c r="K7" s="23"/>
      <c r="L7" s="23"/>
      <c r="M7" s="23"/>
      <c r="N7" s="23"/>
      <c r="O7" s="23"/>
      <c r="P7" s="23"/>
      <c r="Q7" s="23"/>
      <c r="R7" s="23"/>
      <c r="S7" s="23"/>
      <c r="T7" s="23"/>
      <c r="U7" s="23"/>
      <c r="V7" s="23"/>
      <c r="W7" s="23"/>
      <c r="X7" s="23"/>
      <c r="Y7" s="23"/>
      <c r="Z7" s="23"/>
      <c r="AA7" s="23"/>
      <c r="AB7" s="23"/>
      <c r="AC7" s="23"/>
      <c r="AD7" s="23"/>
      <c r="AE7" s="23"/>
      <c r="AF7" s="25"/>
      <c r="AG7" s="25"/>
      <c r="AH7" s="27"/>
      <c r="AI7" s="23"/>
      <c r="AJ7" s="23"/>
      <c r="AK7" s="23"/>
      <c r="AL7" s="23"/>
      <c r="AM7" s="23"/>
      <c r="AN7" s="23"/>
      <c r="AO7" s="23"/>
      <c r="AP7" s="23"/>
      <c r="AQ7" s="23"/>
      <c r="AR7" s="23"/>
      <c r="AS7" s="23"/>
      <c r="AT7" s="23"/>
      <c r="AU7" s="23"/>
      <c r="AV7" s="23"/>
      <c r="AW7" s="23"/>
      <c r="AX7" s="23"/>
      <c r="AY7" s="23"/>
      <c r="AZ7" s="23"/>
      <c r="BA7" s="23"/>
      <c r="BB7" s="23"/>
      <c r="BC7" s="23"/>
      <c r="BD7" s="23"/>
      <c r="BE7" s="25"/>
      <c r="BF7" s="25"/>
      <c r="BG7" s="27"/>
      <c r="BH7" s="23"/>
      <c r="BI7" s="23"/>
      <c r="BJ7" s="23"/>
      <c r="BK7" s="23"/>
      <c r="BL7" s="23"/>
      <c r="BM7" s="23"/>
      <c r="BN7" s="23"/>
      <c r="BO7" s="23"/>
      <c r="BP7" s="23"/>
      <c r="BQ7" s="23"/>
      <c r="BR7" s="23"/>
      <c r="BS7" s="23"/>
      <c r="BT7" s="23"/>
      <c r="BU7" s="23"/>
      <c r="BV7" s="23"/>
      <c r="BW7" s="23"/>
      <c r="BX7" s="23"/>
      <c r="BY7" s="23"/>
      <c r="BZ7" s="23"/>
      <c r="CA7" s="23"/>
      <c r="CB7" s="23"/>
      <c r="CC7" s="23"/>
      <c r="CD7" s="25"/>
      <c r="CE7" s="25"/>
      <c r="CF7" s="27"/>
      <c r="CG7" s="23"/>
      <c r="CH7" s="23"/>
      <c r="CI7" s="23"/>
      <c r="CJ7" s="23"/>
      <c r="CK7" s="23"/>
      <c r="CL7" s="23"/>
      <c r="CM7" s="23"/>
      <c r="CN7" s="23"/>
      <c r="CO7" s="23"/>
      <c r="CP7" s="23"/>
      <c r="CQ7" s="23"/>
      <c r="CR7" s="23"/>
      <c r="CS7" s="23"/>
      <c r="CT7" s="23"/>
      <c r="CU7" s="23"/>
      <c r="CV7" s="23"/>
      <c r="CW7" s="23"/>
      <c r="CX7" s="23"/>
      <c r="CY7" s="23"/>
      <c r="CZ7" s="23"/>
      <c r="DA7" s="23"/>
      <c r="DB7" s="23"/>
      <c r="DC7" s="25"/>
      <c r="DD7" s="25"/>
      <c r="DE7" s="27"/>
      <c r="DF7" s="23"/>
      <c r="DG7" s="23"/>
      <c r="DH7" s="23"/>
      <c r="DI7" s="23"/>
      <c r="DJ7" s="23"/>
      <c r="DK7" s="23"/>
      <c r="DL7" s="23"/>
      <c r="DM7" s="23"/>
      <c r="DN7" s="23"/>
      <c r="DO7" s="23"/>
      <c r="DP7" s="23"/>
      <c r="DQ7" s="23"/>
      <c r="DR7" s="23"/>
      <c r="DS7" s="23"/>
      <c r="DT7" s="23"/>
      <c r="DU7" s="23"/>
      <c r="DV7" s="23"/>
      <c r="DW7" s="23"/>
      <c r="DX7" s="23"/>
      <c r="DY7" s="23"/>
      <c r="DZ7" s="23"/>
      <c r="EA7" s="23"/>
      <c r="EB7" s="25"/>
      <c r="EC7" s="25"/>
      <c r="ED7" s="27"/>
      <c r="EE7" s="23"/>
      <c r="EF7" s="23"/>
      <c r="EG7" s="23"/>
      <c r="EH7" s="23"/>
      <c r="EI7" s="23"/>
      <c r="EJ7" s="23"/>
      <c r="EK7" s="23"/>
      <c r="EL7" s="23"/>
      <c r="EM7" s="23"/>
      <c r="EN7" s="23"/>
      <c r="EO7" s="23"/>
      <c r="EP7" s="23"/>
      <c r="EQ7" s="23"/>
      <c r="ER7" s="23"/>
      <c r="ES7" s="23"/>
      <c r="ET7" s="23"/>
      <c r="EU7" s="23"/>
      <c r="EV7" s="23"/>
      <c r="EW7" s="23"/>
      <c r="EX7" s="23"/>
      <c r="EY7" s="23"/>
      <c r="EZ7" s="23"/>
      <c r="FA7" s="25"/>
      <c r="FB7" s="25"/>
      <c r="FC7" s="27"/>
      <c r="FD7" s="23"/>
      <c r="FE7" s="23"/>
      <c r="FF7" s="23"/>
      <c r="FG7" s="23"/>
      <c r="FH7" s="23"/>
      <c r="FI7" s="23"/>
      <c r="FJ7" s="23"/>
      <c r="FK7" s="23"/>
      <c r="FL7" s="23"/>
      <c r="FM7" s="23"/>
      <c r="FN7" s="23"/>
      <c r="FO7" s="23"/>
      <c r="FP7" s="23"/>
      <c r="FQ7" s="23"/>
      <c r="FR7" s="23"/>
      <c r="FS7" s="23"/>
    </row>
    <row r="8" spans="1:175" ht="15" thickBot="1" x14ac:dyDescent="0.4">
      <c r="A8" s="23"/>
      <c r="B8" s="23"/>
      <c r="C8" s="23"/>
      <c r="D8" s="23"/>
      <c r="E8" s="23"/>
      <c r="F8" s="23"/>
      <c r="G8" s="25"/>
      <c r="H8" s="25"/>
      <c r="I8" s="26"/>
      <c r="J8" s="23"/>
      <c r="K8" s="23"/>
      <c r="L8" s="23"/>
      <c r="M8" s="23"/>
      <c r="N8" s="23"/>
      <c r="O8" s="23"/>
      <c r="P8" s="23"/>
      <c r="Q8" s="23"/>
      <c r="R8" s="23"/>
      <c r="S8" s="23"/>
      <c r="T8" s="23"/>
      <c r="U8" s="23"/>
      <c r="V8" s="23"/>
      <c r="W8" s="23"/>
      <c r="X8" s="23"/>
      <c r="Y8" s="23"/>
      <c r="Z8" s="23"/>
      <c r="AA8" s="23"/>
      <c r="AB8" s="23"/>
      <c r="AC8" s="23"/>
      <c r="AD8" s="23"/>
      <c r="AE8" s="23"/>
      <c r="AF8" s="25"/>
      <c r="AG8" s="25"/>
      <c r="AH8" s="26"/>
      <c r="AI8" s="23"/>
      <c r="AJ8" s="23"/>
      <c r="AK8" s="23"/>
      <c r="AL8" s="23"/>
      <c r="AM8" s="23"/>
      <c r="AN8" s="23"/>
      <c r="AO8" s="23"/>
      <c r="AP8" s="23"/>
      <c r="AQ8" s="23"/>
      <c r="AR8" s="23"/>
      <c r="AS8" s="23"/>
      <c r="AT8" s="23"/>
      <c r="AU8" s="23"/>
      <c r="AV8" s="23"/>
      <c r="AW8" s="23"/>
      <c r="AX8" s="23"/>
      <c r="AY8" s="23"/>
      <c r="AZ8" s="23"/>
      <c r="BA8" s="23"/>
      <c r="BB8" s="23"/>
      <c r="BC8" s="23"/>
      <c r="BD8" s="23"/>
      <c r="BE8" s="25"/>
      <c r="BF8" s="25"/>
      <c r="BG8" s="26"/>
      <c r="BH8" s="23"/>
      <c r="BI8" s="23"/>
      <c r="BJ8" s="23"/>
      <c r="BK8" s="23"/>
      <c r="BL8" s="23"/>
      <c r="BM8" s="23"/>
      <c r="BN8" s="23"/>
      <c r="BO8" s="23"/>
      <c r="BP8" s="23"/>
      <c r="BQ8" s="23"/>
      <c r="BR8" s="23"/>
      <c r="BS8" s="23"/>
      <c r="BT8" s="23"/>
      <c r="BU8" s="23"/>
      <c r="BV8" s="23"/>
      <c r="BW8" s="23"/>
      <c r="BX8" s="23"/>
      <c r="BY8" s="23"/>
      <c r="BZ8" s="23"/>
      <c r="CA8" s="23"/>
      <c r="CB8" s="23"/>
      <c r="CC8" s="23"/>
      <c r="CD8" s="25"/>
      <c r="CE8" s="25"/>
      <c r="CF8" s="26"/>
      <c r="CG8" s="23"/>
      <c r="CH8" s="23"/>
      <c r="CI8" s="23"/>
      <c r="CJ8" s="23"/>
      <c r="CK8" s="23"/>
      <c r="CL8" s="23"/>
      <c r="CM8" s="23"/>
      <c r="CN8" s="23"/>
      <c r="CO8" s="23"/>
      <c r="CP8" s="23"/>
      <c r="CQ8" s="23"/>
      <c r="CR8" s="23"/>
      <c r="CS8" s="23"/>
      <c r="CT8" s="23"/>
      <c r="CU8" s="23"/>
      <c r="CV8" s="23"/>
      <c r="CW8" s="23"/>
      <c r="CX8" s="23"/>
      <c r="CY8" s="23"/>
      <c r="CZ8" s="23"/>
      <c r="DA8" s="23"/>
      <c r="DB8" s="23"/>
      <c r="DC8" s="25"/>
      <c r="DD8" s="25"/>
      <c r="DE8" s="26"/>
      <c r="DF8" s="23"/>
      <c r="DG8" s="23"/>
      <c r="DH8" s="23"/>
      <c r="DI8" s="23"/>
      <c r="DJ8" s="23"/>
      <c r="DK8" s="23"/>
      <c r="DL8" s="23"/>
      <c r="DM8" s="23"/>
      <c r="DN8" s="23"/>
      <c r="DO8" s="23"/>
      <c r="DP8" s="23"/>
      <c r="DQ8" s="23"/>
      <c r="DR8" s="23"/>
      <c r="DS8" s="23"/>
      <c r="DT8" s="23"/>
      <c r="DU8" s="23"/>
      <c r="DV8" s="23"/>
      <c r="DW8" s="23"/>
      <c r="DX8" s="23"/>
      <c r="DY8" s="23"/>
      <c r="DZ8" s="23"/>
      <c r="EA8" s="23"/>
      <c r="EB8" s="25"/>
      <c r="EC8" s="25"/>
      <c r="ED8" s="26"/>
      <c r="EE8" s="23"/>
      <c r="EF8" s="23"/>
      <c r="EG8" s="23"/>
      <c r="EH8" s="23"/>
      <c r="EI8" s="23"/>
      <c r="EJ8" s="23"/>
      <c r="EK8" s="23"/>
      <c r="EL8" s="23"/>
      <c r="EM8" s="23"/>
      <c r="EN8" s="23"/>
      <c r="EO8" s="23"/>
      <c r="EP8" s="23"/>
      <c r="EQ8" s="23"/>
      <c r="ER8" s="23"/>
      <c r="ES8" s="23"/>
      <c r="ET8" s="23"/>
      <c r="EU8" s="23"/>
      <c r="EV8" s="23"/>
      <c r="EW8" s="23"/>
      <c r="EX8" s="23"/>
      <c r="EY8" s="23"/>
      <c r="EZ8" s="23"/>
      <c r="FA8" s="25"/>
      <c r="FB8" s="25"/>
      <c r="FC8" s="26"/>
      <c r="FD8" s="23"/>
      <c r="FE8" s="23"/>
      <c r="FF8" s="23"/>
      <c r="FG8" s="23"/>
      <c r="FH8" s="23"/>
      <c r="FI8" s="23"/>
      <c r="FJ8" s="23"/>
      <c r="FK8" s="23"/>
      <c r="FL8" s="23"/>
      <c r="FM8" s="23"/>
      <c r="FN8" s="23"/>
      <c r="FO8" s="23"/>
      <c r="FP8" s="23"/>
      <c r="FQ8" s="23"/>
      <c r="FR8" s="23"/>
      <c r="FS8" s="23"/>
    </row>
    <row r="9" spans="1:175" x14ac:dyDescent="0.35">
      <c r="A9" s="88" t="s">
        <v>41</v>
      </c>
      <c r="B9" s="89"/>
      <c r="C9" s="89"/>
      <c r="D9" s="89"/>
      <c r="E9" s="89"/>
      <c r="F9" s="90"/>
      <c r="G9" s="25"/>
      <c r="H9" s="25"/>
      <c r="I9" s="82" t="s">
        <v>42</v>
      </c>
      <c r="J9" s="102"/>
      <c r="K9" s="102"/>
      <c r="L9" s="102"/>
      <c r="M9" s="102"/>
      <c r="N9" s="102"/>
      <c r="O9" s="102"/>
      <c r="P9" s="102"/>
      <c r="Q9" s="102"/>
      <c r="R9" s="103"/>
      <c r="S9" s="23"/>
      <c r="T9" s="23"/>
      <c r="U9" s="23"/>
      <c r="V9" s="23"/>
      <c r="W9" s="23"/>
      <c r="X9" s="23"/>
      <c r="Y9" s="23"/>
      <c r="Z9" s="88" t="s">
        <v>43</v>
      </c>
      <c r="AA9" s="89"/>
      <c r="AB9" s="89"/>
      <c r="AC9" s="89"/>
      <c r="AD9" s="89"/>
      <c r="AE9" s="90"/>
      <c r="AF9" s="25"/>
      <c r="AG9" s="25"/>
      <c r="AH9" s="82" t="s">
        <v>44</v>
      </c>
      <c r="AI9" s="102"/>
      <c r="AJ9" s="102"/>
      <c r="AK9" s="102"/>
      <c r="AL9" s="102"/>
      <c r="AM9" s="102"/>
      <c r="AN9" s="102"/>
      <c r="AO9" s="102"/>
      <c r="AP9" s="102"/>
      <c r="AQ9" s="103"/>
      <c r="AR9" s="23"/>
      <c r="AS9" s="23"/>
      <c r="AT9" s="23"/>
      <c r="AU9" s="23"/>
      <c r="AV9" s="23"/>
      <c r="AW9" s="23"/>
      <c r="AX9" s="23"/>
      <c r="AY9" s="88" t="s">
        <v>45</v>
      </c>
      <c r="AZ9" s="89"/>
      <c r="BA9" s="89"/>
      <c r="BB9" s="89"/>
      <c r="BC9" s="89"/>
      <c r="BD9" s="90"/>
      <c r="BE9" s="25"/>
      <c r="BF9" s="25"/>
      <c r="BG9" s="82" t="s">
        <v>46</v>
      </c>
      <c r="BH9" s="102"/>
      <c r="BI9" s="102"/>
      <c r="BJ9" s="102"/>
      <c r="BK9" s="102"/>
      <c r="BL9" s="102"/>
      <c r="BM9" s="102"/>
      <c r="BN9" s="102"/>
      <c r="BO9" s="102"/>
      <c r="BP9" s="103"/>
      <c r="BQ9" s="23"/>
      <c r="BR9" s="23"/>
      <c r="BS9" s="23"/>
      <c r="BT9" s="23"/>
      <c r="BU9" s="23"/>
      <c r="BV9" s="23"/>
      <c r="BW9" s="23"/>
      <c r="BX9" s="88" t="s">
        <v>47</v>
      </c>
      <c r="BY9" s="89"/>
      <c r="BZ9" s="89"/>
      <c r="CA9" s="89"/>
      <c r="CB9" s="89"/>
      <c r="CC9" s="90"/>
      <c r="CD9" s="25"/>
      <c r="CE9" s="25"/>
      <c r="CF9" s="82" t="s">
        <v>48</v>
      </c>
      <c r="CG9" s="102"/>
      <c r="CH9" s="102"/>
      <c r="CI9" s="102"/>
      <c r="CJ9" s="102"/>
      <c r="CK9" s="102"/>
      <c r="CL9" s="102"/>
      <c r="CM9" s="102"/>
      <c r="CN9" s="102"/>
      <c r="CO9" s="103"/>
      <c r="CP9" s="23"/>
      <c r="CQ9" s="23"/>
      <c r="CR9" s="23"/>
      <c r="CS9" s="23"/>
      <c r="CT9" s="23"/>
      <c r="CU9" s="23"/>
      <c r="CV9" s="23"/>
      <c r="CW9" s="88" t="s">
        <v>49</v>
      </c>
      <c r="CX9" s="89"/>
      <c r="CY9" s="89"/>
      <c r="CZ9" s="89"/>
      <c r="DA9" s="89"/>
      <c r="DB9" s="90"/>
      <c r="DC9" s="25"/>
      <c r="DD9" s="25"/>
      <c r="DE9" s="82" t="s">
        <v>50</v>
      </c>
      <c r="DF9" s="102"/>
      <c r="DG9" s="102"/>
      <c r="DH9" s="102"/>
      <c r="DI9" s="102"/>
      <c r="DJ9" s="102"/>
      <c r="DK9" s="102"/>
      <c r="DL9" s="102"/>
      <c r="DM9" s="102"/>
      <c r="DN9" s="103"/>
      <c r="DO9" s="23"/>
      <c r="DP9" s="23"/>
      <c r="DQ9" s="23"/>
      <c r="DR9" s="23"/>
      <c r="DS9" s="23"/>
      <c r="DT9" s="23"/>
      <c r="DU9" s="23"/>
      <c r="DV9" s="88" t="s">
        <v>51</v>
      </c>
      <c r="DW9" s="89"/>
      <c r="DX9" s="89"/>
      <c r="DY9" s="89"/>
      <c r="DZ9" s="89"/>
      <c r="EA9" s="90"/>
      <c r="EB9" s="25"/>
      <c r="EC9" s="25"/>
      <c r="ED9" s="82" t="s">
        <v>52</v>
      </c>
      <c r="EE9" s="102"/>
      <c r="EF9" s="102"/>
      <c r="EG9" s="102"/>
      <c r="EH9" s="102"/>
      <c r="EI9" s="102"/>
      <c r="EJ9" s="102"/>
      <c r="EK9" s="102"/>
      <c r="EL9" s="102"/>
      <c r="EM9" s="103"/>
      <c r="EN9" s="23"/>
      <c r="EO9" s="23"/>
      <c r="EP9" s="23"/>
      <c r="EQ9" s="23"/>
      <c r="ER9" s="23"/>
      <c r="ES9" s="23"/>
      <c r="ET9" s="23"/>
      <c r="EU9" s="88" t="s">
        <v>53</v>
      </c>
      <c r="EV9" s="89"/>
      <c r="EW9" s="89"/>
      <c r="EX9" s="89"/>
      <c r="EY9" s="89"/>
      <c r="EZ9" s="90"/>
      <c r="FA9" s="25"/>
      <c r="FB9" s="25"/>
      <c r="FC9" s="82" t="s">
        <v>54</v>
      </c>
      <c r="FD9" s="102"/>
      <c r="FE9" s="102"/>
      <c r="FF9" s="102"/>
      <c r="FG9" s="102"/>
      <c r="FH9" s="102"/>
      <c r="FI9" s="102"/>
      <c r="FJ9" s="102"/>
      <c r="FK9" s="102"/>
      <c r="FL9" s="103"/>
      <c r="FM9" s="23"/>
      <c r="FN9" s="23"/>
      <c r="FO9" s="23"/>
      <c r="FP9" s="23"/>
      <c r="FQ9" s="23"/>
      <c r="FR9" s="23"/>
      <c r="FS9" s="23"/>
    </row>
    <row r="10" spans="1:175" ht="15" thickBot="1" x14ac:dyDescent="0.4">
      <c r="A10" s="91"/>
      <c r="B10" s="92"/>
      <c r="C10" s="92"/>
      <c r="D10" s="92"/>
      <c r="E10" s="92"/>
      <c r="F10" s="93"/>
      <c r="G10" s="25"/>
      <c r="H10" s="25"/>
      <c r="I10" s="104"/>
      <c r="J10" s="105"/>
      <c r="K10" s="105"/>
      <c r="L10" s="105"/>
      <c r="M10" s="105"/>
      <c r="N10" s="105"/>
      <c r="O10" s="105"/>
      <c r="P10" s="105"/>
      <c r="Q10" s="105"/>
      <c r="R10" s="106"/>
      <c r="S10" s="23"/>
      <c r="T10" s="23"/>
      <c r="U10" s="23"/>
      <c r="V10" s="23"/>
      <c r="W10" s="23"/>
      <c r="X10" s="23"/>
      <c r="Y10" s="23"/>
      <c r="Z10" s="91"/>
      <c r="AA10" s="92"/>
      <c r="AB10" s="92"/>
      <c r="AC10" s="92"/>
      <c r="AD10" s="92"/>
      <c r="AE10" s="93"/>
      <c r="AF10" s="25"/>
      <c r="AG10" s="25"/>
      <c r="AH10" s="104"/>
      <c r="AI10" s="105"/>
      <c r="AJ10" s="105"/>
      <c r="AK10" s="105"/>
      <c r="AL10" s="105"/>
      <c r="AM10" s="105"/>
      <c r="AN10" s="105"/>
      <c r="AO10" s="105"/>
      <c r="AP10" s="105"/>
      <c r="AQ10" s="106"/>
      <c r="AR10" s="23"/>
      <c r="AS10" s="23"/>
      <c r="AT10" s="23"/>
      <c r="AU10" s="23"/>
      <c r="AV10" s="23"/>
      <c r="AW10" s="23"/>
      <c r="AX10" s="23"/>
      <c r="AY10" s="91"/>
      <c r="AZ10" s="92"/>
      <c r="BA10" s="92"/>
      <c r="BB10" s="92"/>
      <c r="BC10" s="92"/>
      <c r="BD10" s="93"/>
      <c r="BE10" s="25"/>
      <c r="BF10" s="25"/>
      <c r="BG10" s="104"/>
      <c r="BH10" s="105"/>
      <c r="BI10" s="105"/>
      <c r="BJ10" s="105"/>
      <c r="BK10" s="105"/>
      <c r="BL10" s="105"/>
      <c r="BM10" s="105"/>
      <c r="BN10" s="105"/>
      <c r="BO10" s="105"/>
      <c r="BP10" s="106"/>
      <c r="BQ10" s="23"/>
      <c r="BR10" s="23"/>
      <c r="BS10" s="23"/>
      <c r="BT10" s="23"/>
      <c r="BU10" s="23"/>
      <c r="BV10" s="23"/>
      <c r="BW10" s="23"/>
      <c r="BX10" s="91"/>
      <c r="BY10" s="92"/>
      <c r="BZ10" s="92"/>
      <c r="CA10" s="92"/>
      <c r="CB10" s="92"/>
      <c r="CC10" s="93"/>
      <c r="CD10" s="25"/>
      <c r="CE10" s="25"/>
      <c r="CF10" s="104"/>
      <c r="CG10" s="105"/>
      <c r="CH10" s="105"/>
      <c r="CI10" s="105"/>
      <c r="CJ10" s="105"/>
      <c r="CK10" s="105"/>
      <c r="CL10" s="105"/>
      <c r="CM10" s="105"/>
      <c r="CN10" s="105"/>
      <c r="CO10" s="106"/>
      <c r="CP10" s="23"/>
      <c r="CQ10" s="23"/>
      <c r="CR10" s="23"/>
      <c r="CS10" s="23"/>
      <c r="CT10" s="23"/>
      <c r="CU10" s="23"/>
      <c r="CV10" s="23"/>
      <c r="CW10" s="91"/>
      <c r="CX10" s="92"/>
      <c r="CY10" s="92"/>
      <c r="CZ10" s="92"/>
      <c r="DA10" s="92"/>
      <c r="DB10" s="93"/>
      <c r="DC10" s="25"/>
      <c r="DD10" s="25"/>
      <c r="DE10" s="104"/>
      <c r="DF10" s="105"/>
      <c r="DG10" s="105"/>
      <c r="DH10" s="105"/>
      <c r="DI10" s="105"/>
      <c r="DJ10" s="105"/>
      <c r="DK10" s="105"/>
      <c r="DL10" s="105"/>
      <c r="DM10" s="105"/>
      <c r="DN10" s="106"/>
      <c r="DO10" s="23"/>
      <c r="DP10" s="23"/>
      <c r="DQ10" s="23"/>
      <c r="DR10" s="23"/>
      <c r="DS10" s="23"/>
      <c r="DT10" s="23"/>
      <c r="DU10" s="23"/>
      <c r="DV10" s="91"/>
      <c r="DW10" s="92"/>
      <c r="DX10" s="92"/>
      <c r="DY10" s="92"/>
      <c r="DZ10" s="92"/>
      <c r="EA10" s="93"/>
      <c r="EB10" s="25"/>
      <c r="EC10" s="25"/>
      <c r="ED10" s="104"/>
      <c r="EE10" s="105"/>
      <c r="EF10" s="105"/>
      <c r="EG10" s="105"/>
      <c r="EH10" s="105"/>
      <c r="EI10" s="105"/>
      <c r="EJ10" s="105"/>
      <c r="EK10" s="105"/>
      <c r="EL10" s="105"/>
      <c r="EM10" s="106"/>
      <c r="EN10" s="23"/>
      <c r="EO10" s="23"/>
      <c r="EP10" s="23"/>
      <c r="EQ10" s="23"/>
      <c r="ER10" s="23"/>
      <c r="ES10" s="23"/>
      <c r="ET10" s="23"/>
      <c r="EU10" s="91"/>
      <c r="EV10" s="92"/>
      <c r="EW10" s="92"/>
      <c r="EX10" s="92"/>
      <c r="EY10" s="92"/>
      <c r="EZ10" s="93"/>
      <c r="FA10" s="25"/>
      <c r="FB10" s="25"/>
      <c r="FC10" s="104"/>
      <c r="FD10" s="105"/>
      <c r="FE10" s="105"/>
      <c r="FF10" s="105"/>
      <c r="FG10" s="105"/>
      <c r="FH10" s="105"/>
      <c r="FI10" s="105"/>
      <c r="FJ10" s="105"/>
      <c r="FK10" s="105"/>
      <c r="FL10" s="106"/>
      <c r="FM10" s="23"/>
      <c r="FN10" s="23"/>
      <c r="FO10" s="23"/>
      <c r="FP10" s="23"/>
      <c r="FQ10" s="23"/>
      <c r="FR10" s="23"/>
      <c r="FS10" s="23"/>
    </row>
    <row r="11" spans="1:175" ht="16" x14ac:dyDescent="0.35">
      <c r="A11" s="107" t="s">
        <v>1</v>
      </c>
      <c r="B11" s="108"/>
      <c r="C11" s="113" t="s">
        <v>6</v>
      </c>
      <c r="D11" s="107" t="s">
        <v>55</v>
      </c>
      <c r="E11" s="108"/>
      <c r="F11" s="116">
        <f>VLOOKUP(C11,BREAKFASTTABLE,2,FALSE)</f>
        <v>310</v>
      </c>
      <c r="G11" s="23"/>
      <c r="H11" s="23"/>
      <c r="I11" s="17" t="s">
        <v>56</v>
      </c>
      <c r="J11" s="28"/>
      <c r="K11" s="17" t="s">
        <v>4</v>
      </c>
      <c r="L11" s="28"/>
      <c r="M11" s="17" t="s">
        <v>57</v>
      </c>
      <c r="N11" s="28"/>
      <c r="O11" s="17" t="s">
        <v>58</v>
      </c>
      <c r="P11" s="28"/>
      <c r="Q11" s="17" t="s">
        <v>59</v>
      </c>
      <c r="R11" s="28"/>
      <c r="S11" s="23"/>
      <c r="T11" s="23"/>
      <c r="U11" s="23"/>
      <c r="V11" s="23"/>
      <c r="W11" s="23"/>
      <c r="X11" s="23"/>
      <c r="Y11" s="23"/>
      <c r="Z11" s="107" t="s">
        <v>1</v>
      </c>
      <c r="AA11" s="108"/>
      <c r="AB11" s="113" t="s">
        <v>7</v>
      </c>
      <c r="AC11" s="107" t="s">
        <v>55</v>
      </c>
      <c r="AD11" s="108"/>
      <c r="AE11" s="116">
        <f>VLOOKUP(AB11,BREAKFASTTABLE,2,FALSE)</f>
        <v>265</v>
      </c>
      <c r="AF11" s="23"/>
      <c r="AG11" s="23"/>
      <c r="AH11" s="17" t="s">
        <v>56</v>
      </c>
      <c r="AI11" s="28"/>
      <c r="AJ11" s="17" t="s">
        <v>4</v>
      </c>
      <c r="AK11" s="28"/>
      <c r="AL11" s="17" t="s">
        <v>57</v>
      </c>
      <c r="AM11" s="28"/>
      <c r="AN11" s="17" t="s">
        <v>58</v>
      </c>
      <c r="AO11" s="28"/>
      <c r="AP11" s="17" t="s">
        <v>59</v>
      </c>
      <c r="AQ11" s="28"/>
      <c r="AR11" s="23"/>
      <c r="AS11" s="23"/>
      <c r="AT11" s="23"/>
      <c r="AU11" s="23"/>
      <c r="AV11" s="23"/>
      <c r="AW11" s="23"/>
      <c r="AX11" s="23"/>
      <c r="AY11" s="107" t="s">
        <v>1</v>
      </c>
      <c r="AZ11" s="108"/>
      <c r="BA11" s="113" t="s">
        <v>9</v>
      </c>
      <c r="BB11" s="107" t="s">
        <v>55</v>
      </c>
      <c r="BC11" s="108"/>
      <c r="BD11" s="116">
        <f>VLOOKUP(BA11,BREAKFASTTABLE,2,FALSE)</f>
        <v>340</v>
      </c>
      <c r="BE11" s="23"/>
      <c r="BF11" s="23"/>
      <c r="BG11" s="17" t="s">
        <v>56</v>
      </c>
      <c r="BH11" s="28"/>
      <c r="BI11" s="17" t="s">
        <v>4</v>
      </c>
      <c r="BJ11" s="28"/>
      <c r="BK11" s="17" t="s">
        <v>57</v>
      </c>
      <c r="BL11" s="28"/>
      <c r="BM11" s="17" t="s">
        <v>58</v>
      </c>
      <c r="BN11" s="28"/>
      <c r="BO11" s="17" t="s">
        <v>59</v>
      </c>
      <c r="BP11" s="28"/>
      <c r="BQ11" s="23"/>
      <c r="BR11" s="23"/>
      <c r="BS11" s="23"/>
      <c r="BT11" s="23"/>
      <c r="BU11" s="23"/>
      <c r="BV11" s="23"/>
      <c r="BW11" s="23"/>
      <c r="BX11" s="107" t="s">
        <v>1</v>
      </c>
      <c r="BY11" s="108"/>
      <c r="BZ11" s="113" t="s">
        <v>11</v>
      </c>
      <c r="CA11" s="107" t="s">
        <v>55</v>
      </c>
      <c r="CB11" s="108"/>
      <c r="CC11" s="116">
        <f>VLOOKUP(BZ11,BREAKFASTTABLE,2,FALSE)</f>
        <v>300</v>
      </c>
      <c r="CD11" s="23"/>
      <c r="CE11" s="23"/>
      <c r="CF11" s="17" t="s">
        <v>56</v>
      </c>
      <c r="CG11" s="28"/>
      <c r="CH11" s="17" t="s">
        <v>4</v>
      </c>
      <c r="CI11" s="28"/>
      <c r="CJ11" s="17" t="s">
        <v>57</v>
      </c>
      <c r="CK11" s="28"/>
      <c r="CL11" s="17" t="s">
        <v>58</v>
      </c>
      <c r="CM11" s="28"/>
      <c r="CN11" s="17" t="s">
        <v>59</v>
      </c>
      <c r="CO11" s="28"/>
      <c r="CP11" s="23"/>
      <c r="CQ11" s="23"/>
      <c r="CR11" s="23"/>
      <c r="CS11" s="23"/>
      <c r="CT11" s="23"/>
      <c r="CU11" s="23"/>
      <c r="CV11" s="23"/>
      <c r="CW11" s="107" t="s">
        <v>1</v>
      </c>
      <c r="CX11" s="108"/>
      <c r="CY11" s="113" t="s">
        <v>13</v>
      </c>
      <c r="CZ11" s="107" t="s">
        <v>55</v>
      </c>
      <c r="DA11" s="108"/>
      <c r="DB11" s="116">
        <f>VLOOKUP(CY11,BREAKFASTTABLE,2,FALSE)</f>
        <v>250</v>
      </c>
      <c r="DC11" s="23"/>
      <c r="DD11" s="23"/>
      <c r="DE11" s="17" t="s">
        <v>56</v>
      </c>
      <c r="DF11" s="28"/>
      <c r="DG11" s="17" t="s">
        <v>4</v>
      </c>
      <c r="DH11" s="28"/>
      <c r="DI11" s="17" t="s">
        <v>57</v>
      </c>
      <c r="DJ11" s="28"/>
      <c r="DK11" s="17" t="s">
        <v>58</v>
      </c>
      <c r="DL11" s="28"/>
      <c r="DM11" s="17" t="s">
        <v>59</v>
      </c>
      <c r="DN11" s="28"/>
      <c r="DO11" s="23"/>
      <c r="DP11" s="23"/>
      <c r="DQ11" s="23"/>
      <c r="DR11" s="23"/>
      <c r="DS11" s="23"/>
      <c r="DT11" s="23"/>
      <c r="DU11" s="23"/>
      <c r="DV11" s="107" t="s">
        <v>1</v>
      </c>
      <c r="DW11" s="108"/>
      <c r="DX11" s="113" t="s">
        <v>6</v>
      </c>
      <c r="DY11" s="107" t="s">
        <v>55</v>
      </c>
      <c r="DZ11" s="108"/>
      <c r="EA11" s="116">
        <f>VLOOKUP(DX11,BREAKFASTTABLE,2,FALSE)</f>
        <v>310</v>
      </c>
      <c r="EB11" s="23"/>
      <c r="EC11" s="23"/>
      <c r="ED11" s="17" t="s">
        <v>56</v>
      </c>
      <c r="EE11" s="28"/>
      <c r="EF11" s="17" t="s">
        <v>4</v>
      </c>
      <c r="EG11" s="28"/>
      <c r="EH11" s="17" t="s">
        <v>57</v>
      </c>
      <c r="EI11" s="28"/>
      <c r="EJ11" s="17" t="s">
        <v>58</v>
      </c>
      <c r="EK11" s="28"/>
      <c r="EL11" s="17" t="s">
        <v>59</v>
      </c>
      <c r="EM11" s="28"/>
      <c r="EN11" s="23"/>
      <c r="EO11" s="23"/>
      <c r="EP11" s="23"/>
      <c r="EQ11" s="23"/>
      <c r="ER11" s="23"/>
      <c r="ES11" s="23"/>
      <c r="ET11" s="23"/>
      <c r="EU11" s="107" t="s">
        <v>1</v>
      </c>
      <c r="EV11" s="108"/>
      <c r="EW11" s="113" t="s">
        <v>6</v>
      </c>
      <c r="EX11" s="107" t="s">
        <v>55</v>
      </c>
      <c r="EY11" s="108"/>
      <c r="EZ11" s="116">
        <f>VLOOKUP(EW11,BREAKFASTTABLE,2,FALSE)</f>
        <v>310</v>
      </c>
      <c r="FA11" s="23"/>
      <c r="FB11" s="23"/>
      <c r="FC11" s="17" t="s">
        <v>56</v>
      </c>
      <c r="FD11" s="28"/>
      <c r="FE11" s="17" t="s">
        <v>4</v>
      </c>
      <c r="FF11" s="28"/>
      <c r="FG11" s="17" t="s">
        <v>57</v>
      </c>
      <c r="FH11" s="28"/>
      <c r="FI11" s="17" t="s">
        <v>58</v>
      </c>
      <c r="FJ11" s="28"/>
      <c r="FK11" s="17" t="s">
        <v>59</v>
      </c>
      <c r="FL11" s="28"/>
      <c r="FM11" s="23"/>
      <c r="FN11" s="23"/>
      <c r="FO11" s="23"/>
      <c r="FP11" s="23"/>
      <c r="FQ11" s="23"/>
      <c r="FR11" s="23"/>
      <c r="FS11" s="23"/>
    </row>
    <row r="12" spans="1:175" ht="16.5" thickBot="1" x14ac:dyDescent="0.4">
      <c r="A12" s="109"/>
      <c r="B12" s="110"/>
      <c r="C12" s="114"/>
      <c r="D12" s="109"/>
      <c r="E12" s="110"/>
      <c r="F12" s="117"/>
      <c r="G12" s="23"/>
      <c r="H12" s="23"/>
      <c r="I12" s="19"/>
      <c r="J12" s="29"/>
      <c r="K12" s="19"/>
      <c r="L12" s="29"/>
      <c r="M12" s="19"/>
      <c r="N12" s="29"/>
      <c r="O12" s="19"/>
      <c r="P12" s="29"/>
      <c r="Q12" s="19"/>
      <c r="R12" s="29"/>
      <c r="S12" s="23"/>
      <c r="T12" s="23"/>
      <c r="U12" s="23"/>
      <c r="V12" s="23"/>
      <c r="W12" s="23"/>
      <c r="X12" s="23"/>
      <c r="Y12" s="23"/>
      <c r="Z12" s="109"/>
      <c r="AA12" s="110"/>
      <c r="AB12" s="114"/>
      <c r="AC12" s="109"/>
      <c r="AD12" s="110"/>
      <c r="AE12" s="117"/>
      <c r="AF12" s="23"/>
      <c r="AG12" s="23"/>
      <c r="AH12" s="19"/>
      <c r="AI12" s="29"/>
      <c r="AJ12" s="19"/>
      <c r="AK12" s="29"/>
      <c r="AL12" s="19"/>
      <c r="AM12" s="29"/>
      <c r="AN12" s="19"/>
      <c r="AO12" s="29"/>
      <c r="AP12" s="19"/>
      <c r="AQ12" s="29"/>
      <c r="AR12" s="23"/>
      <c r="AS12" s="23"/>
      <c r="AT12" s="23"/>
      <c r="AU12" s="23"/>
      <c r="AV12" s="23"/>
      <c r="AW12" s="23"/>
      <c r="AX12" s="23"/>
      <c r="AY12" s="109"/>
      <c r="AZ12" s="110"/>
      <c r="BA12" s="114"/>
      <c r="BB12" s="109"/>
      <c r="BC12" s="110"/>
      <c r="BD12" s="117"/>
      <c r="BE12" s="23"/>
      <c r="BF12" s="23"/>
      <c r="BG12" s="19"/>
      <c r="BH12" s="29"/>
      <c r="BI12" s="19"/>
      <c r="BJ12" s="29"/>
      <c r="BK12" s="19"/>
      <c r="BL12" s="29"/>
      <c r="BM12" s="19"/>
      <c r="BN12" s="29"/>
      <c r="BO12" s="19"/>
      <c r="BP12" s="29"/>
      <c r="BQ12" s="23"/>
      <c r="BR12" s="23"/>
      <c r="BS12" s="23"/>
      <c r="BT12" s="23"/>
      <c r="BU12" s="23"/>
      <c r="BV12" s="23"/>
      <c r="BW12" s="23"/>
      <c r="BX12" s="109"/>
      <c r="BY12" s="110"/>
      <c r="BZ12" s="114"/>
      <c r="CA12" s="109"/>
      <c r="CB12" s="110"/>
      <c r="CC12" s="117"/>
      <c r="CD12" s="23"/>
      <c r="CE12" s="23"/>
      <c r="CF12" s="19"/>
      <c r="CG12" s="29"/>
      <c r="CH12" s="19"/>
      <c r="CI12" s="29"/>
      <c r="CJ12" s="19"/>
      <c r="CK12" s="29"/>
      <c r="CL12" s="19"/>
      <c r="CM12" s="29"/>
      <c r="CN12" s="19"/>
      <c r="CO12" s="29"/>
      <c r="CP12" s="23"/>
      <c r="CQ12" s="23"/>
      <c r="CR12" s="23"/>
      <c r="CS12" s="23"/>
      <c r="CT12" s="23"/>
      <c r="CU12" s="23"/>
      <c r="CV12" s="23"/>
      <c r="CW12" s="109"/>
      <c r="CX12" s="110"/>
      <c r="CY12" s="114"/>
      <c r="CZ12" s="109"/>
      <c r="DA12" s="110"/>
      <c r="DB12" s="117"/>
      <c r="DC12" s="23"/>
      <c r="DD12" s="23"/>
      <c r="DE12" s="19"/>
      <c r="DF12" s="29"/>
      <c r="DG12" s="19"/>
      <c r="DH12" s="29"/>
      <c r="DI12" s="19"/>
      <c r="DJ12" s="29"/>
      <c r="DK12" s="19"/>
      <c r="DL12" s="29"/>
      <c r="DM12" s="19"/>
      <c r="DN12" s="29"/>
      <c r="DO12" s="23"/>
      <c r="DP12" s="23"/>
      <c r="DQ12" s="23"/>
      <c r="DR12" s="23"/>
      <c r="DS12" s="23"/>
      <c r="DT12" s="23"/>
      <c r="DU12" s="23"/>
      <c r="DV12" s="109"/>
      <c r="DW12" s="110"/>
      <c r="DX12" s="114"/>
      <c r="DY12" s="109"/>
      <c r="DZ12" s="110"/>
      <c r="EA12" s="117"/>
      <c r="EB12" s="23"/>
      <c r="EC12" s="23"/>
      <c r="ED12" s="19"/>
      <c r="EE12" s="29"/>
      <c r="EF12" s="19"/>
      <c r="EG12" s="29"/>
      <c r="EH12" s="19"/>
      <c r="EI12" s="29"/>
      <c r="EJ12" s="19"/>
      <c r="EK12" s="29"/>
      <c r="EL12" s="19"/>
      <c r="EM12" s="29"/>
      <c r="EN12" s="23"/>
      <c r="EO12" s="23"/>
      <c r="EP12" s="23"/>
      <c r="EQ12" s="23"/>
      <c r="ER12" s="23"/>
      <c r="ES12" s="23"/>
      <c r="ET12" s="23"/>
      <c r="EU12" s="109"/>
      <c r="EV12" s="110"/>
      <c r="EW12" s="114"/>
      <c r="EX12" s="109"/>
      <c r="EY12" s="110"/>
      <c r="EZ12" s="117"/>
      <c r="FA12" s="23"/>
      <c r="FB12" s="23"/>
      <c r="FC12" s="19"/>
      <c r="FD12" s="29"/>
      <c r="FE12" s="19"/>
      <c r="FF12" s="29"/>
      <c r="FG12" s="19"/>
      <c r="FH12" s="29"/>
      <c r="FI12" s="19"/>
      <c r="FJ12" s="29"/>
      <c r="FK12" s="19"/>
      <c r="FL12" s="29"/>
      <c r="FM12" s="23"/>
      <c r="FN12" s="23"/>
      <c r="FO12" s="23"/>
      <c r="FP12" s="23"/>
      <c r="FQ12" s="23"/>
      <c r="FR12" s="23"/>
      <c r="FS12" s="23"/>
    </row>
    <row r="13" spans="1:175" ht="16" x14ac:dyDescent="0.35">
      <c r="A13" s="109"/>
      <c r="B13" s="110"/>
      <c r="C13" s="114"/>
      <c r="D13" s="109"/>
      <c r="E13" s="110"/>
      <c r="F13" s="117"/>
      <c r="G13" s="23"/>
      <c r="H13" s="23"/>
      <c r="I13" s="30" t="s">
        <v>8</v>
      </c>
      <c r="J13" s="31"/>
      <c r="K13" s="17">
        <f>VLOOKUP(I13,METVALUE,2,FALSE)</f>
        <v>5.5</v>
      </c>
      <c r="L13" s="18"/>
      <c r="M13" s="17">
        <v>0.5</v>
      </c>
      <c r="N13" s="18"/>
      <c r="O13" s="17">
        <f>K13*D3</f>
        <v>974.31538156303748</v>
      </c>
      <c r="P13" s="18"/>
      <c r="Q13" s="17">
        <f>M13*O13</f>
        <v>487.15769078151874</v>
      </c>
      <c r="R13" s="18"/>
      <c r="S13" s="23"/>
      <c r="T13" s="23"/>
      <c r="U13" s="23"/>
      <c r="V13" s="23"/>
      <c r="W13" s="23"/>
      <c r="X13" s="23"/>
      <c r="Y13" s="23"/>
      <c r="Z13" s="109"/>
      <c r="AA13" s="110"/>
      <c r="AB13" s="114"/>
      <c r="AC13" s="109"/>
      <c r="AD13" s="110"/>
      <c r="AE13" s="117"/>
      <c r="AF13" s="23"/>
      <c r="AG13" s="23"/>
      <c r="AH13" s="30" t="s">
        <v>8</v>
      </c>
      <c r="AI13" s="31"/>
      <c r="AJ13" s="17">
        <f>VLOOKUP(AH13,METVALUE,2,FALSE)</f>
        <v>5.5</v>
      </c>
      <c r="AK13" s="18"/>
      <c r="AL13" s="17">
        <v>2</v>
      </c>
      <c r="AM13" s="18"/>
      <c r="AN13" s="17">
        <f>AJ13*AC3</f>
        <v>974.31538156303748</v>
      </c>
      <c r="AO13" s="18"/>
      <c r="AP13" s="17">
        <f>AL13*AN13</f>
        <v>1948.630763126075</v>
      </c>
      <c r="AQ13" s="18"/>
      <c r="AR13" s="23"/>
      <c r="AS13" s="23"/>
      <c r="AT13" s="23"/>
      <c r="AU13" s="23"/>
      <c r="AV13" s="23"/>
      <c r="AW13" s="23"/>
      <c r="AX13" s="23"/>
      <c r="AY13" s="109"/>
      <c r="AZ13" s="110"/>
      <c r="BA13" s="114"/>
      <c r="BB13" s="109"/>
      <c r="BC13" s="110"/>
      <c r="BD13" s="117"/>
      <c r="BE13" s="23"/>
      <c r="BF13" s="23"/>
      <c r="BG13" s="30" t="s">
        <v>8</v>
      </c>
      <c r="BH13" s="31"/>
      <c r="BI13" s="17">
        <f>VLOOKUP(BG13,METVALUE,2,FALSE)</f>
        <v>5.5</v>
      </c>
      <c r="BJ13" s="18"/>
      <c r="BK13" s="17">
        <v>0.25</v>
      </c>
      <c r="BL13" s="18"/>
      <c r="BM13" s="17">
        <f>BI13*BB3</f>
        <v>974.31538156303748</v>
      </c>
      <c r="BN13" s="18"/>
      <c r="BO13" s="17">
        <f>BK13*BM13</f>
        <v>243.57884539075937</v>
      </c>
      <c r="BP13" s="18"/>
      <c r="BQ13" s="23"/>
      <c r="BR13" s="23"/>
      <c r="BS13" s="23"/>
      <c r="BT13" s="23"/>
      <c r="BU13" s="23"/>
      <c r="BV13" s="23"/>
      <c r="BW13" s="23"/>
      <c r="BX13" s="109"/>
      <c r="BY13" s="110"/>
      <c r="BZ13" s="114"/>
      <c r="CA13" s="109"/>
      <c r="CB13" s="110"/>
      <c r="CC13" s="117"/>
      <c r="CD13" s="23"/>
      <c r="CE13" s="23"/>
      <c r="CF13" s="30" t="s">
        <v>8</v>
      </c>
      <c r="CG13" s="31"/>
      <c r="CH13" s="17">
        <f>VLOOKUP(CF13,METVALUE,2,FALSE)</f>
        <v>5.5</v>
      </c>
      <c r="CI13" s="18"/>
      <c r="CJ13" s="17">
        <v>0.5</v>
      </c>
      <c r="CK13" s="18"/>
      <c r="CL13" s="17">
        <f>CH13*CA3</f>
        <v>974.31538156303748</v>
      </c>
      <c r="CM13" s="18"/>
      <c r="CN13" s="17">
        <f>CJ13*CL13</f>
        <v>487.15769078151874</v>
      </c>
      <c r="CO13" s="18"/>
      <c r="CP13" s="23"/>
      <c r="CQ13" s="23"/>
      <c r="CR13" s="23"/>
      <c r="CS13" s="23"/>
      <c r="CT13" s="23"/>
      <c r="CU13" s="23"/>
      <c r="CV13" s="23"/>
      <c r="CW13" s="109"/>
      <c r="CX13" s="110"/>
      <c r="CY13" s="114"/>
      <c r="CZ13" s="109"/>
      <c r="DA13" s="110"/>
      <c r="DB13" s="117"/>
      <c r="DC13" s="23"/>
      <c r="DD13" s="23"/>
      <c r="DE13" s="30" t="s">
        <v>8</v>
      </c>
      <c r="DF13" s="31"/>
      <c r="DG13" s="17">
        <f>VLOOKUP(DE13,METVALUE,2,FALSE)</f>
        <v>5.5</v>
      </c>
      <c r="DH13" s="18"/>
      <c r="DI13" s="17">
        <v>0.5</v>
      </c>
      <c r="DJ13" s="18"/>
      <c r="DK13" s="17">
        <f>DG13*CZ3</f>
        <v>974.31538156303748</v>
      </c>
      <c r="DL13" s="18"/>
      <c r="DM13" s="17">
        <f>DI13*DK13</f>
        <v>487.15769078151874</v>
      </c>
      <c r="DN13" s="18"/>
      <c r="DO13" s="23"/>
      <c r="DP13" s="23"/>
      <c r="DQ13" s="23"/>
      <c r="DR13" s="23"/>
      <c r="DS13" s="23"/>
      <c r="DT13" s="23"/>
      <c r="DU13" s="23"/>
      <c r="DV13" s="109"/>
      <c r="DW13" s="110"/>
      <c r="DX13" s="114"/>
      <c r="DY13" s="109"/>
      <c r="DZ13" s="110"/>
      <c r="EA13" s="117"/>
      <c r="EB13" s="23"/>
      <c r="EC13" s="23"/>
      <c r="ED13" s="30" t="s">
        <v>8</v>
      </c>
      <c r="EE13" s="31"/>
      <c r="EF13" s="17">
        <f>VLOOKUP(ED13,METVALUE,2,FALSE)</f>
        <v>5.5</v>
      </c>
      <c r="EG13" s="18"/>
      <c r="EH13" s="17">
        <v>0.75</v>
      </c>
      <c r="EI13" s="18"/>
      <c r="EJ13" s="17">
        <f>EF13*DY3</f>
        <v>974.31538156303748</v>
      </c>
      <c r="EK13" s="18"/>
      <c r="EL13" s="17">
        <f>EH13*EJ13</f>
        <v>730.73653617227808</v>
      </c>
      <c r="EM13" s="18"/>
      <c r="EN13" s="23"/>
      <c r="EO13" s="23"/>
      <c r="EP13" s="23"/>
      <c r="EQ13" s="23"/>
      <c r="ER13" s="23"/>
      <c r="ES13" s="23"/>
      <c r="ET13" s="23"/>
      <c r="EU13" s="109"/>
      <c r="EV13" s="110"/>
      <c r="EW13" s="114"/>
      <c r="EX13" s="109"/>
      <c r="EY13" s="110"/>
      <c r="EZ13" s="117"/>
      <c r="FA13" s="23"/>
      <c r="FB13" s="23"/>
      <c r="FC13" s="30" t="s">
        <v>8</v>
      </c>
      <c r="FD13" s="31"/>
      <c r="FE13" s="17">
        <f>VLOOKUP(FC13,METVALUE,2,FALSE)</f>
        <v>5.5</v>
      </c>
      <c r="FF13" s="18"/>
      <c r="FG13" s="17">
        <v>1</v>
      </c>
      <c r="FH13" s="18"/>
      <c r="FI13" s="17">
        <f>FE13*EX3</f>
        <v>974.31538156303748</v>
      </c>
      <c r="FJ13" s="18"/>
      <c r="FK13" s="17">
        <f>FG13*FI13</f>
        <v>974.31538156303748</v>
      </c>
      <c r="FL13" s="18"/>
      <c r="FM13" s="23"/>
      <c r="FN13" s="23"/>
      <c r="FO13" s="23"/>
      <c r="FP13" s="23"/>
      <c r="FQ13" s="23"/>
      <c r="FR13" s="23"/>
      <c r="FS13" s="23"/>
    </row>
    <row r="14" spans="1:175" ht="16.5" thickBot="1" x14ac:dyDescent="0.4">
      <c r="A14" s="111"/>
      <c r="B14" s="112"/>
      <c r="C14" s="115"/>
      <c r="D14" s="111"/>
      <c r="E14" s="112"/>
      <c r="F14" s="118"/>
      <c r="G14" s="23"/>
      <c r="H14" s="23"/>
      <c r="I14" s="32"/>
      <c r="J14" s="33"/>
      <c r="K14" s="19"/>
      <c r="L14" s="20"/>
      <c r="M14" s="19"/>
      <c r="N14" s="20"/>
      <c r="O14" s="19"/>
      <c r="P14" s="20"/>
      <c r="Q14" s="19"/>
      <c r="R14" s="20"/>
      <c r="S14" s="23"/>
      <c r="T14" s="23"/>
      <c r="U14" s="23"/>
      <c r="V14" s="23"/>
      <c r="W14" s="23"/>
      <c r="X14" s="23"/>
      <c r="Y14" s="23"/>
      <c r="Z14" s="111"/>
      <c r="AA14" s="112"/>
      <c r="AB14" s="115"/>
      <c r="AC14" s="111"/>
      <c r="AD14" s="112"/>
      <c r="AE14" s="118"/>
      <c r="AF14" s="23"/>
      <c r="AG14" s="23"/>
      <c r="AH14" s="32"/>
      <c r="AI14" s="33"/>
      <c r="AJ14" s="19"/>
      <c r="AK14" s="20"/>
      <c r="AL14" s="19"/>
      <c r="AM14" s="20"/>
      <c r="AN14" s="19"/>
      <c r="AO14" s="20"/>
      <c r="AP14" s="19"/>
      <c r="AQ14" s="20"/>
      <c r="AR14" s="23"/>
      <c r="AS14" s="23"/>
      <c r="AT14" s="23"/>
      <c r="AU14" s="23"/>
      <c r="AV14" s="23"/>
      <c r="AW14" s="23"/>
      <c r="AX14" s="23"/>
      <c r="AY14" s="111"/>
      <c r="AZ14" s="112"/>
      <c r="BA14" s="115"/>
      <c r="BB14" s="111"/>
      <c r="BC14" s="112"/>
      <c r="BD14" s="118"/>
      <c r="BE14" s="23"/>
      <c r="BF14" s="23"/>
      <c r="BG14" s="32"/>
      <c r="BH14" s="33"/>
      <c r="BI14" s="19"/>
      <c r="BJ14" s="20"/>
      <c r="BK14" s="19"/>
      <c r="BL14" s="20"/>
      <c r="BM14" s="19"/>
      <c r="BN14" s="20"/>
      <c r="BO14" s="19"/>
      <c r="BP14" s="20"/>
      <c r="BQ14" s="23"/>
      <c r="BR14" s="23"/>
      <c r="BS14" s="23"/>
      <c r="BT14" s="23"/>
      <c r="BU14" s="23"/>
      <c r="BV14" s="23"/>
      <c r="BW14" s="23"/>
      <c r="BX14" s="111"/>
      <c r="BY14" s="112"/>
      <c r="BZ14" s="115"/>
      <c r="CA14" s="111"/>
      <c r="CB14" s="112"/>
      <c r="CC14" s="118"/>
      <c r="CD14" s="23"/>
      <c r="CE14" s="23"/>
      <c r="CF14" s="32"/>
      <c r="CG14" s="33"/>
      <c r="CH14" s="19"/>
      <c r="CI14" s="20"/>
      <c r="CJ14" s="19"/>
      <c r="CK14" s="20"/>
      <c r="CL14" s="19"/>
      <c r="CM14" s="20"/>
      <c r="CN14" s="19"/>
      <c r="CO14" s="20"/>
      <c r="CP14" s="23"/>
      <c r="CQ14" s="23"/>
      <c r="CR14" s="23"/>
      <c r="CS14" s="23"/>
      <c r="CT14" s="23"/>
      <c r="CU14" s="23"/>
      <c r="CV14" s="23"/>
      <c r="CW14" s="111"/>
      <c r="CX14" s="112"/>
      <c r="CY14" s="115"/>
      <c r="CZ14" s="111"/>
      <c r="DA14" s="112"/>
      <c r="DB14" s="118"/>
      <c r="DC14" s="23"/>
      <c r="DD14" s="23"/>
      <c r="DE14" s="32"/>
      <c r="DF14" s="33"/>
      <c r="DG14" s="19"/>
      <c r="DH14" s="20"/>
      <c r="DI14" s="19"/>
      <c r="DJ14" s="20"/>
      <c r="DK14" s="19"/>
      <c r="DL14" s="20"/>
      <c r="DM14" s="19"/>
      <c r="DN14" s="20"/>
      <c r="DO14" s="23"/>
      <c r="DP14" s="23"/>
      <c r="DQ14" s="23"/>
      <c r="DR14" s="23"/>
      <c r="DS14" s="23"/>
      <c r="DT14" s="23"/>
      <c r="DU14" s="23"/>
      <c r="DV14" s="111"/>
      <c r="DW14" s="112"/>
      <c r="DX14" s="115"/>
      <c r="DY14" s="111"/>
      <c r="DZ14" s="112"/>
      <c r="EA14" s="118"/>
      <c r="EB14" s="23"/>
      <c r="EC14" s="23"/>
      <c r="ED14" s="32"/>
      <c r="EE14" s="33"/>
      <c r="EF14" s="19"/>
      <c r="EG14" s="20"/>
      <c r="EH14" s="19"/>
      <c r="EI14" s="20"/>
      <c r="EJ14" s="19"/>
      <c r="EK14" s="20"/>
      <c r="EL14" s="19"/>
      <c r="EM14" s="20"/>
      <c r="EN14" s="23"/>
      <c r="EO14" s="23"/>
      <c r="EP14" s="23"/>
      <c r="EQ14" s="23"/>
      <c r="ER14" s="23"/>
      <c r="ES14" s="23"/>
      <c r="ET14" s="23"/>
      <c r="EU14" s="111"/>
      <c r="EV14" s="112"/>
      <c r="EW14" s="115"/>
      <c r="EX14" s="111"/>
      <c r="EY14" s="112"/>
      <c r="EZ14" s="118"/>
      <c r="FA14" s="23"/>
      <c r="FB14" s="23"/>
      <c r="FC14" s="32"/>
      <c r="FD14" s="33"/>
      <c r="FE14" s="19"/>
      <c r="FF14" s="20"/>
      <c r="FG14" s="19"/>
      <c r="FH14" s="20"/>
      <c r="FI14" s="19"/>
      <c r="FJ14" s="20"/>
      <c r="FK14" s="19"/>
      <c r="FL14" s="20"/>
      <c r="FM14" s="23"/>
      <c r="FN14" s="23"/>
      <c r="FO14" s="23"/>
      <c r="FP14" s="23"/>
      <c r="FQ14" s="23"/>
      <c r="FR14" s="23"/>
      <c r="FS14" s="23"/>
    </row>
    <row r="15" spans="1:175" ht="16.5" thickBot="1" x14ac:dyDescent="0.4">
      <c r="A15" s="107" t="s">
        <v>15</v>
      </c>
      <c r="B15" s="108"/>
      <c r="C15" s="113" t="s">
        <v>18</v>
      </c>
      <c r="D15" s="107" t="s">
        <v>55</v>
      </c>
      <c r="E15" s="108"/>
      <c r="F15" s="116">
        <f>VLOOKUP(C15,LUNCHTABLE,2,FALSE)</f>
        <v>350</v>
      </c>
      <c r="G15" s="23"/>
      <c r="H15" s="23"/>
      <c r="I15" s="34"/>
      <c r="J15" s="35"/>
      <c r="K15" s="21"/>
      <c r="L15" s="22"/>
      <c r="M15" s="21"/>
      <c r="N15" s="22"/>
      <c r="O15" s="21"/>
      <c r="P15" s="22"/>
      <c r="Q15" s="21"/>
      <c r="R15" s="22"/>
      <c r="S15" s="23"/>
      <c r="T15" s="23"/>
      <c r="U15" s="23"/>
      <c r="V15" s="23"/>
      <c r="W15" s="23"/>
      <c r="X15" s="23"/>
      <c r="Y15" s="23"/>
      <c r="Z15" s="107" t="s">
        <v>15</v>
      </c>
      <c r="AA15" s="108"/>
      <c r="AB15" s="113" t="s">
        <v>20</v>
      </c>
      <c r="AC15" s="107" t="s">
        <v>55</v>
      </c>
      <c r="AD15" s="108"/>
      <c r="AE15" s="116">
        <f>VLOOKUP(AB15,LUNCHTABLE,2,FALSE)</f>
        <v>400</v>
      </c>
      <c r="AF15" s="23"/>
      <c r="AG15" s="23"/>
      <c r="AH15" s="34"/>
      <c r="AI15" s="35"/>
      <c r="AJ15" s="21"/>
      <c r="AK15" s="22"/>
      <c r="AL15" s="21"/>
      <c r="AM15" s="22"/>
      <c r="AN15" s="21"/>
      <c r="AO15" s="22"/>
      <c r="AP15" s="21"/>
      <c r="AQ15" s="22"/>
      <c r="AR15" s="23"/>
      <c r="AS15" s="23"/>
      <c r="AT15" s="23"/>
      <c r="AU15" s="23"/>
      <c r="AV15" s="23"/>
      <c r="AW15" s="23"/>
      <c r="AX15" s="23"/>
      <c r="AY15" s="107" t="s">
        <v>15</v>
      </c>
      <c r="AZ15" s="108"/>
      <c r="BA15" s="113" t="s">
        <v>22</v>
      </c>
      <c r="BB15" s="107" t="s">
        <v>55</v>
      </c>
      <c r="BC15" s="108"/>
      <c r="BD15" s="116">
        <f>VLOOKUP(BA15,LUNCHTABLE,2,FALSE)</f>
        <v>450</v>
      </c>
      <c r="BE15" s="23"/>
      <c r="BF15" s="23"/>
      <c r="BG15" s="34"/>
      <c r="BH15" s="35"/>
      <c r="BI15" s="21"/>
      <c r="BJ15" s="22"/>
      <c r="BK15" s="21"/>
      <c r="BL15" s="22"/>
      <c r="BM15" s="21"/>
      <c r="BN15" s="22"/>
      <c r="BO15" s="21"/>
      <c r="BP15" s="22"/>
      <c r="BQ15" s="23"/>
      <c r="BR15" s="23"/>
      <c r="BS15" s="23"/>
      <c r="BT15" s="23"/>
      <c r="BU15" s="23"/>
      <c r="BV15" s="23"/>
      <c r="BW15" s="23"/>
      <c r="BX15" s="107" t="s">
        <v>15</v>
      </c>
      <c r="BY15" s="108"/>
      <c r="BZ15" s="113" t="s">
        <v>24</v>
      </c>
      <c r="CA15" s="107" t="s">
        <v>55</v>
      </c>
      <c r="CB15" s="108"/>
      <c r="CC15" s="116">
        <f>VLOOKUP(BZ15,LUNCHTABLE,2,FALSE)</f>
        <v>400</v>
      </c>
      <c r="CD15" s="23"/>
      <c r="CE15" s="23"/>
      <c r="CF15" s="34"/>
      <c r="CG15" s="35"/>
      <c r="CH15" s="21"/>
      <c r="CI15" s="22"/>
      <c r="CJ15" s="21"/>
      <c r="CK15" s="22"/>
      <c r="CL15" s="21"/>
      <c r="CM15" s="22"/>
      <c r="CN15" s="21"/>
      <c r="CO15" s="22"/>
      <c r="CP15" s="23"/>
      <c r="CQ15" s="23"/>
      <c r="CR15" s="23"/>
      <c r="CS15" s="23"/>
      <c r="CT15" s="23"/>
      <c r="CU15" s="23"/>
      <c r="CV15" s="23"/>
      <c r="CW15" s="107" t="s">
        <v>15</v>
      </c>
      <c r="CX15" s="108"/>
      <c r="CY15" s="113" t="s">
        <v>26</v>
      </c>
      <c r="CZ15" s="107" t="s">
        <v>55</v>
      </c>
      <c r="DA15" s="108"/>
      <c r="DB15" s="116">
        <f>VLOOKUP(CY15,LUNCHTABLE,2,FALSE)</f>
        <v>350</v>
      </c>
      <c r="DC15" s="23"/>
      <c r="DD15" s="23"/>
      <c r="DE15" s="34"/>
      <c r="DF15" s="35"/>
      <c r="DG15" s="21"/>
      <c r="DH15" s="22"/>
      <c r="DI15" s="21"/>
      <c r="DJ15" s="22"/>
      <c r="DK15" s="21"/>
      <c r="DL15" s="22"/>
      <c r="DM15" s="21"/>
      <c r="DN15" s="22"/>
      <c r="DO15" s="23"/>
      <c r="DP15" s="23"/>
      <c r="DQ15" s="23"/>
      <c r="DR15" s="23"/>
      <c r="DS15" s="23"/>
      <c r="DT15" s="23"/>
      <c r="DU15" s="23"/>
      <c r="DV15" s="107" t="s">
        <v>15</v>
      </c>
      <c r="DW15" s="108"/>
      <c r="DX15" s="113" t="s">
        <v>18</v>
      </c>
      <c r="DY15" s="107" t="s">
        <v>55</v>
      </c>
      <c r="DZ15" s="108"/>
      <c r="EA15" s="116">
        <f>VLOOKUP(DX15,LUNCHTABLE,2,FALSE)</f>
        <v>350</v>
      </c>
      <c r="EB15" s="23"/>
      <c r="EC15" s="23"/>
      <c r="ED15" s="34"/>
      <c r="EE15" s="35"/>
      <c r="EF15" s="21"/>
      <c r="EG15" s="22"/>
      <c r="EH15" s="21"/>
      <c r="EI15" s="22"/>
      <c r="EJ15" s="21"/>
      <c r="EK15" s="22"/>
      <c r="EL15" s="21"/>
      <c r="EM15" s="22"/>
      <c r="EN15" s="23"/>
      <c r="EO15" s="23"/>
      <c r="EP15" s="23"/>
      <c r="EQ15" s="23"/>
      <c r="ER15" s="23"/>
      <c r="ES15" s="23"/>
      <c r="ET15" s="23"/>
      <c r="EU15" s="107" t="s">
        <v>15</v>
      </c>
      <c r="EV15" s="108"/>
      <c r="EW15" s="113" t="s">
        <v>18</v>
      </c>
      <c r="EX15" s="107" t="s">
        <v>55</v>
      </c>
      <c r="EY15" s="108"/>
      <c r="EZ15" s="116">
        <f>VLOOKUP(EW15,LUNCHTABLE,2,FALSE)</f>
        <v>350</v>
      </c>
      <c r="FA15" s="23"/>
      <c r="FB15" s="23"/>
      <c r="FC15" s="34"/>
      <c r="FD15" s="35"/>
      <c r="FE15" s="21"/>
      <c r="FF15" s="22"/>
      <c r="FG15" s="21"/>
      <c r="FH15" s="22"/>
      <c r="FI15" s="21"/>
      <c r="FJ15" s="22"/>
      <c r="FK15" s="21"/>
      <c r="FL15" s="22"/>
      <c r="FM15" s="23"/>
      <c r="FN15" s="23"/>
      <c r="FO15" s="23"/>
      <c r="FP15" s="23"/>
      <c r="FQ15" s="23"/>
      <c r="FR15" s="23"/>
      <c r="FS15" s="23"/>
    </row>
    <row r="16" spans="1:175" ht="16" x14ac:dyDescent="0.35">
      <c r="A16" s="109"/>
      <c r="B16" s="110"/>
      <c r="C16" s="114"/>
      <c r="D16" s="109"/>
      <c r="E16" s="110"/>
      <c r="F16" s="117"/>
      <c r="G16" s="23"/>
      <c r="H16" s="23"/>
      <c r="I16" s="30" t="s">
        <v>10</v>
      </c>
      <c r="J16" s="31"/>
      <c r="K16" s="17">
        <f>VLOOKUP(I16,METVALUE,2,FALSE)</f>
        <v>8</v>
      </c>
      <c r="L16" s="18"/>
      <c r="M16" s="17">
        <v>1</v>
      </c>
      <c r="N16" s="18"/>
      <c r="O16" s="17">
        <f>D3*K16</f>
        <v>1417.1860095462364</v>
      </c>
      <c r="P16" s="18"/>
      <c r="Q16" s="17">
        <f>M16*O16</f>
        <v>1417.1860095462364</v>
      </c>
      <c r="R16" s="18"/>
      <c r="S16" s="23"/>
      <c r="T16" s="23"/>
      <c r="U16" s="23"/>
      <c r="V16" s="23"/>
      <c r="W16" s="23"/>
      <c r="X16" s="23"/>
      <c r="Y16" s="23"/>
      <c r="Z16" s="109"/>
      <c r="AA16" s="110"/>
      <c r="AB16" s="114"/>
      <c r="AC16" s="109"/>
      <c r="AD16" s="110"/>
      <c r="AE16" s="117"/>
      <c r="AF16" s="23"/>
      <c r="AG16" s="23"/>
      <c r="AH16" s="30" t="s">
        <v>10</v>
      </c>
      <c r="AI16" s="31"/>
      <c r="AJ16" s="17">
        <f>VLOOKUP(AH16,METVALUE,2,FALSE)</f>
        <v>8</v>
      </c>
      <c r="AK16" s="18"/>
      <c r="AL16" s="17">
        <v>1</v>
      </c>
      <c r="AM16" s="18"/>
      <c r="AN16" s="17">
        <f>AC3*AJ16</f>
        <v>1417.1860095462364</v>
      </c>
      <c r="AO16" s="18"/>
      <c r="AP16" s="17">
        <f>AL16*AN16</f>
        <v>1417.1860095462364</v>
      </c>
      <c r="AQ16" s="18"/>
      <c r="AR16" s="23"/>
      <c r="AS16" s="23"/>
      <c r="AT16" s="23"/>
      <c r="AU16" s="23"/>
      <c r="AV16" s="23"/>
      <c r="AW16" s="23"/>
      <c r="AX16" s="23"/>
      <c r="AY16" s="109"/>
      <c r="AZ16" s="110"/>
      <c r="BA16" s="114"/>
      <c r="BB16" s="109"/>
      <c r="BC16" s="110"/>
      <c r="BD16" s="117"/>
      <c r="BE16" s="23"/>
      <c r="BF16" s="23"/>
      <c r="BG16" s="30" t="s">
        <v>10</v>
      </c>
      <c r="BH16" s="31"/>
      <c r="BI16" s="17">
        <f>VLOOKUP(BG16,METVALUE,2,FALSE)</f>
        <v>8</v>
      </c>
      <c r="BJ16" s="18"/>
      <c r="BK16" s="17">
        <v>0.5</v>
      </c>
      <c r="BL16" s="18"/>
      <c r="BM16" s="17">
        <f>BB3*BI16</f>
        <v>1417.1860095462364</v>
      </c>
      <c r="BN16" s="18"/>
      <c r="BO16" s="17">
        <f>BK16*BM16</f>
        <v>708.5930047731182</v>
      </c>
      <c r="BP16" s="18"/>
      <c r="BQ16" s="23"/>
      <c r="BR16" s="23"/>
      <c r="BS16" s="23"/>
      <c r="BT16" s="23"/>
      <c r="BU16" s="23"/>
      <c r="BV16" s="23"/>
      <c r="BW16" s="23"/>
      <c r="BX16" s="109"/>
      <c r="BY16" s="110"/>
      <c r="BZ16" s="114"/>
      <c r="CA16" s="109"/>
      <c r="CB16" s="110"/>
      <c r="CC16" s="117"/>
      <c r="CD16" s="23"/>
      <c r="CE16" s="23"/>
      <c r="CF16" s="30" t="s">
        <v>10</v>
      </c>
      <c r="CG16" s="31"/>
      <c r="CH16" s="17">
        <f>VLOOKUP(CF16,METVALUE,2,FALSE)</f>
        <v>8</v>
      </c>
      <c r="CI16" s="18"/>
      <c r="CJ16" s="17">
        <v>0.5</v>
      </c>
      <c r="CK16" s="18"/>
      <c r="CL16" s="17">
        <f>CA3*CH16</f>
        <v>1417.1860095462364</v>
      </c>
      <c r="CM16" s="18"/>
      <c r="CN16" s="17">
        <f>CJ16*CL16</f>
        <v>708.5930047731182</v>
      </c>
      <c r="CO16" s="18"/>
      <c r="CP16" s="23"/>
      <c r="CQ16" s="23"/>
      <c r="CR16" s="23"/>
      <c r="CS16" s="23"/>
      <c r="CT16" s="23"/>
      <c r="CU16" s="23"/>
      <c r="CV16" s="23"/>
      <c r="CW16" s="109"/>
      <c r="CX16" s="110"/>
      <c r="CY16" s="114"/>
      <c r="CZ16" s="109"/>
      <c r="DA16" s="110"/>
      <c r="DB16" s="117"/>
      <c r="DC16" s="23"/>
      <c r="DD16" s="23"/>
      <c r="DE16" s="30" t="s">
        <v>10</v>
      </c>
      <c r="DF16" s="31"/>
      <c r="DG16" s="17">
        <f>VLOOKUP(DE16,METVALUE,2,FALSE)</f>
        <v>8</v>
      </c>
      <c r="DH16" s="18"/>
      <c r="DI16" s="17">
        <v>0.25</v>
      </c>
      <c r="DJ16" s="18"/>
      <c r="DK16" s="17">
        <f>CZ3*DG16</f>
        <v>1417.1860095462364</v>
      </c>
      <c r="DL16" s="18"/>
      <c r="DM16" s="17">
        <f>DI16*DK16</f>
        <v>354.2965023865591</v>
      </c>
      <c r="DN16" s="18"/>
      <c r="DO16" s="23"/>
      <c r="DP16" s="23"/>
      <c r="DQ16" s="23"/>
      <c r="DR16" s="23"/>
      <c r="DS16" s="23"/>
      <c r="DT16" s="23"/>
      <c r="DU16" s="23"/>
      <c r="DV16" s="109"/>
      <c r="DW16" s="110"/>
      <c r="DX16" s="114"/>
      <c r="DY16" s="109"/>
      <c r="DZ16" s="110"/>
      <c r="EA16" s="117"/>
      <c r="EB16" s="23"/>
      <c r="EC16" s="23"/>
      <c r="ED16" s="30" t="s">
        <v>10</v>
      </c>
      <c r="EE16" s="31"/>
      <c r="EF16" s="17">
        <f>VLOOKUP(ED16,METVALUE,2,FALSE)</f>
        <v>8</v>
      </c>
      <c r="EG16" s="18"/>
      <c r="EH16" s="17">
        <v>0.25</v>
      </c>
      <c r="EI16" s="18"/>
      <c r="EJ16" s="17">
        <f>DY3*EF16</f>
        <v>1417.1860095462364</v>
      </c>
      <c r="EK16" s="18"/>
      <c r="EL16" s="17">
        <f>EH16*EJ16</f>
        <v>354.2965023865591</v>
      </c>
      <c r="EM16" s="18"/>
      <c r="EN16" s="23"/>
      <c r="EO16" s="23"/>
      <c r="EP16" s="23"/>
      <c r="EQ16" s="23"/>
      <c r="ER16" s="23"/>
      <c r="ES16" s="23"/>
      <c r="ET16" s="23"/>
      <c r="EU16" s="109"/>
      <c r="EV16" s="110"/>
      <c r="EW16" s="114"/>
      <c r="EX16" s="109"/>
      <c r="EY16" s="110"/>
      <c r="EZ16" s="117"/>
      <c r="FA16" s="23"/>
      <c r="FB16" s="23"/>
      <c r="FC16" s="30" t="s">
        <v>10</v>
      </c>
      <c r="FD16" s="31"/>
      <c r="FE16" s="17">
        <f>VLOOKUP(FC16,METVALUE,2,FALSE)</f>
        <v>8</v>
      </c>
      <c r="FF16" s="18"/>
      <c r="FG16" s="17">
        <v>0.25</v>
      </c>
      <c r="FH16" s="18"/>
      <c r="FI16" s="17">
        <f>EX3*FE16</f>
        <v>1417.1860095462364</v>
      </c>
      <c r="FJ16" s="18"/>
      <c r="FK16" s="17">
        <f>FG16*FI16</f>
        <v>354.2965023865591</v>
      </c>
      <c r="FL16" s="18"/>
      <c r="FM16" s="23"/>
      <c r="FN16" s="23"/>
      <c r="FO16" s="23"/>
      <c r="FP16" s="23"/>
      <c r="FQ16" s="23"/>
      <c r="FR16" s="23"/>
      <c r="FS16" s="23"/>
    </row>
    <row r="17" spans="1:175" ht="16" x14ac:dyDescent="0.35">
      <c r="A17" s="109"/>
      <c r="B17" s="110"/>
      <c r="C17" s="114"/>
      <c r="D17" s="109"/>
      <c r="E17" s="110"/>
      <c r="F17" s="117"/>
      <c r="G17" s="23"/>
      <c r="H17" s="23"/>
      <c r="I17" s="32"/>
      <c r="J17" s="33"/>
      <c r="K17" s="19"/>
      <c r="L17" s="20"/>
      <c r="M17" s="19"/>
      <c r="N17" s="20"/>
      <c r="O17" s="19"/>
      <c r="P17" s="20"/>
      <c r="Q17" s="19"/>
      <c r="R17" s="20"/>
      <c r="S17" s="23"/>
      <c r="T17" s="23"/>
      <c r="U17" s="23"/>
      <c r="V17" s="23"/>
      <c r="W17" s="23"/>
      <c r="X17" s="23"/>
      <c r="Y17" s="23"/>
      <c r="Z17" s="109"/>
      <c r="AA17" s="110"/>
      <c r="AB17" s="114"/>
      <c r="AC17" s="109"/>
      <c r="AD17" s="110"/>
      <c r="AE17" s="117"/>
      <c r="AF17" s="23"/>
      <c r="AG17" s="23"/>
      <c r="AH17" s="32"/>
      <c r="AI17" s="33"/>
      <c r="AJ17" s="19"/>
      <c r="AK17" s="20"/>
      <c r="AL17" s="19"/>
      <c r="AM17" s="20"/>
      <c r="AN17" s="19"/>
      <c r="AO17" s="20"/>
      <c r="AP17" s="19"/>
      <c r="AQ17" s="20"/>
      <c r="AR17" s="23"/>
      <c r="AS17" s="23"/>
      <c r="AT17" s="23"/>
      <c r="AU17" s="23"/>
      <c r="AV17" s="23"/>
      <c r="AW17" s="23"/>
      <c r="AX17" s="23"/>
      <c r="AY17" s="109"/>
      <c r="AZ17" s="110"/>
      <c r="BA17" s="114"/>
      <c r="BB17" s="109"/>
      <c r="BC17" s="110"/>
      <c r="BD17" s="117"/>
      <c r="BE17" s="23"/>
      <c r="BF17" s="23"/>
      <c r="BG17" s="32"/>
      <c r="BH17" s="33"/>
      <c r="BI17" s="19"/>
      <c r="BJ17" s="20"/>
      <c r="BK17" s="19"/>
      <c r="BL17" s="20"/>
      <c r="BM17" s="19"/>
      <c r="BN17" s="20"/>
      <c r="BO17" s="19"/>
      <c r="BP17" s="20"/>
      <c r="BQ17" s="23"/>
      <c r="BR17" s="23"/>
      <c r="BS17" s="23"/>
      <c r="BT17" s="23"/>
      <c r="BU17" s="23"/>
      <c r="BV17" s="23"/>
      <c r="BW17" s="23"/>
      <c r="BX17" s="109"/>
      <c r="BY17" s="110"/>
      <c r="BZ17" s="114"/>
      <c r="CA17" s="109"/>
      <c r="CB17" s="110"/>
      <c r="CC17" s="117"/>
      <c r="CD17" s="23"/>
      <c r="CE17" s="23"/>
      <c r="CF17" s="32"/>
      <c r="CG17" s="33"/>
      <c r="CH17" s="19"/>
      <c r="CI17" s="20"/>
      <c r="CJ17" s="19"/>
      <c r="CK17" s="20"/>
      <c r="CL17" s="19"/>
      <c r="CM17" s="20"/>
      <c r="CN17" s="19"/>
      <c r="CO17" s="20"/>
      <c r="CP17" s="23"/>
      <c r="CQ17" s="23"/>
      <c r="CR17" s="23"/>
      <c r="CS17" s="23"/>
      <c r="CT17" s="23"/>
      <c r="CU17" s="23"/>
      <c r="CV17" s="23"/>
      <c r="CW17" s="109"/>
      <c r="CX17" s="110"/>
      <c r="CY17" s="114"/>
      <c r="CZ17" s="109"/>
      <c r="DA17" s="110"/>
      <c r="DB17" s="117"/>
      <c r="DC17" s="23"/>
      <c r="DD17" s="23"/>
      <c r="DE17" s="32"/>
      <c r="DF17" s="33"/>
      <c r="DG17" s="19"/>
      <c r="DH17" s="20"/>
      <c r="DI17" s="19"/>
      <c r="DJ17" s="20"/>
      <c r="DK17" s="19"/>
      <c r="DL17" s="20"/>
      <c r="DM17" s="19"/>
      <c r="DN17" s="20"/>
      <c r="DO17" s="23"/>
      <c r="DP17" s="23"/>
      <c r="DQ17" s="23"/>
      <c r="DR17" s="23"/>
      <c r="DS17" s="23"/>
      <c r="DT17" s="23"/>
      <c r="DU17" s="23"/>
      <c r="DV17" s="109"/>
      <c r="DW17" s="110"/>
      <c r="DX17" s="114"/>
      <c r="DY17" s="109"/>
      <c r="DZ17" s="110"/>
      <c r="EA17" s="117"/>
      <c r="EB17" s="23"/>
      <c r="EC17" s="23"/>
      <c r="ED17" s="32"/>
      <c r="EE17" s="33"/>
      <c r="EF17" s="19"/>
      <c r="EG17" s="20"/>
      <c r="EH17" s="19"/>
      <c r="EI17" s="20"/>
      <c r="EJ17" s="19"/>
      <c r="EK17" s="20"/>
      <c r="EL17" s="19"/>
      <c r="EM17" s="20"/>
      <c r="EN17" s="23"/>
      <c r="EO17" s="23"/>
      <c r="EP17" s="23"/>
      <c r="EQ17" s="23"/>
      <c r="ER17" s="23"/>
      <c r="ES17" s="23"/>
      <c r="ET17" s="23"/>
      <c r="EU17" s="109"/>
      <c r="EV17" s="110"/>
      <c r="EW17" s="114"/>
      <c r="EX17" s="109"/>
      <c r="EY17" s="110"/>
      <c r="EZ17" s="117"/>
      <c r="FA17" s="23"/>
      <c r="FB17" s="23"/>
      <c r="FC17" s="32"/>
      <c r="FD17" s="33"/>
      <c r="FE17" s="19"/>
      <c r="FF17" s="20"/>
      <c r="FG17" s="19"/>
      <c r="FH17" s="20"/>
      <c r="FI17" s="19"/>
      <c r="FJ17" s="20"/>
      <c r="FK17" s="19"/>
      <c r="FL17" s="20"/>
      <c r="FM17" s="23"/>
      <c r="FN17" s="23"/>
      <c r="FO17" s="23"/>
      <c r="FP17" s="23"/>
      <c r="FQ17" s="23"/>
      <c r="FR17" s="23"/>
      <c r="FS17" s="23"/>
    </row>
    <row r="18" spans="1:175" ht="16.5" thickBot="1" x14ac:dyDescent="0.4">
      <c r="A18" s="111"/>
      <c r="B18" s="112"/>
      <c r="C18" s="115"/>
      <c r="D18" s="111"/>
      <c r="E18" s="112"/>
      <c r="F18" s="118"/>
      <c r="G18" s="23"/>
      <c r="H18" s="23"/>
      <c r="I18" s="34"/>
      <c r="J18" s="35"/>
      <c r="K18" s="21"/>
      <c r="L18" s="22"/>
      <c r="M18" s="21"/>
      <c r="N18" s="22"/>
      <c r="O18" s="21"/>
      <c r="P18" s="22"/>
      <c r="Q18" s="21"/>
      <c r="R18" s="22"/>
      <c r="S18" s="23"/>
      <c r="T18" s="23"/>
      <c r="U18" s="23"/>
      <c r="V18" s="23"/>
      <c r="W18" s="23"/>
      <c r="X18" s="23"/>
      <c r="Y18" s="23"/>
      <c r="Z18" s="111"/>
      <c r="AA18" s="112"/>
      <c r="AB18" s="115"/>
      <c r="AC18" s="111"/>
      <c r="AD18" s="112"/>
      <c r="AE18" s="118"/>
      <c r="AF18" s="23"/>
      <c r="AG18" s="23"/>
      <c r="AH18" s="34"/>
      <c r="AI18" s="35"/>
      <c r="AJ18" s="21"/>
      <c r="AK18" s="22"/>
      <c r="AL18" s="21"/>
      <c r="AM18" s="22"/>
      <c r="AN18" s="21"/>
      <c r="AO18" s="22"/>
      <c r="AP18" s="21"/>
      <c r="AQ18" s="22"/>
      <c r="AR18" s="23"/>
      <c r="AS18" s="23"/>
      <c r="AT18" s="23"/>
      <c r="AU18" s="23"/>
      <c r="AV18" s="23"/>
      <c r="AW18" s="23"/>
      <c r="AX18" s="23"/>
      <c r="AY18" s="111"/>
      <c r="AZ18" s="112"/>
      <c r="BA18" s="115"/>
      <c r="BB18" s="111"/>
      <c r="BC18" s="112"/>
      <c r="BD18" s="118"/>
      <c r="BE18" s="23"/>
      <c r="BF18" s="23"/>
      <c r="BG18" s="34"/>
      <c r="BH18" s="35"/>
      <c r="BI18" s="21"/>
      <c r="BJ18" s="22"/>
      <c r="BK18" s="21"/>
      <c r="BL18" s="22"/>
      <c r="BM18" s="21"/>
      <c r="BN18" s="22"/>
      <c r="BO18" s="21"/>
      <c r="BP18" s="22"/>
      <c r="BQ18" s="23"/>
      <c r="BR18" s="23"/>
      <c r="BS18" s="23"/>
      <c r="BT18" s="23"/>
      <c r="BU18" s="23"/>
      <c r="BV18" s="23"/>
      <c r="BW18" s="23"/>
      <c r="BX18" s="111"/>
      <c r="BY18" s="112"/>
      <c r="BZ18" s="115"/>
      <c r="CA18" s="111"/>
      <c r="CB18" s="112"/>
      <c r="CC18" s="118"/>
      <c r="CD18" s="23"/>
      <c r="CE18" s="23"/>
      <c r="CF18" s="34"/>
      <c r="CG18" s="35"/>
      <c r="CH18" s="21"/>
      <c r="CI18" s="22"/>
      <c r="CJ18" s="21"/>
      <c r="CK18" s="22"/>
      <c r="CL18" s="21"/>
      <c r="CM18" s="22"/>
      <c r="CN18" s="21"/>
      <c r="CO18" s="22"/>
      <c r="CP18" s="23"/>
      <c r="CQ18" s="23"/>
      <c r="CR18" s="23"/>
      <c r="CS18" s="23"/>
      <c r="CT18" s="23"/>
      <c r="CU18" s="23"/>
      <c r="CV18" s="23"/>
      <c r="CW18" s="111"/>
      <c r="CX18" s="112"/>
      <c r="CY18" s="115"/>
      <c r="CZ18" s="111"/>
      <c r="DA18" s="112"/>
      <c r="DB18" s="118"/>
      <c r="DC18" s="23"/>
      <c r="DD18" s="23"/>
      <c r="DE18" s="34"/>
      <c r="DF18" s="35"/>
      <c r="DG18" s="21"/>
      <c r="DH18" s="22"/>
      <c r="DI18" s="21"/>
      <c r="DJ18" s="22"/>
      <c r="DK18" s="21"/>
      <c r="DL18" s="22"/>
      <c r="DM18" s="21"/>
      <c r="DN18" s="22"/>
      <c r="DO18" s="23"/>
      <c r="DP18" s="23"/>
      <c r="DQ18" s="23"/>
      <c r="DR18" s="23"/>
      <c r="DS18" s="23"/>
      <c r="DT18" s="23"/>
      <c r="DU18" s="23"/>
      <c r="DV18" s="111"/>
      <c r="DW18" s="112"/>
      <c r="DX18" s="115"/>
      <c r="DY18" s="111"/>
      <c r="DZ18" s="112"/>
      <c r="EA18" s="118"/>
      <c r="EB18" s="23"/>
      <c r="EC18" s="23"/>
      <c r="ED18" s="34"/>
      <c r="EE18" s="35"/>
      <c r="EF18" s="21"/>
      <c r="EG18" s="22"/>
      <c r="EH18" s="21"/>
      <c r="EI18" s="22"/>
      <c r="EJ18" s="21"/>
      <c r="EK18" s="22"/>
      <c r="EL18" s="21"/>
      <c r="EM18" s="22"/>
      <c r="EN18" s="23"/>
      <c r="EO18" s="23"/>
      <c r="EP18" s="23"/>
      <c r="EQ18" s="23"/>
      <c r="ER18" s="23"/>
      <c r="ES18" s="23"/>
      <c r="ET18" s="23"/>
      <c r="EU18" s="111"/>
      <c r="EV18" s="112"/>
      <c r="EW18" s="115"/>
      <c r="EX18" s="111"/>
      <c r="EY18" s="112"/>
      <c r="EZ18" s="118"/>
      <c r="FA18" s="23"/>
      <c r="FB18" s="23"/>
      <c r="FC18" s="34"/>
      <c r="FD18" s="35"/>
      <c r="FE18" s="21"/>
      <c r="FF18" s="22"/>
      <c r="FG18" s="21"/>
      <c r="FH18" s="22"/>
      <c r="FI18" s="21"/>
      <c r="FJ18" s="22"/>
      <c r="FK18" s="21"/>
      <c r="FL18" s="22"/>
      <c r="FM18" s="23"/>
      <c r="FN18" s="23"/>
      <c r="FO18" s="23"/>
      <c r="FP18" s="23"/>
      <c r="FQ18" s="23"/>
      <c r="FR18" s="23"/>
      <c r="FS18" s="23"/>
    </row>
    <row r="19" spans="1:175" ht="16" x14ac:dyDescent="0.35">
      <c r="A19" s="107" t="s">
        <v>27</v>
      </c>
      <c r="B19" s="108"/>
      <c r="C19" s="113" t="s">
        <v>28</v>
      </c>
      <c r="D19" s="107" t="s">
        <v>55</v>
      </c>
      <c r="E19" s="108"/>
      <c r="F19" s="116">
        <f>VLOOKUP(C19,DINNERTABLE,2,FALSE)</f>
        <v>450</v>
      </c>
      <c r="G19" s="23"/>
      <c r="H19" s="23"/>
      <c r="I19" s="30" t="s">
        <v>12</v>
      </c>
      <c r="J19" s="31"/>
      <c r="K19" s="17">
        <f>VLOOKUP(I19,METVALUE,2,FALSE)</f>
        <v>4</v>
      </c>
      <c r="L19" s="18"/>
      <c r="M19" s="17">
        <v>1</v>
      </c>
      <c r="N19" s="18"/>
      <c r="O19" s="17">
        <f>D3*K19</f>
        <v>708.5930047731182</v>
      </c>
      <c r="P19" s="18"/>
      <c r="Q19" s="17">
        <f>M19*O19</f>
        <v>708.5930047731182</v>
      </c>
      <c r="R19" s="18"/>
      <c r="S19" s="23"/>
      <c r="T19" s="23"/>
      <c r="U19" s="23"/>
      <c r="V19" s="23"/>
      <c r="W19" s="23"/>
      <c r="X19" s="23"/>
      <c r="Y19" s="23"/>
      <c r="Z19" s="107" t="s">
        <v>27</v>
      </c>
      <c r="AA19" s="108"/>
      <c r="AB19" s="113" t="s">
        <v>29</v>
      </c>
      <c r="AC19" s="107" t="s">
        <v>55</v>
      </c>
      <c r="AD19" s="108"/>
      <c r="AE19" s="116">
        <f>VLOOKUP(AB19,DINNERTABLE,2,FALSE)</f>
        <v>500</v>
      </c>
      <c r="AF19" s="23"/>
      <c r="AG19" s="23"/>
      <c r="AH19" s="30" t="s">
        <v>12</v>
      </c>
      <c r="AI19" s="31"/>
      <c r="AJ19" s="17">
        <f>VLOOKUP(AH19,METVALUE,2,FALSE)</f>
        <v>4</v>
      </c>
      <c r="AK19" s="18"/>
      <c r="AL19" s="17">
        <v>1</v>
      </c>
      <c r="AM19" s="18"/>
      <c r="AN19" s="17">
        <f>AC3*AJ19</f>
        <v>708.5930047731182</v>
      </c>
      <c r="AO19" s="18"/>
      <c r="AP19" s="17">
        <f>AL19*AN19</f>
        <v>708.5930047731182</v>
      </c>
      <c r="AQ19" s="18"/>
      <c r="AR19" s="23"/>
      <c r="AS19" s="23"/>
      <c r="AT19" s="23"/>
      <c r="AU19" s="23"/>
      <c r="AV19" s="23"/>
      <c r="AW19" s="23"/>
      <c r="AX19" s="23"/>
      <c r="AY19" s="107" t="s">
        <v>27</v>
      </c>
      <c r="AZ19" s="108"/>
      <c r="BA19" s="113" t="s">
        <v>30</v>
      </c>
      <c r="BB19" s="107" t="s">
        <v>55</v>
      </c>
      <c r="BC19" s="108"/>
      <c r="BD19" s="116">
        <f>VLOOKUP(BA19,DINNERTABLE,2,FALSE)</f>
        <v>480</v>
      </c>
      <c r="BE19" s="23"/>
      <c r="BF19" s="23"/>
      <c r="BG19" s="30" t="s">
        <v>12</v>
      </c>
      <c r="BH19" s="31"/>
      <c r="BI19" s="17">
        <f>VLOOKUP(BG19,METVALUE,2,FALSE)</f>
        <v>4</v>
      </c>
      <c r="BJ19" s="18"/>
      <c r="BK19" s="17">
        <v>0</v>
      </c>
      <c r="BL19" s="18"/>
      <c r="BM19" s="17">
        <f>BB3*BI19</f>
        <v>708.5930047731182</v>
      </c>
      <c r="BN19" s="18"/>
      <c r="BO19" s="17">
        <f>BK19*BM19</f>
        <v>0</v>
      </c>
      <c r="BP19" s="18"/>
      <c r="BQ19" s="23"/>
      <c r="BR19" s="23"/>
      <c r="BS19" s="23"/>
      <c r="BT19" s="23"/>
      <c r="BU19" s="23"/>
      <c r="BV19" s="23"/>
      <c r="BW19" s="23"/>
      <c r="BX19" s="107" t="s">
        <v>27</v>
      </c>
      <c r="BY19" s="108"/>
      <c r="BZ19" s="113" t="s">
        <v>31</v>
      </c>
      <c r="CA19" s="107" t="s">
        <v>55</v>
      </c>
      <c r="CB19" s="108"/>
      <c r="CC19" s="116">
        <f>VLOOKUP(BZ19,DINNERTABLE,2,FALSE)</f>
        <v>470</v>
      </c>
      <c r="CD19" s="23"/>
      <c r="CE19" s="23"/>
      <c r="CF19" s="30" t="s">
        <v>12</v>
      </c>
      <c r="CG19" s="31"/>
      <c r="CH19" s="17">
        <f>VLOOKUP(CF19,METVALUE,2,FALSE)</f>
        <v>4</v>
      </c>
      <c r="CI19" s="18"/>
      <c r="CJ19" s="17">
        <v>0.75</v>
      </c>
      <c r="CK19" s="18"/>
      <c r="CL19" s="17">
        <f>CA3*CH19</f>
        <v>708.5930047731182</v>
      </c>
      <c r="CM19" s="18"/>
      <c r="CN19" s="17">
        <f>CJ19*CL19</f>
        <v>531.44475357983868</v>
      </c>
      <c r="CO19" s="18"/>
      <c r="CP19" s="23"/>
      <c r="CQ19" s="23"/>
      <c r="CR19" s="23"/>
      <c r="CS19" s="23"/>
      <c r="CT19" s="23"/>
      <c r="CU19" s="23"/>
      <c r="CV19" s="23"/>
      <c r="CW19" s="107" t="s">
        <v>27</v>
      </c>
      <c r="CX19" s="108"/>
      <c r="CY19" s="113" t="s">
        <v>32</v>
      </c>
      <c r="CZ19" s="107" t="s">
        <v>55</v>
      </c>
      <c r="DA19" s="108"/>
      <c r="DB19" s="116">
        <f>VLOOKUP(CY19,DINNERTABLE,2,FALSE)</f>
        <v>520</v>
      </c>
      <c r="DC19" s="23"/>
      <c r="DD19" s="23"/>
      <c r="DE19" s="30" t="s">
        <v>12</v>
      </c>
      <c r="DF19" s="31"/>
      <c r="DG19" s="17">
        <f>VLOOKUP(DE19,METVALUE,2,FALSE)</f>
        <v>4</v>
      </c>
      <c r="DH19" s="18"/>
      <c r="DI19" s="17">
        <v>0.25</v>
      </c>
      <c r="DJ19" s="18"/>
      <c r="DK19" s="17">
        <f>CZ3*DG19</f>
        <v>708.5930047731182</v>
      </c>
      <c r="DL19" s="18"/>
      <c r="DM19" s="17">
        <f>DI19*DK19</f>
        <v>177.14825119327955</v>
      </c>
      <c r="DN19" s="18"/>
      <c r="DO19" s="23"/>
      <c r="DP19" s="23"/>
      <c r="DQ19" s="23"/>
      <c r="DR19" s="23"/>
      <c r="DS19" s="23"/>
      <c r="DT19" s="23"/>
      <c r="DU19" s="23"/>
      <c r="DV19" s="107" t="s">
        <v>27</v>
      </c>
      <c r="DW19" s="108"/>
      <c r="DX19" s="113" t="s">
        <v>28</v>
      </c>
      <c r="DY19" s="107" t="s">
        <v>55</v>
      </c>
      <c r="DZ19" s="108"/>
      <c r="EA19" s="116">
        <f>VLOOKUP(DX19,DINNERTABLE,2,FALSE)</f>
        <v>450</v>
      </c>
      <c r="EB19" s="23"/>
      <c r="EC19" s="23"/>
      <c r="ED19" s="30" t="s">
        <v>12</v>
      </c>
      <c r="EE19" s="31"/>
      <c r="EF19" s="17">
        <f>VLOOKUP(ED19,METVALUE,2,FALSE)</f>
        <v>4</v>
      </c>
      <c r="EG19" s="18"/>
      <c r="EH19" s="17">
        <v>1</v>
      </c>
      <c r="EI19" s="18"/>
      <c r="EJ19" s="17">
        <f>DY3*EF19</f>
        <v>708.5930047731182</v>
      </c>
      <c r="EK19" s="18"/>
      <c r="EL19" s="17">
        <f>EH19*EJ19</f>
        <v>708.5930047731182</v>
      </c>
      <c r="EM19" s="18"/>
      <c r="EN19" s="23"/>
      <c r="EO19" s="23"/>
      <c r="EP19" s="23"/>
      <c r="EQ19" s="23"/>
      <c r="ER19" s="23"/>
      <c r="ES19" s="23"/>
      <c r="ET19" s="23"/>
      <c r="EU19" s="107" t="s">
        <v>27</v>
      </c>
      <c r="EV19" s="108"/>
      <c r="EW19" s="113" t="s">
        <v>28</v>
      </c>
      <c r="EX19" s="107" t="s">
        <v>55</v>
      </c>
      <c r="EY19" s="108"/>
      <c r="EZ19" s="116">
        <f>VLOOKUP(EW19,DINNERTABLE,2,FALSE)</f>
        <v>450</v>
      </c>
      <c r="FA19" s="23"/>
      <c r="FB19" s="23"/>
      <c r="FC19" s="30" t="s">
        <v>12</v>
      </c>
      <c r="FD19" s="31"/>
      <c r="FE19" s="17">
        <f>VLOOKUP(FC19,METVALUE,2,FALSE)</f>
        <v>4</v>
      </c>
      <c r="FF19" s="18"/>
      <c r="FG19" s="17">
        <v>0.25</v>
      </c>
      <c r="FH19" s="18"/>
      <c r="FI19" s="17">
        <f>EX3*FE19</f>
        <v>708.5930047731182</v>
      </c>
      <c r="FJ19" s="18"/>
      <c r="FK19" s="17">
        <f>FG19*FI19</f>
        <v>177.14825119327955</v>
      </c>
      <c r="FL19" s="18"/>
      <c r="FM19" s="23"/>
      <c r="FN19" s="23"/>
      <c r="FO19" s="23"/>
      <c r="FP19" s="23"/>
      <c r="FQ19" s="23"/>
      <c r="FR19" s="23"/>
      <c r="FS19" s="23"/>
    </row>
    <row r="20" spans="1:175" ht="16" x14ac:dyDescent="0.35">
      <c r="A20" s="109"/>
      <c r="B20" s="110"/>
      <c r="C20" s="114"/>
      <c r="D20" s="109"/>
      <c r="E20" s="110"/>
      <c r="F20" s="117"/>
      <c r="G20" s="23"/>
      <c r="H20" s="23"/>
      <c r="I20" s="32"/>
      <c r="J20" s="33"/>
      <c r="K20" s="19"/>
      <c r="L20" s="20"/>
      <c r="M20" s="19"/>
      <c r="N20" s="20"/>
      <c r="O20" s="19"/>
      <c r="P20" s="20"/>
      <c r="Q20" s="19"/>
      <c r="R20" s="20"/>
      <c r="S20" s="23"/>
      <c r="T20" s="23"/>
      <c r="U20" s="23"/>
      <c r="V20" s="23"/>
      <c r="W20" s="23"/>
      <c r="X20" s="23"/>
      <c r="Y20" s="23"/>
      <c r="Z20" s="109"/>
      <c r="AA20" s="110"/>
      <c r="AB20" s="114"/>
      <c r="AC20" s="109"/>
      <c r="AD20" s="110"/>
      <c r="AE20" s="117"/>
      <c r="AF20" s="23"/>
      <c r="AG20" s="23"/>
      <c r="AH20" s="32"/>
      <c r="AI20" s="33"/>
      <c r="AJ20" s="19"/>
      <c r="AK20" s="20"/>
      <c r="AL20" s="19"/>
      <c r="AM20" s="20"/>
      <c r="AN20" s="19"/>
      <c r="AO20" s="20"/>
      <c r="AP20" s="19"/>
      <c r="AQ20" s="20"/>
      <c r="AR20" s="23"/>
      <c r="AS20" s="23"/>
      <c r="AT20" s="23"/>
      <c r="AU20" s="23"/>
      <c r="AV20" s="23"/>
      <c r="AW20" s="23"/>
      <c r="AX20" s="23"/>
      <c r="AY20" s="109"/>
      <c r="AZ20" s="110"/>
      <c r="BA20" s="114"/>
      <c r="BB20" s="109"/>
      <c r="BC20" s="110"/>
      <c r="BD20" s="117"/>
      <c r="BE20" s="23"/>
      <c r="BF20" s="23"/>
      <c r="BG20" s="32"/>
      <c r="BH20" s="33"/>
      <c r="BI20" s="19"/>
      <c r="BJ20" s="20"/>
      <c r="BK20" s="19"/>
      <c r="BL20" s="20"/>
      <c r="BM20" s="19"/>
      <c r="BN20" s="20"/>
      <c r="BO20" s="19"/>
      <c r="BP20" s="20"/>
      <c r="BQ20" s="23"/>
      <c r="BR20" s="23"/>
      <c r="BS20" s="23"/>
      <c r="BT20" s="23"/>
      <c r="BU20" s="23"/>
      <c r="BV20" s="23"/>
      <c r="BW20" s="23"/>
      <c r="BX20" s="109"/>
      <c r="BY20" s="110"/>
      <c r="BZ20" s="114"/>
      <c r="CA20" s="109"/>
      <c r="CB20" s="110"/>
      <c r="CC20" s="117"/>
      <c r="CD20" s="23"/>
      <c r="CE20" s="23"/>
      <c r="CF20" s="32"/>
      <c r="CG20" s="33"/>
      <c r="CH20" s="19"/>
      <c r="CI20" s="20"/>
      <c r="CJ20" s="19"/>
      <c r="CK20" s="20"/>
      <c r="CL20" s="19"/>
      <c r="CM20" s="20"/>
      <c r="CN20" s="19"/>
      <c r="CO20" s="20"/>
      <c r="CP20" s="23"/>
      <c r="CQ20" s="23"/>
      <c r="CR20" s="23"/>
      <c r="CS20" s="23"/>
      <c r="CT20" s="23"/>
      <c r="CU20" s="23"/>
      <c r="CV20" s="23"/>
      <c r="CW20" s="109"/>
      <c r="CX20" s="110"/>
      <c r="CY20" s="114"/>
      <c r="CZ20" s="109"/>
      <c r="DA20" s="110"/>
      <c r="DB20" s="117"/>
      <c r="DC20" s="23"/>
      <c r="DD20" s="23"/>
      <c r="DE20" s="32"/>
      <c r="DF20" s="33"/>
      <c r="DG20" s="19"/>
      <c r="DH20" s="20"/>
      <c r="DI20" s="19"/>
      <c r="DJ20" s="20"/>
      <c r="DK20" s="19"/>
      <c r="DL20" s="20"/>
      <c r="DM20" s="19"/>
      <c r="DN20" s="20"/>
      <c r="DO20" s="23"/>
      <c r="DP20" s="23"/>
      <c r="DQ20" s="23"/>
      <c r="DR20" s="23"/>
      <c r="DS20" s="23"/>
      <c r="DT20" s="23"/>
      <c r="DU20" s="23"/>
      <c r="DV20" s="109"/>
      <c r="DW20" s="110"/>
      <c r="DX20" s="114"/>
      <c r="DY20" s="109"/>
      <c r="DZ20" s="110"/>
      <c r="EA20" s="117"/>
      <c r="EB20" s="23"/>
      <c r="EC20" s="23"/>
      <c r="ED20" s="32"/>
      <c r="EE20" s="33"/>
      <c r="EF20" s="19"/>
      <c r="EG20" s="20"/>
      <c r="EH20" s="19"/>
      <c r="EI20" s="20"/>
      <c r="EJ20" s="19"/>
      <c r="EK20" s="20"/>
      <c r="EL20" s="19"/>
      <c r="EM20" s="20"/>
      <c r="EN20" s="23"/>
      <c r="EO20" s="23"/>
      <c r="EP20" s="23"/>
      <c r="EQ20" s="23"/>
      <c r="ER20" s="23"/>
      <c r="ES20" s="23"/>
      <c r="ET20" s="23"/>
      <c r="EU20" s="109"/>
      <c r="EV20" s="110"/>
      <c r="EW20" s="114"/>
      <c r="EX20" s="109"/>
      <c r="EY20" s="110"/>
      <c r="EZ20" s="117"/>
      <c r="FA20" s="23"/>
      <c r="FB20" s="23"/>
      <c r="FC20" s="32"/>
      <c r="FD20" s="33"/>
      <c r="FE20" s="19"/>
      <c r="FF20" s="20"/>
      <c r="FG20" s="19"/>
      <c r="FH20" s="20"/>
      <c r="FI20" s="19"/>
      <c r="FJ20" s="20"/>
      <c r="FK20" s="19"/>
      <c r="FL20" s="20"/>
      <c r="FM20" s="23"/>
      <c r="FN20" s="23"/>
      <c r="FO20" s="23"/>
      <c r="FP20" s="23"/>
      <c r="FQ20" s="23"/>
      <c r="FR20" s="23"/>
      <c r="FS20" s="23"/>
    </row>
    <row r="21" spans="1:175" ht="16.5" thickBot="1" x14ac:dyDescent="0.4">
      <c r="A21" s="109"/>
      <c r="B21" s="110"/>
      <c r="C21" s="114"/>
      <c r="D21" s="109"/>
      <c r="E21" s="110"/>
      <c r="F21" s="117"/>
      <c r="G21" s="23"/>
      <c r="H21" s="23"/>
      <c r="I21" s="34"/>
      <c r="J21" s="35"/>
      <c r="K21" s="21"/>
      <c r="L21" s="22"/>
      <c r="M21" s="21"/>
      <c r="N21" s="22"/>
      <c r="O21" s="21"/>
      <c r="P21" s="22"/>
      <c r="Q21" s="21"/>
      <c r="R21" s="22"/>
      <c r="S21" s="23"/>
      <c r="T21" s="23"/>
      <c r="U21" s="23"/>
      <c r="V21" s="23"/>
      <c r="W21" s="23"/>
      <c r="X21" s="23"/>
      <c r="Y21" s="23"/>
      <c r="Z21" s="109"/>
      <c r="AA21" s="110"/>
      <c r="AB21" s="114"/>
      <c r="AC21" s="109"/>
      <c r="AD21" s="110"/>
      <c r="AE21" s="117"/>
      <c r="AF21" s="23"/>
      <c r="AG21" s="23"/>
      <c r="AH21" s="34"/>
      <c r="AI21" s="35"/>
      <c r="AJ21" s="21"/>
      <c r="AK21" s="22"/>
      <c r="AL21" s="21"/>
      <c r="AM21" s="22"/>
      <c r="AN21" s="21"/>
      <c r="AO21" s="22"/>
      <c r="AP21" s="21"/>
      <c r="AQ21" s="22"/>
      <c r="AR21" s="23"/>
      <c r="AS21" s="23"/>
      <c r="AT21" s="23"/>
      <c r="AU21" s="23"/>
      <c r="AV21" s="23"/>
      <c r="AW21" s="23"/>
      <c r="AX21" s="23"/>
      <c r="AY21" s="109"/>
      <c r="AZ21" s="110"/>
      <c r="BA21" s="114"/>
      <c r="BB21" s="109"/>
      <c r="BC21" s="110"/>
      <c r="BD21" s="117"/>
      <c r="BE21" s="23"/>
      <c r="BF21" s="23"/>
      <c r="BG21" s="34"/>
      <c r="BH21" s="35"/>
      <c r="BI21" s="21"/>
      <c r="BJ21" s="22"/>
      <c r="BK21" s="21"/>
      <c r="BL21" s="22"/>
      <c r="BM21" s="21"/>
      <c r="BN21" s="22"/>
      <c r="BO21" s="21"/>
      <c r="BP21" s="22"/>
      <c r="BQ21" s="23"/>
      <c r="BR21" s="23"/>
      <c r="BS21" s="23"/>
      <c r="BT21" s="23"/>
      <c r="BU21" s="23"/>
      <c r="BV21" s="23"/>
      <c r="BW21" s="23"/>
      <c r="BX21" s="109"/>
      <c r="BY21" s="110"/>
      <c r="BZ21" s="114"/>
      <c r="CA21" s="109"/>
      <c r="CB21" s="110"/>
      <c r="CC21" s="117"/>
      <c r="CD21" s="23"/>
      <c r="CE21" s="23"/>
      <c r="CF21" s="34"/>
      <c r="CG21" s="35"/>
      <c r="CH21" s="21"/>
      <c r="CI21" s="22"/>
      <c r="CJ21" s="21"/>
      <c r="CK21" s="22"/>
      <c r="CL21" s="21"/>
      <c r="CM21" s="22"/>
      <c r="CN21" s="21"/>
      <c r="CO21" s="22"/>
      <c r="CP21" s="23"/>
      <c r="CQ21" s="23"/>
      <c r="CR21" s="23"/>
      <c r="CS21" s="23"/>
      <c r="CT21" s="23"/>
      <c r="CU21" s="23"/>
      <c r="CV21" s="23"/>
      <c r="CW21" s="109"/>
      <c r="CX21" s="110"/>
      <c r="CY21" s="114"/>
      <c r="CZ21" s="109"/>
      <c r="DA21" s="110"/>
      <c r="DB21" s="117"/>
      <c r="DC21" s="23"/>
      <c r="DD21" s="23"/>
      <c r="DE21" s="34"/>
      <c r="DF21" s="35"/>
      <c r="DG21" s="21"/>
      <c r="DH21" s="22"/>
      <c r="DI21" s="21"/>
      <c r="DJ21" s="22"/>
      <c r="DK21" s="21"/>
      <c r="DL21" s="22"/>
      <c r="DM21" s="21"/>
      <c r="DN21" s="22"/>
      <c r="DO21" s="23"/>
      <c r="DP21" s="23"/>
      <c r="DQ21" s="23"/>
      <c r="DR21" s="23"/>
      <c r="DS21" s="23"/>
      <c r="DT21" s="23"/>
      <c r="DU21" s="23"/>
      <c r="DV21" s="109"/>
      <c r="DW21" s="110"/>
      <c r="DX21" s="114"/>
      <c r="DY21" s="109"/>
      <c r="DZ21" s="110"/>
      <c r="EA21" s="117"/>
      <c r="EB21" s="23"/>
      <c r="EC21" s="23"/>
      <c r="ED21" s="34"/>
      <c r="EE21" s="35"/>
      <c r="EF21" s="21"/>
      <c r="EG21" s="22"/>
      <c r="EH21" s="21"/>
      <c r="EI21" s="22"/>
      <c r="EJ21" s="21"/>
      <c r="EK21" s="22"/>
      <c r="EL21" s="21"/>
      <c r="EM21" s="22"/>
      <c r="EN21" s="23"/>
      <c r="EO21" s="23"/>
      <c r="EP21" s="23"/>
      <c r="EQ21" s="23"/>
      <c r="ER21" s="23"/>
      <c r="ES21" s="23"/>
      <c r="ET21" s="23"/>
      <c r="EU21" s="109"/>
      <c r="EV21" s="110"/>
      <c r="EW21" s="114"/>
      <c r="EX21" s="109"/>
      <c r="EY21" s="110"/>
      <c r="EZ21" s="117"/>
      <c r="FA21" s="23"/>
      <c r="FB21" s="23"/>
      <c r="FC21" s="34"/>
      <c r="FD21" s="35"/>
      <c r="FE21" s="21"/>
      <c r="FF21" s="22"/>
      <c r="FG21" s="21"/>
      <c r="FH21" s="22"/>
      <c r="FI21" s="21"/>
      <c r="FJ21" s="22"/>
      <c r="FK21" s="21"/>
      <c r="FL21" s="22"/>
      <c r="FM21" s="23"/>
      <c r="FN21" s="23"/>
      <c r="FO21" s="23"/>
      <c r="FP21" s="23"/>
      <c r="FQ21" s="23"/>
      <c r="FR21" s="23"/>
      <c r="FS21" s="23"/>
    </row>
    <row r="22" spans="1:175" ht="16.5" thickBot="1" x14ac:dyDescent="0.4">
      <c r="A22" s="111"/>
      <c r="B22" s="112"/>
      <c r="C22" s="115"/>
      <c r="D22" s="111"/>
      <c r="E22" s="112"/>
      <c r="F22" s="118"/>
      <c r="G22" s="23"/>
      <c r="H22" s="23"/>
      <c r="I22" s="30" t="s">
        <v>14</v>
      </c>
      <c r="J22" s="31"/>
      <c r="K22" s="17">
        <f>VLOOKUP(I22,METVALUE,2,FALSE)</f>
        <v>9.8000000000000007</v>
      </c>
      <c r="L22" s="18"/>
      <c r="M22" s="17">
        <v>1</v>
      </c>
      <c r="N22" s="18"/>
      <c r="O22" s="17">
        <f>D3*K22</f>
        <v>1736.0528616941397</v>
      </c>
      <c r="P22" s="18"/>
      <c r="Q22" s="17">
        <f>M22*O22</f>
        <v>1736.0528616941397</v>
      </c>
      <c r="R22" s="18"/>
      <c r="S22" s="23"/>
      <c r="T22" s="23"/>
      <c r="U22" s="23"/>
      <c r="V22" s="23"/>
      <c r="W22" s="23"/>
      <c r="X22" s="23"/>
      <c r="Y22" s="23"/>
      <c r="Z22" s="111"/>
      <c r="AA22" s="112"/>
      <c r="AB22" s="115"/>
      <c r="AC22" s="111"/>
      <c r="AD22" s="112"/>
      <c r="AE22" s="118"/>
      <c r="AF22" s="23"/>
      <c r="AG22" s="23"/>
      <c r="AH22" s="30" t="s">
        <v>14</v>
      </c>
      <c r="AI22" s="31"/>
      <c r="AJ22" s="17">
        <f>VLOOKUP(AH22,METVALUE,2,FALSE)</f>
        <v>9.8000000000000007</v>
      </c>
      <c r="AK22" s="18"/>
      <c r="AL22" s="17">
        <v>1</v>
      </c>
      <c r="AM22" s="18"/>
      <c r="AN22" s="17">
        <f>AC3*AJ22</f>
        <v>1736.0528616941397</v>
      </c>
      <c r="AO22" s="18"/>
      <c r="AP22" s="17">
        <f>AL22*AN22</f>
        <v>1736.0528616941397</v>
      </c>
      <c r="AQ22" s="18"/>
      <c r="AR22" s="23"/>
      <c r="AS22" s="23"/>
      <c r="AT22" s="23"/>
      <c r="AU22" s="23"/>
      <c r="AV22" s="23"/>
      <c r="AW22" s="23"/>
      <c r="AX22" s="23"/>
      <c r="AY22" s="111"/>
      <c r="AZ22" s="112"/>
      <c r="BA22" s="115"/>
      <c r="BB22" s="111"/>
      <c r="BC22" s="112"/>
      <c r="BD22" s="118"/>
      <c r="BE22" s="23"/>
      <c r="BF22" s="23"/>
      <c r="BG22" s="30" t="s">
        <v>14</v>
      </c>
      <c r="BH22" s="31"/>
      <c r="BI22" s="17">
        <f>VLOOKUP(BG22,METVALUE,2,FALSE)</f>
        <v>9.8000000000000007</v>
      </c>
      <c r="BJ22" s="18"/>
      <c r="BK22" s="17">
        <v>1.25</v>
      </c>
      <c r="BL22" s="18"/>
      <c r="BM22" s="17">
        <f>BB3*BI22</f>
        <v>1736.0528616941397</v>
      </c>
      <c r="BN22" s="18"/>
      <c r="BO22" s="17">
        <f>BK22*BM22</f>
        <v>2170.0660771176745</v>
      </c>
      <c r="BP22" s="18"/>
      <c r="BQ22" s="23"/>
      <c r="BR22" s="23"/>
      <c r="BS22" s="23"/>
      <c r="BT22" s="23"/>
      <c r="BU22" s="23"/>
      <c r="BV22" s="23"/>
      <c r="BW22" s="23"/>
      <c r="BX22" s="111"/>
      <c r="BY22" s="112"/>
      <c r="BZ22" s="115"/>
      <c r="CA22" s="111"/>
      <c r="CB22" s="112"/>
      <c r="CC22" s="118"/>
      <c r="CD22" s="23"/>
      <c r="CE22" s="23"/>
      <c r="CF22" s="30" t="s">
        <v>14</v>
      </c>
      <c r="CG22" s="31"/>
      <c r="CH22" s="17">
        <f>VLOOKUP(CF22,METVALUE,2,FALSE)</f>
        <v>9.8000000000000007</v>
      </c>
      <c r="CI22" s="18"/>
      <c r="CJ22" s="17">
        <v>1.25</v>
      </c>
      <c r="CK22" s="18"/>
      <c r="CL22" s="17">
        <f>CA3*CH22</f>
        <v>1736.0528616941397</v>
      </c>
      <c r="CM22" s="18"/>
      <c r="CN22" s="17">
        <f>CJ22*CL22</f>
        <v>2170.0660771176745</v>
      </c>
      <c r="CO22" s="18"/>
      <c r="CP22" s="23"/>
      <c r="CQ22" s="23"/>
      <c r="CR22" s="23"/>
      <c r="CS22" s="23"/>
      <c r="CT22" s="23"/>
      <c r="CU22" s="23"/>
      <c r="CV22" s="23"/>
      <c r="CW22" s="111"/>
      <c r="CX22" s="112"/>
      <c r="CY22" s="115"/>
      <c r="CZ22" s="111"/>
      <c r="DA22" s="112"/>
      <c r="DB22" s="118"/>
      <c r="DC22" s="23"/>
      <c r="DD22" s="23"/>
      <c r="DE22" s="30" t="s">
        <v>14</v>
      </c>
      <c r="DF22" s="31"/>
      <c r="DG22" s="17">
        <f>VLOOKUP(DE22,METVALUE,2,FALSE)</f>
        <v>9.8000000000000007</v>
      </c>
      <c r="DH22" s="18"/>
      <c r="DI22" s="17">
        <v>0.75</v>
      </c>
      <c r="DJ22" s="18"/>
      <c r="DK22" s="17">
        <f>CZ3*DG22</f>
        <v>1736.0528616941397</v>
      </c>
      <c r="DL22" s="18"/>
      <c r="DM22" s="17">
        <f>DI22*DK22</f>
        <v>1302.0396462706049</v>
      </c>
      <c r="DN22" s="18"/>
      <c r="DO22" s="23"/>
      <c r="DP22" s="23"/>
      <c r="DQ22" s="23"/>
      <c r="DR22" s="23"/>
      <c r="DS22" s="23"/>
      <c r="DT22" s="23"/>
      <c r="DU22" s="23"/>
      <c r="DV22" s="111"/>
      <c r="DW22" s="112"/>
      <c r="DX22" s="115"/>
      <c r="DY22" s="111"/>
      <c r="DZ22" s="112"/>
      <c r="EA22" s="118"/>
      <c r="EB22" s="23"/>
      <c r="EC22" s="23"/>
      <c r="ED22" s="30" t="s">
        <v>14</v>
      </c>
      <c r="EE22" s="31"/>
      <c r="EF22" s="17">
        <f>VLOOKUP(ED22,METVALUE,2,FALSE)</f>
        <v>9.8000000000000007</v>
      </c>
      <c r="EG22" s="18"/>
      <c r="EH22" s="17">
        <v>0.75</v>
      </c>
      <c r="EI22" s="18"/>
      <c r="EJ22" s="17">
        <f>DY3*EF22</f>
        <v>1736.0528616941397</v>
      </c>
      <c r="EK22" s="18"/>
      <c r="EL22" s="17">
        <f>EH22*EJ22</f>
        <v>1302.0396462706049</v>
      </c>
      <c r="EM22" s="18"/>
      <c r="EN22" s="23"/>
      <c r="EO22" s="23"/>
      <c r="EP22" s="23"/>
      <c r="EQ22" s="23"/>
      <c r="ER22" s="23"/>
      <c r="ES22" s="23"/>
      <c r="ET22" s="23"/>
      <c r="EU22" s="111"/>
      <c r="EV22" s="112"/>
      <c r="EW22" s="115"/>
      <c r="EX22" s="111"/>
      <c r="EY22" s="112"/>
      <c r="EZ22" s="118"/>
      <c r="FA22" s="23"/>
      <c r="FB22" s="23"/>
      <c r="FC22" s="30" t="s">
        <v>14</v>
      </c>
      <c r="FD22" s="31"/>
      <c r="FE22" s="17">
        <f>VLOOKUP(FC22,METVALUE,2,FALSE)</f>
        <v>9.8000000000000007</v>
      </c>
      <c r="FF22" s="18"/>
      <c r="FG22" s="17">
        <v>1</v>
      </c>
      <c r="FH22" s="18"/>
      <c r="FI22" s="17">
        <f>EX3*FE22</f>
        <v>1736.0528616941397</v>
      </c>
      <c r="FJ22" s="18"/>
      <c r="FK22" s="17">
        <f>FG22*FI22</f>
        <v>1736.0528616941397</v>
      </c>
      <c r="FL22" s="18"/>
      <c r="FM22" s="23"/>
      <c r="FN22" s="23"/>
      <c r="FO22" s="23"/>
      <c r="FP22" s="23"/>
      <c r="FQ22" s="23"/>
      <c r="FR22" s="23"/>
      <c r="FS22" s="23"/>
    </row>
    <row r="23" spans="1:175" ht="16" x14ac:dyDescent="0.35">
      <c r="A23" s="23"/>
      <c r="B23" s="23"/>
      <c r="C23" s="23"/>
      <c r="D23" s="23"/>
      <c r="E23" s="23"/>
      <c r="F23" s="23"/>
      <c r="G23" s="23"/>
      <c r="H23" s="23"/>
      <c r="I23" s="32"/>
      <c r="J23" s="33"/>
      <c r="K23" s="19"/>
      <c r="L23" s="20"/>
      <c r="M23" s="19"/>
      <c r="N23" s="20"/>
      <c r="O23" s="19"/>
      <c r="P23" s="20"/>
      <c r="Q23" s="19"/>
      <c r="R23" s="20"/>
      <c r="S23" s="23"/>
      <c r="T23" s="23"/>
      <c r="U23" s="23"/>
      <c r="V23" s="23"/>
      <c r="W23" s="23"/>
      <c r="X23" s="23"/>
      <c r="Y23" s="23"/>
      <c r="Z23" s="23"/>
      <c r="AA23" s="23"/>
      <c r="AB23" s="23"/>
      <c r="AC23" s="23"/>
      <c r="AD23" s="23"/>
      <c r="AE23" s="23"/>
      <c r="AF23" s="23"/>
      <c r="AG23" s="23"/>
      <c r="AH23" s="32"/>
      <c r="AI23" s="33"/>
      <c r="AJ23" s="19"/>
      <c r="AK23" s="20"/>
      <c r="AL23" s="19"/>
      <c r="AM23" s="20"/>
      <c r="AN23" s="19"/>
      <c r="AO23" s="20"/>
      <c r="AP23" s="19"/>
      <c r="AQ23" s="20"/>
      <c r="AR23" s="23"/>
      <c r="AS23" s="23"/>
      <c r="AT23" s="23"/>
      <c r="AU23" s="23"/>
      <c r="AV23" s="23"/>
      <c r="AW23" s="23"/>
      <c r="AX23" s="23"/>
      <c r="AY23" s="23"/>
      <c r="AZ23" s="23"/>
      <c r="BA23" s="23"/>
      <c r="BB23" s="23"/>
      <c r="BC23" s="23"/>
      <c r="BD23" s="23"/>
      <c r="BE23" s="23"/>
      <c r="BF23" s="23"/>
      <c r="BG23" s="32"/>
      <c r="BH23" s="33"/>
      <c r="BI23" s="19"/>
      <c r="BJ23" s="20"/>
      <c r="BK23" s="19"/>
      <c r="BL23" s="20"/>
      <c r="BM23" s="19"/>
      <c r="BN23" s="20"/>
      <c r="BO23" s="19"/>
      <c r="BP23" s="20"/>
      <c r="BQ23" s="23"/>
      <c r="BR23" s="23"/>
      <c r="BS23" s="23"/>
      <c r="BT23" s="23"/>
      <c r="BU23" s="23"/>
      <c r="BV23" s="23"/>
      <c r="BW23" s="23"/>
      <c r="BX23" s="23"/>
      <c r="BY23" s="23"/>
      <c r="BZ23" s="23"/>
      <c r="CA23" s="23"/>
      <c r="CB23" s="23"/>
      <c r="CC23" s="23"/>
      <c r="CD23" s="23"/>
      <c r="CE23" s="23"/>
      <c r="CF23" s="32"/>
      <c r="CG23" s="33"/>
      <c r="CH23" s="19"/>
      <c r="CI23" s="20"/>
      <c r="CJ23" s="19"/>
      <c r="CK23" s="20"/>
      <c r="CL23" s="19"/>
      <c r="CM23" s="20"/>
      <c r="CN23" s="19"/>
      <c r="CO23" s="20"/>
      <c r="CP23" s="23"/>
      <c r="CQ23" s="23"/>
      <c r="CR23" s="23"/>
      <c r="CS23" s="23"/>
      <c r="CT23" s="23"/>
      <c r="CU23" s="23"/>
      <c r="CV23" s="23"/>
      <c r="CW23" s="23"/>
      <c r="CX23" s="23"/>
      <c r="CY23" s="23"/>
      <c r="CZ23" s="23"/>
      <c r="DA23" s="23"/>
      <c r="DB23" s="23"/>
      <c r="DC23" s="23"/>
      <c r="DD23" s="23"/>
      <c r="DE23" s="32"/>
      <c r="DF23" s="33"/>
      <c r="DG23" s="19"/>
      <c r="DH23" s="20"/>
      <c r="DI23" s="19"/>
      <c r="DJ23" s="20"/>
      <c r="DK23" s="19"/>
      <c r="DL23" s="20"/>
      <c r="DM23" s="19"/>
      <c r="DN23" s="20"/>
      <c r="DO23" s="23"/>
      <c r="DP23" s="23"/>
      <c r="DQ23" s="23"/>
      <c r="DR23" s="23"/>
      <c r="DS23" s="23"/>
      <c r="DT23" s="23"/>
      <c r="DU23" s="23"/>
      <c r="DV23" s="23"/>
      <c r="DW23" s="23"/>
      <c r="DX23" s="23"/>
      <c r="DY23" s="23"/>
      <c r="DZ23" s="23"/>
      <c r="EA23" s="23"/>
      <c r="EB23" s="23"/>
      <c r="EC23" s="23"/>
      <c r="ED23" s="32"/>
      <c r="EE23" s="33"/>
      <c r="EF23" s="19"/>
      <c r="EG23" s="20"/>
      <c r="EH23" s="19"/>
      <c r="EI23" s="20"/>
      <c r="EJ23" s="19"/>
      <c r="EK23" s="20"/>
      <c r="EL23" s="19"/>
      <c r="EM23" s="20"/>
      <c r="EN23" s="23"/>
      <c r="EO23" s="23"/>
      <c r="EP23" s="23"/>
      <c r="EQ23" s="23"/>
      <c r="ER23" s="23"/>
      <c r="ES23" s="23"/>
      <c r="ET23" s="23"/>
      <c r="EU23" s="23"/>
      <c r="EV23" s="23"/>
      <c r="EW23" s="23"/>
      <c r="EX23" s="23"/>
      <c r="EY23" s="23"/>
      <c r="EZ23" s="23"/>
      <c r="FA23" s="23"/>
      <c r="FB23" s="23"/>
      <c r="FC23" s="32"/>
      <c r="FD23" s="33"/>
      <c r="FE23" s="19"/>
      <c r="FF23" s="20"/>
      <c r="FG23" s="19"/>
      <c r="FH23" s="20"/>
      <c r="FI23" s="19"/>
      <c r="FJ23" s="20"/>
      <c r="FK23" s="19"/>
      <c r="FL23" s="20"/>
      <c r="FM23" s="23"/>
      <c r="FN23" s="23"/>
      <c r="FO23" s="23"/>
      <c r="FP23" s="23"/>
      <c r="FQ23" s="23"/>
      <c r="FR23" s="23"/>
      <c r="FS23" s="23"/>
    </row>
    <row r="24" spans="1:175" ht="16.5" thickBot="1" x14ac:dyDescent="0.4">
      <c r="A24" s="23"/>
      <c r="B24" s="23"/>
      <c r="C24" s="23"/>
      <c r="D24" s="23"/>
      <c r="E24" s="23"/>
      <c r="F24" s="23"/>
      <c r="G24" s="23"/>
      <c r="H24" s="23"/>
      <c r="I24" s="34"/>
      <c r="J24" s="35"/>
      <c r="K24" s="21"/>
      <c r="L24" s="22"/>
      <c r="M24" s="21"/>
      <c r="N24" s="22"/>
      <c r="O24" s="21"/>
      <c r="P24" s="22"/>
      <c r="Q24" s="21"/>
      <c r="R24" s="22"/>
      <c r="S24" s="23"/>
      <c r="T24" s="23"/>
      <c r="U24" s="23"/>
      <c r="V24" s="23"/>
      <c r="W24" s="23"/>
      <c r="X24" s="23"/>
      <c r="Y24" s="23"/>
      <c r="Z24" s="23"/>
      <c r="AA24" s="23"/>
      <c r="AB24" s="23"/>
      <c r="AC24" s="23"/>
      <c r="AD24" s="23"/>
      <c r="AE24" s="23"/>
      <c r="AF24" s="23"/>
      <c r="AG24" s="23"/>
      <c r="AH24" s="34"/>
      <c r="AI24" s="35"/>
      <c r="AJ24" s="21"/>
      <c r="AK24" s="22"/>
      <c r="AL24" s="21"/>
      <c r="AM24" s="22"/>
      <c r="AN24" s="21"/>
      <c r="AO24" s="22"/>
      <c r="AP24" s="21"/>
      <c r="AQ24" s="22"/>
      <c r="AR24" s="23"/>
      <c r="AS24" s="23"/>
      <c r="AT24" s="23"/>
      <c r="AU24" s="23"/>
      <c r="AV24" s="23"/>
      <c r="AW24" s="23"/>
      <c r="AX24" s="23"/>
      <c r="AY24" s="23"/>
      <c r="AZ24" s="23"/>
      <c r="BA24" s="23"/>
      <c r="BB24" s="23"/>
      <c r="BC24" s="23"/>
      <c r="BD24" s="23"/>
      <c r="BE24" s="23"/>
      <c r="BF24" s="23"/>
      <c r="BG24" s="34"/>
      <c r="BH24" s="35"/>
      <c r="BI24" s="21"/>
      <c r="BJ24" s="22"/>
      <c r="BK24" s="21"/>
      <c r="BL24" s="22"/>
      <c r="BM24" s="21"/>
      <c r="BN24" s="22"/>
      <c r="BO24" s="21"/>
      <c r="BP24" s="22"/>
      <c r="BQ24" s="23"/>
      <c r="BR24" s="23"/>
      <c r="BS24" s="23"/>
      <c r="BT24" s="23"/>
      <c r="BU24" s="23"/>
      <c r="BV24" s="23"/>
      <c r="BW24" s="23"/>
      <c r="BX24" s="23"/>
      <c r="BY24" s="23"/>
      <c r="BZ24" s="23"/>
      <c r="CA24" s="23"/>
      <c r="CB24" s="23"/>
      <c r="CC24" s="23"/>
      <c r="CD24" s="23"/>
      <c r="CE24" s="23"/>
      <c r="CF24" s="34"/>
      <c r="CG24" s="35"/>
      <c r="CH24" s="21"/>
      <c r="CI24" s="22"/>
      <c r="CJ24" s="21"/>
      <c r="CK24" s="22"/>
      <c r="CL24" s="21"/>
      <c r="CM24" s="22"/>
      <c r="CN24" s="21"/>
      <c r="CO24" s="22"/>
      <c r="CP24" s="23"/>
      <c r="CQ24" s="23"/>
      <c r="CR24" s="23"/>
      <c r="CS24" s="23"/>
      <c r="CT24" s="23"/>
      <c r="CU24" s="23"/>
      <c r="CV24" s="23"/>
      <c r="CW24" s="23"/>
      <c r="CX24" s="23"/>
      <c r="CY24" s="23"/>
      <c r="CZ24" s="23"/>
      <c r="DA24" s="23"/>
      <c r="DB24" s="23"/>
      <c r="DC24" s="23"/>
      <c r="DD24" s="23"/>
      <c r="DE24" s="34"/>
      <c r="DF24" s="35"/>
      <c r="DG24" s="21"/>
      <c r="DH24" s="22"/>
      <c r="DI24" s="21"/>
      <c r="DJ24" s="22"/>
      <c r="DK24" s="21"/>
      <c r="DL24" s="22"/>
      <c r="DM24" s="21"/>
      <c r="DN24" s="22"/>
      <c r="DO24" s="23"/>
      <c r="DP24" s="23"/>
      <c r="DQ24" s="23"/>
      <c r="DR24" s="23"/>
      <c r="DS24" s="23"/>
      <c r="DT24" s="23"/>
      <c r="DU24" s="23"/>
      <c r="DV24" s="23"/>
      <c r="DW24" s="23"/>
      <c r="DX24" s="23"/>
      <c r="DY24" s="23"/>
      <c r="DZ24" s="23"/>
      <c r="EA24" s="23"/>
      <c r="EB24" s="23"/>
      <c r="EC24" s="23"/>
      <c r="ED24" s="34"/>
      <c r="EE24" s="35"/>
      <c r="EF24" s="21"/>
      <c r="EG24" s="22"/>
      <c r="EH24" s="21"/>
      <c r="EI24" s="22"/>
      <c r="EJ24" s="21"/>
      <c r="EK24" s="22"/>
      <c r="EL24" s="21"/>
      <c r="EM24" s="22"/>
      <c r="EN24" s="23"/>
      <c r="EO24" s="23"/>
      <c r="EP24" s="23"/>
      <c r="EQ24" s="23"/>
      <c r="ER24" s="23"/>
      <c r="ES24" s="23"/>
      <c r="ET24" s="23"/>
      <c r="EU24" s="23"/>
      <c r="EV24" s="23"/>
      <c r="EW24" s="23"/>
      <c r="EX24" s="23"/>
      <c r="EY24" s="23"/>
      <c r="EZ24" s="23"/>
      <c r="FA24" s="23"/>
      <c r="FB24" s="23"/>
      <c r="FC24" s="34"/>
      <c r="FD24" s="35"/>
      <c r="FE24" s="21"/>
      <c r="FF24" s="22"/>
      <c r="FG24" s="21"/>
      <c r="FH24" s="22"/>
      <c r="FI24" s="21"/>
      <c r="FJ24" s="22"/>
      <c r="FK24" s="21"/>
      <c r="FL24" s="22"/>
      <c r="FM24" s="23"/>
      <c r="FN24" s="23"/>
      <c r="FO24" s="23"/>
      <c r="FP24" s="23"/>
      <c r="FQ24" s="23"/>
      <c r="FR24" s="23"/>
      <c r="FS24" s="23"/>
    </row>
    <row r="25" spans="1:175" ht="16" x14ac:dyDescent="0.35">
      <c r="A25" s="23"/>
      <c r="B25" s="23"/>
      <c r="C25" s="23"/>
      <c r="D25" s="23"/>
      <c r="E25" s="23"/>
      <c r="F25" s="23"/>
      <c r="G25" s="23"/>
      <c r="H25" s="23"/>
      <c r="I25" s="30" t="s">
        <v>21</v>
      </c>
      <c r="J25" s="31"/>
      <c r="K25" s="17">
        <f>VLOOKUP(I25,METVALUE,2,FALSE)</f>
        <v>10</v>
      </c>
      <c r="L25" s="18"/>
      <c r="M25" s="17">
        <v>2</v>
      </c>
      <c r="N25" s="18"/>
      <c r="O25" s="17">
        <f>D3*K25</f>
        <v>1771.4825119327954</v>
      </c>
      <c r="P25" s="18"/>
      <c r="Q25" s="17">
        <f>M25*O25</f>
        <v>3542.9650238655909</v>
      </c>
      <c r="R25" s="18"/>
      <c r="S25" s="23"/>
      <c r="T25" s="23"/>
      <c r="U25" s="23"/>
      <c r="V25" s="23"/>
      <c r="W25" s="23"/>
      <c r="X25" s="23"/>
      <c r="Y25" s="23"/>
      <c r="Z25" s="23"/>
      <c r="AA25" s="23"/>
      <c r="AB25" s="23"/>
      <c r="AC25" s="23"/>
      <c r="AD25" s="23"/>
      <c r="AE25" s="23"/>
      <c r="AF25" s="23"/>
      <c r="AG25" s="23"/>
      <c r="AH25" s="30" t="s">
        <v>21</v>
      </c>
      <c r="AI25" s="31"/>
      <c r="AJ25" s="17">
        <f>VLOOKUP(AH25,METVALUE,2,FALSE)</f>
        <v>10</v>
      </c>
      <c r="AK25" s="18"/>
      <c r="AL25" s="17">
        <v>2</v>
      </c>
      <c r="AM25" s="18"/>
      <c r="AN25" s="17">
        <f>AC3*AJ25</f>
        <v>1771.4825119327954</v>
      </c>
      <c r="AO25" s="18"/>
      <c r="AP25" s="17">
        <f>AL25*AN25</f>
        <v>3542.9650238655909</v>
      </c>
      <c r="AQ25" s="18"/>
      <c r="AR25" s="23"/>
      <c r="AS25" s="23"/>
      <c r="AT25" s="23"/>
      <c r="AU25" s="23"/>
      <c r="AV25" s="23"/>
      <c r="AW25" s="23"/>
      <c r="AX25" s="23"/>
      <c r="AY25" s="23"/>
      <c r="AZ25" s="23"/>
      <c r="BA25" s="23"/>
      <c r="BB25" s="23"/>
      <c r="BC25" s="23"/>
      <c r="BD25" s="23"/>
      <c r="BE25" s="23"/>
      <c r="BF25" s="23"/>
      <c r="BG25" s="30" t="s">
        <v>21</v>
      </c>
      <c r="BH25" s="31"/>
      <c r="BI25" s="17">
        <f>VLOOKUP(BG25,METVALUE,2,FALSE)</f>
        <v>10</v>
      </c>
      <c r="BJ25" s="18"/>
      <c r="BK25" s="17">
        <v>0.75</v>
      </c>
      <c r="BL25" s="18"/>
      <c r="BM25" s="17">
        <f>BB3*BI25</f>
        <v>1771.4825119327954</v>
      </c>
      <c r="BN25" s="18"/>
      <c r="BO25" s="17">
        <f>BK25*BM25</f>
        <v>1328.6118839495966</v>
      </c>
      <c r="BP25" s="18"/>
      <c r="BQ25" s="23"/>
      <c r="BR25" s="23"/>
      <c r="BS25" s="23"/>
      <c r="BT25" s="23"/>
      <c r="BU25" s="23"/>
      <c r="BV25" s="23"/>
      <c r="BW25" s="23"/>
      <c r="BX25" s="23"/>
      <c r="BY25" s="23"/>
      <c r="BZ25" s="23"/>
      <c r="CA25" s="23"/>
      <c r="CB25" s="23"/>
      <c r="CC25" s="23"/>
      <c r="CD25" s="23"/>
      <c r="CE25" s="23"/>
      <c r="CF25" s="30" t="s">
        <v>21</v>
      </c>
      <c r="CG25" s="31"/>
      <c r="CH25" s="17">
        <f>VLOOKUP(CF25,METVALUE,2,FALSE)</f>
        <v>10</v>
      </c>
      <c r="CI25" s="18"/>
      <c r="CJ25" s="17">
        <v>0</v>
      </c>
      <c r="CK25" s="18"/>
      <c r="CL25" s="17">
        <f>CA3*CH25</f>
        <v>1771.4825119327954</v>
      </c>
      <c r="CM25" s="18"/>
      <c r="CN25" s="17">
        <f>CJ25*CL25</f>
        <v>0</v>
      </c>
      <c r="CO25" s="18"/>
      <c r="CP25" s="23"/>
      <c r="CQ25" s="23"/>
      <c r="CR25" s="23"/>
      <c r="CS25" s="23"/>
      <c r="CT25" s="23"/>
      <c r="CU25" s="23"/>
      <c r="CV25" s="23"/>
      <c r="CW25" s="23"/>
      <c r="CX25" s="23"/>
      <c r="CY25" s="23"/>
      <c r="CZ25" s="23"/>
      <c r="DA25" s="23"/>
      <c r="DB25" s="23"/>
      <c r="DC25" s="23"/>
      <c r="DD25" s="23"/>
      <c r="DE25" s="30" t="s">
        <v>21</v>
      </c>
      <c r="DF25" s="31"/>
      <c r="DG25" s="17">
        <f>VLOOKUP(DE25,METVALUE,2,FALSE)</f>
        <v>10</v>
      </c>
      <c r="DH25" s="18"/>
      <c r="DI25" s="17">
        <v>2</v>
      </c>
      <c r="DJ25" s="18"/>
      <c r="DK25" s="17">
        <f>CZ3*DG25</f>
        <v>1771.4825119327954</v>
      </c>
      <c r="DL25" s="18"/>
      <c r="DM25" s="17">
        <f>DI25*DK25</f>
        <v>3542.9650238655909</v>
      </c>
      <c r="DN25" s="18"/>
      <c r="DO25" s="23"/>
      <c r="DP25" s="23"/>
      <c r="DQ25" s="23"/>
      <c r="DR25" s="23"/>
      <c r="DS25" s="23"/>
      <c r="DT25" s="23"/>
      <c r="DU25" s="23"/>
      <c r="DV25" s="23"/>
      <c r="DW25" s="23"/>
      <c r="DX25" s="23"/>
      <c r="DY25" s="23"/>
      <c r="DZ25" s="23"/>
      <c r="EA25" s="23"/>
      <c r="EB25" s="23"/>
      <c r="EC25" s="23"/>
      <c r="ED25" s="30" t="s">
        <v>21</v>
      </c>
      <c r="EE25" s="31"/>
      <c r="EF25" s="17">
        <f>VLOOKUP(ED25,METVALUE,2,FALSE)</f>
        <v>10</v>
      </c>
      <c r="EG25" s="18"/>
      <c r="EH25" s="17">
        <v>0.75</v>
      </c>
      <c r="EI25" s="18"/>
      <c r="EJ25" s="17">
        <f>DY3*EF25</f>
        <v>1771.4825119327954</v>
      </c>
      <c r="EK25" s="18"/>
      <c r="EL25" s="17">
        <f>EH25*EJ25</f>
        <v>1328.6118839495966</v>
      </c>
      <c r="EM25" s="18"/>
      <c r="EN25" s="23"/>
      <c r="EO25" s="23"/>
      <c r="EP25" s="23"/>
      <c r="EQ25" s="23"/>
      <c r="ER25" s="23"/>
      <c r="ES25" s="23"/>
      <c r="ET25" s="23"/>
      <c r="EU25" s="23"/>
      <c r="EV25" s="23"/>
      <c r="EW25" s="23"/>
      <c r="EX25" s="23"/>
      <c r="EY25" s="23"/>
      <c r="EZ25" s="23"/>
      <c r="FA25" s="23"/>
      <c r="FB25" s="23"/>
      <c r="FC25" s="30" t="s">
        <v>21</v>
      </c>
      <c r="FD25" s="31"/>
      <c r="FE25" s="17">
        <f>VLOOKUP(FC25,METVALUE,2,FALSE)</f>
        <v>10</v>
      </c>
      <c r="FF25" s="18"/>
      <c r="FG25" s="17">
        <v>0</v>
      </c>
      <c r="FH25" s="18"/>
      <c r="FI25" s="17">
        <f>EX3*FE25</f>
        <v>1771.4825119327954</v>
      </c>
      <c r="FJ25" s="18"/>
      <c r="FK25" s="17">
        <f>FG25*FI25</f>
        <v>0</v>
      </c>
      <c r="FL25" s="18"/>
      <c r="FM25" s="23"/>
      <c r="FN25" s="23"/>
      <c r="FO25" s="23"/>
      <c r="FP25" s="23"/>
      <c r="FQ25" s="23"/>
      <c r="FR25" s="23"/>
      <c r="FS25" s="23"/>
    </row>
    <row r="26" spans="1:175" ht="16" x14ac:dyDescent="0.35">
      <c r="A26" s="23"/>
      <c r="B26" s="23"/>
      <c r="C26" s="23"/>
      <c r="D26" s="23"/>
      <c r="E26" s="23"/>
      <c r="F26" s="23"/>
      <c r="G26" s="23"/>
      <c r="H26" s="23"/>
      <c r="I26" s="32"/>
      <c r="J26" s="33"/>
      <c r="K26" s="19"/>
      <c r="L26" s="20"/>
      <c r="M26" s="19"/>
      <c r="N26" s="20"/>
      <c r="O26" s="19"/>
      <c r="P26" s="20"/>
      <c r="Q26" s="19"/>
      <c r="R26" s="20"/>
      <c r="S26" s="23"/>
      <c r="T26" s="23"/>
      <c r="U26" s="23"/>
      <c r="V26" s="23"/>
      <c r="W26" s="23"/>
      <c r="X26" s="23"/>
      <c r="Y26" s="23"/>
      <c r="Z26" s="23"/>
      <c r="AA26" s="23"/>
      <c r="AB26" s="23"/>
      <c r="AC26" s="23"/>
      <c r="AD26" s="23"/>
      <c r="AE26" s="23"/>
      <c r="AF26" s="23"/>
      <c r="AG26" s="23"/>
      <c r="AH26" s="32"/>
      <c r="AI26" s="33"/>
      <c r="AJ26" s="19"/>
      <c r="AK26" s="20"/>
      <c r="AL26" s="19"/>
      <c r="AM26" s="20"/>
      <c r="AN26" s="19"/>
      <c r="AO26" s="20"/>
      <c r="AP26" s="19"/>
      <c r="AQ26" s="20"/>
      <c r="AR26" s="23"/>
      <c r="AS26" s="23"/>
      <c r="AT26" s="23"/>
      <c r="AU26" s="23"/>
      <c r="AV26" s="23"/>
      <c r="AW26" s="23"/>
      <c r="AX26" s="23"/>
      <c r="AY26" s="23"/>
      <c r="AZ26" s="23"/>
      <c r="BA26" s="23"/>
      <c r="BB26" s="23"/>
      <c r="BC26" s="23"/>
      <c r="BD26" s="23"/>
      <c r="BE26" s="23"/>
      <c r="BF26" s="23"/>
      <c r="BG26" s="32"/>
      <c r="BH26" s="33"/>
      <c r="BI26" s="19"/>
      <c r="BJ26" s="20"/>
      <c r="BK26" s="19"/>
      <c r="BL26" s="20"/>
      <c r="BM26" s="19"/>
      <c r="BN26" s="20"/>
      <c r="BO26" s="19"/>
      <c r="BP26" s="20"/>
      <c r="BQ26" s="23"/>
      <c r="BR26" s="23"/>
      <c r="BS26" s="23"/>
      <c r="BT26" s="23"/>
      <c r="BU26" s="23"/>
      <c r="BV26" s="23"/>
      <c r="BW26" s="23"/>
      <c r="BX26" s="23"/>
      <c r="BY26" s="23"/>
      <c r="BZ26" s="23"/>
      <c r="CA26" s="23"/>
      <c r="CB26" s="23"/>
      <c r="CC26" s="23"/>
      <c r="CD26" s="23"/>
      <c r="CE26" s="23"/>
      <c r="CF26" s="32"/>
      <c r="CG26" s="33"/>
      <c r="CH26" s="19"/>
      <c r="CI26" s="20"/>
      <c r="CJ26" s="19"/>
      <c r="CK26" s="20"/>
      <c r="CL26" s="19"/>
      <c r="CM26" s="20"/>
      <c r="CN26" s="19"/>
      <c r="CO26" s="20"/>
      <c r="CP26" s="23"/>
      <c r="CQ26" s="23"/>
      <c r="CR26" s="23"/>
      <c r="CS26" s="23"/>
      <c r="CT26" s="23"/>
      <c r="CU26" s="23"/>
      <c r="CV26" s="23"/>
      <c r="CW26" s="23"/>
      <c r="CX26" s="23"/>
      <c r="CY26" s="23"/>
      <c r="CZ26" s="23"/>
      <c r="DA26" s="23"/>
      <c r="DB26" s="23"/>
      <c r="DC26" s="23"/>
      <c r="DD26" s="23"/>
      <c r="DE26" s="32"/>
      <c r="DF26" s="33"/>
      <c r="DG26" s="19"/>
      <c r="DH26" s="20"/>
      <c r="DI26" s="19"/>
      <c r="DJ26" s="20"/>
      <c r="DK26" s="19"/>
      <c r="DL26" s="20"/>
      <c r="DM26" s="19"/>
      <c r="DN26" s="20"/>
      <c r="DO26" s="23"/>
      <c r="DP26" s="23"/>
      <c r="DQ26" s="23"/>
      <c r="DR26" s="23"/>
      <c r="DS26" s="23"/>
      <c r="DT26" s="23"/>
      <c r="DU26" s="23"/>
      <c r="DV26" s="23"/>
      <c r="DW26" s="23"/>
      <c r="DX26" s="23"/>
      <c r="DY26" s="23"/>
      <c r="DZ26" s="23"/>
      <c r="EA26" s="23"/>
      <c r="EB26" s="23"/>
      <c r="EC26" s="23"/>
      <c r="ED26" s="32"/>
      <c r="EE26" s="33"/>
      <c r="EF26" s="19"/>
      <c r="EG26" s="20"/>
      <c r="EH26" s="19"/>
      <c r="EI26" s="20"/>
      <c r="EJ26" s="19"/>
      <c r="EK26" s="20"/>
      <c r="EL26" s="19"/>
      <c r="EM26" s="20"/>
      <c r="EN26" s="23"/>
      <c r="EO26" s="23"/>
      <c r="EP26" s="23"/>
      <c r="EQ26" s="23"/>
      <c r="ER26" s="23"/>
      <c r="ES26" s="23"/>
      <c r="ET26" s="23"/>
      <c r="EU26" s="23"/>
      <c r="EV26" s="23"/>
      <c r="EW26" s="23"/>
      <c r="EX26" s="23"/>
      <c r="EY26" s="23"/>
      <c r="EZ26" s="23"/>
      <c r="FA26" s="23"/>
      <c r="FB26" s="23"/>
      <c r="FC26" s="32"/>
      <c r="FD26" s="33"/>
      <c r="FE26" s="19"/>
      <c r="FF26" s="20"/>
      <c r="FG26" s="19"/>
      <c r="FH26" s="20"/>
      <c r="FI26" s="19"/>
      <c r="FJ26" s="20"/>
      <c r="FK26" s="19"/>
      <c r="FL26" s="20"/>
      <c r="FM26" s="23"/>
      <c r="FN26" s="23"/>
      <c r="FO26" s="23"/>
      <c r="FP26" s="23"/>
      <c r="FQ26" s="23"/>
      <c r="FR26" s="23"/>
      <c r="FS26" s="23"/>
    </row>
    <row r="27" spans="1:175" ht="16.5" thickBot="1" x14ac:dyDescent="0.4">
      <c r="A27" s="23"/>
      <c r="B27" s="23"/>
      <c r="C27" s="23"/>
      <c r="D27" s="23"/>
      <c r="E27" s="23"/>
      <c r="F27" s="23"/>
      <c r="G27" s="23"/>
      <c r="H27" s="23"/>
      <c r="I27" s="34"/>
      <c r="J27" s="35"/>
      <c r="K27" s="21"/>
      <c r="L27" s="22"/>
      <c r="M27" s="21"/>
      <c r="N27" s="22"/>
      <c r="O27" s="21"/>
      <c r="P27" s="22"/>
      <c r="Q27" s="21"/>
      <c r="R27" s="22"/>
      <c r="S27" s="23"/>
      <c r="T27" s="23"/>
      <c r="U27" s="23"/>
      <c r="V27" s="23"/>
      <c r="W27" s="23"/>
      <c r="X27" s="23"/>
      <c r="Y27" s="23"/>
      <c r="Z27" s="23"/>
      <c r="AA27" s="23"/>
      <c r="AB27" s="23"/>
      <c r="AC27" s="23"/>
      <c r="AD27" s="23"/>
      <c r="AE27" s="23"/>
      <c r="AF27" s="23"/>
      <c r="AG27" s="23"/>
      <c r="AH27" s="34"/>
      <c r="AI27" s="35"/>
      <c r="AJ27" s="21"/>
      <c r="AK27" s="22"/>
      <c r="AL27" s="21"/>
      <c r="AM27" s="22"/>
      <c r="AN27" s="21"/>
      <c r="AO27" s="22"/>
      <c r="AP27" s="21"/>
      <c r="AQ27" s="22"/>
      <c r="AR27" s="23"/>
      <c r="AS27" s="23"/>
      <c r="AT27" s="23"/>
      <c r="AU27" s="23"/>
      <c r="AV27" s="23"/>
      <c r="AW27" s="23"/>
      <c r="AX27" s="23"/>
      <c r="AY27" s="23"/>
      <c r="AZ27" s="23"/>
      <c r="BA27" s="23"/>
      <c r="BB27" s="23"/>
      <c r="BC27" s="23"/>
      <c r="BD27" s="23"/>
      <c r="BE27" s="23"/>
      <c r="BF27" s="23"/>
      <c r="BG27" s="34"/>
      <c r="BH27" s="35"/>
      <c r="BI27" s="21"/>
      <c r="BJ27" s="22"/>
      <c r="BK27" s="21"/>
      <c r="BL27" s="22"/>
      <c r="BM27" s="21"/>
      <c r="BN27" s="22"/>
      <c r="BO27" s="21"/>
      <c r="BP27" s="22"/>
      <c r="BQ27" s="23"/>
      <c r="BR27" s="23"/>
      <c r="BS27" s="23"/>
      <c r="BT27" s="23"/>
      <c r="BU27" s="23"/>
      <c r="BV27" s="23"/>
      <c r="BW27" s="23"/>
      <c r="BX27" s="23"/>
      <c r="BY27" s="23"/>
      <c r="BZ27" s="23"/>
      <c r="CA27" s="23"/>
      <c r="CB27" s="23"/>
      <c r="CC27" s="23"/>
      <c r="CD27" s="23"/>
      <c r="CE27" s="23"/>
      <c r="CF27" s="34"/>
      <c r="CG27" s="35"/>
      <c r="CH27" s="21"/>
      <c r="CI27" s="22"/>
      <c r="CJ27" s="21"/>
      <c r="CK27" s="22"/>
      <c r="CL27" s="21"/>
      <c r="CM27" s="22"/>
      <c r="CN27" s="21"/>
      <c r="CO27" s="22"/>
      <c r="CP27" s="23"/>
      <c r="CQ27" s="23"/>
      <c r="CR27" s="23"/>
      <c r="CS27" s="23"/>
      <c r="CT27" s="23"/>
      <c r="CU27" s="23"/>
      <c r="CV27" s="23"/>
      <c r="CW27" s="23"/>
      <c r="CX27" s="23"/>
      <c r="CY27" s="23"/>
      <c r="CZ27" s="23"/>
      <c r="DA27" s="23"/>
      <c r="DB27" s="23"/>
      <c r="DC27" s="23"/>
      <c r="DD27" s="23"/>
      <c r="DE27" s="34"/>
      <c r="DF27" s="35"/>
      <c r="DG27" s="21"/>
      <c r="DH27" s="22"/>
      <c r="DI27" s="21"/>
      <c r="DJ27" s="22"/>
      <c r="DK27" s="21"/>
      <c r="DL27" s="22"/>
      <c r="DM27" s="21"/>
      <c r="DN27" s="22"/>
      <c r="DO27" s="23"/>
      <c r="DP27" s="23"/>
      <c r="DQ27" s="23"/>
      <c r="DR27" s="23"/>
      <c r="DS27" s="23"/>
      <c r="DT27" s="23"/>
      <c r="DU27" s="23"/>
      <c r="DV27" s="23"/>
      <c r="DW27" s="23"/>
      <c r="DX27" s="23"/>
      <c r="DY27" s="23"/>
      <c r="DZ27" s="23"/>
      <c r="EA27" s="23"/>
      <c r="EB27" s="23"/>
      <c r="EC27" s="23"/>
      <c r="ED27" s="34"/>
      <c r="EE27" s="35"/>
      <c r="EF27" s="21"/>
      <c r="EG27" s="22"/>
      <c r="EH27" s="21"/>
      <c r="EI27" s="22"/>
      <c r="EJ27" s="21"/>
      <c r="EK27" s="22"/>
      <c r="EL27" s="21"/>
      <c r="EM27" s="22"/>
      <c r="EN27" s="23"/>
      <c r="EO27" s="23"/>
      <c r="EP27" s="23"/>
      <c r="EQ27" s="23"/>
      <c r="ER27" s="23"/>
      <c r="ES27" s="23"/>
      <c r="ET27" s="23"/>
      <c r="EU27" s="23"/>
      <c r="EV27" s="23"/>
      <c r="EW27" s="23"/>
      <c r="EX27" s="23"/>
      <c r="EY27" s="23"/>
      <c r="EZ27" s="23"/>
      <c r="FA27" s="23"/>
      <c r="FB27" s="23"/>
      <c r="FC27" s="34"/>
      <c r="FD27" s="35"/>
      <c r="FE27" s="21"/>
      <c r="FF27" s="22"/>
      <c r="FG27" s="21"/>
      <c r="FH27" s="22"/>
      <c r="FI27" s="21"/>
      <c r="FJ27" s="22"/>
      <c r="FK27" s="21"/>
      <c r="FL27" s="22"/>
      <c r="FM27" s="23"/>
      <c r="FN27" s="23"/>
      <c r="FO27" s="23"/>
      <c r="FP27" s="23"/>
      <c r="FQ27" s="23"/>
      <c r="FR27" s="23"/>
      <c r="FS27" s="23"/>
    </row>
    <row r="28" spans="1:175" ht="16" x14ac:dyDescent="0.35">
      <c r="A28" s="23"/>
      <c r="B28" s="23"/>
      <c r="C28" s="23"/>
      <c r="D28" s="23"/>
      <c r="E28" s="23"/>
      <c r="F28" s="23"/>
      <c r="G28" s="23"/>
      <c r="H28" s="23"/>
      <c r="I28" s="30" t="s">
        <v>60</v>
      </c>
      <c r="J28" s="31"/>
      <c r="K28" s="17">
        <f>VLOOKUP(I25,METVALUE,2,FALSE)</f>
        <v>10</v>
      </c>
      <c r="L28" s="18"/>
      <c r="M28" s="17">
        <v>1</v>
      </c>
      <c r="N28" s="18"/>
      <c r="O28" s="17">
        <f>D3*K28</f>
        <v>1771.4825119327954</v>
      </c>
      <c r="P28" s="18"/>
      <c r="Q28" s="17">
        <f>M28*O28</f>
        <v>1771.4825119327954</v>
      </c>
      <c r="R28" s="18"/>
      <c r="S28" s="23"/>
      <c r="T28" s="23"/>
      <c r="U28" s="23"/>
      <c r="V28" s="23"/>
      <c r="W28" s="23"/>
      <c r="X28" s="23"/>
      <c r="Y28" s="23"/>
      <c r="Z28" s="23"/>
      <c r="AA28" s="23"/>
      <c r="AB28" s="23"/>
      <c r="AC28" s="23"/>
      <c r="AD28" s="23"/>
      <c r="AE28" s="23"/>
      <c r="AF28" s="23"/>
      <c r="AG28" s="23"/>
      <c r="AH28" s="30" t="s">
        <v>60</v>
      </c>
      <c r="AI28" s="31"/>
      <c r="AJ28" s="17">
        <f>VLOOKUP(AH25,METVALUE,2,FALSE)</f>
        <v>10</v>
      </c>
      <c r="AK28" s="18"/>
      <c r="AL28" s="17">
        <v>1</v>
      </c>
      <c r="AM28" s="18"/>
      <c r="AN28" s="17">
        <f>AC3*AJ28</f>
        <v>1771.4825119327954</v>
      </c>
      <c r="AO28" s="18"/>
      <c r="AP28" s="17">
        <f>AL28*AN28</f>
        <v>1771.4825119327954</v>
      </c>
      <c r="AQ28" s="18"/>
      <c r="AR28" s="23"/>
      <c r="AS28" s="23"/>
      <c r="AT28" s="23"/>
      <c r="AU28" s="23"/>
      <c r="AV28" s="23"/>
      <c r="AW28" s="23"/>
      <c r="AX28" s="23"/>
      <c r="AY28" s="23"/>
      <c r="AZ28" s="23"/>
      <c r="BA28" s="23"/>
      <c r="BB28" s="23"/>
      <c r="BC28" s="23"/>
      <c r="BD28" s="23"/>
      <c r="BE28" s="23"/>
      <c r="BF28" s="23"/>
      <c r="BG28" s="30" t="s">
        <v>60</v>
      </c>
      <c r="BH28" s="31"/>
      <c r="BI28" s="17">
        <f>VLOOKUP(BG25,METVALUE,2,FALSE)</f>
        <v>10</v>
      </c>
      <c r="BJ28" s="18"/>
      <c r="BK28" s="17">
        <v>1.25</v>
      </c>
      <c r="BL28" s="18"/>
      <c r="BM28" s="17">
        <f>BB3*BI28</f>
        <v>1771.4825119327954</v>
      </c>
      <c r="BN28" s="18"/>
      <c r="BO28" s="17">
        <f>BK28*BM28</f>
        <v>2214.3531399159942</v>
      </c>
      <c r="BP28" s="18"/>
      <c r="BQ28" s="23"/>
      <c r="BR28" s="23"/>
      <c r="BS28" s="23"/>
      <c r="BT28" s="23"/>
      <c r="BU28" s="23"/>
      <c r="BV28" s="23"/>
      <c r="BW28" s="23"/>
      <c r="BX28" s="23"/>
      <c r="BY28" s="23"/>
      <c r="BZ28" s="23"/>
      <c r="CA28" s="23"/>
      <c r="CB28" s="23"/>
      <c r="CC28" s="23"/>
      <c r="CD28" s="23"/>
      <c r="CE28" s="23"/>
      <c r="CF28" s="30" t="s">
        <v>60</v>
      </c>
      <c r="CG28" s="31"/>
      <c r="CH28" s="17">
        <f>VLOOKUP(CF25,METVALUE,2,FALSE)</f>
        <v>10</v>
      </c>
      <c r="CI28" s="18"/>
      <c r="CJ28" s="17">
        <v>2</v>
      </c>
      <c r="CK28" s="18"/>
      <c r="CL28" s="17">
        <f>CA3*CH28</f>
        <v>1771.4825119327954</v>
      </c>
      <c r="CM28" s="18"/>
      <c r="CN28" s="17">
        <f>CJ28*CL28</f>
        <v>3542.9650238655909</v>
      </c>
      <c r="CO28" s="18"/>
      <c r="CP28" s="23"/>
      <c r="CQ28" s="23"/>
      <c r="CR28" s="23"/>
      <c r="CS28" s="23"/>
      <c r="CT28" s="23"/>
      <c r="CU28" s="23"/>
      <c r="CV28" s="23"/>
      <c r="CW28" s="23"/>
      <c r="CX28" s="23"/>
      <c r="CY28" s="23"/>
      <c r="CZ28" s="23"/>
      <c r="DA28" s="23"/>
      <c r="DB28" s="23"/>
      <c r="DC28" s="23"/>
      <c r="DD28" s="23"/>
      <c r="DE28" s="30" t="s">
        <v>60</v>
      </c>
      <c r="DF28" s="31"/>
      <c r="DG28" s="17">
        <f>VLOOKUP(DE25,METVALUE,2,FALSE)</f>
        <v>10</v>
      </c>
      <c r="DH28" s="18"/>
      <c r="DI28" s="17">
        <v>0</v>
      </c>
      <c r="DJ28" s="18"/>
      <c r="DK28" s="17">
        <f>CZ3*DG28</f>
        <v>1771.4825119327954</v>
      </c>
      <c r="DL28" s="18"/>
      <c r="DM28" s="17">
        <f>DI28*DK28</f>
        <v>0</v>
      </c>
      <c r="DN28" s="18"/>
      <c r="DO28" s="23"/>
      <c r="DP28" s="23"/>
      <c r="DQ28" s="23"/>
      <c r="DR28" s="23"/>
      <c r="DS28" s="23"/>
      <c r="DT28" s="23"/>
      <c r="DU28" s="23"/>
      <c r="DV28" s="23"/>
      <c r="DW28" s="23"/>
      <c r="DX28" s="23"/>
      <c r="DY28" s="23"/>
      <c r="DZ28" s="23"/>
      <c r="EA28" s="23"/>
      <c r="EB28" s="23"/>
      <c r="EC28" s="23"/>
      <c r="ED28" s="30" t="s">
        <v>60</v>
      </c>
      <c r="EE28" s="31"/>
      <c r="EF28" s="17">
        <f>VLOOKUP(ED25,METVALUE,2,FALSE)</f>
        <v>10</v>
      </c>
      <c r="EG28" s="18"/>
      <c r="EH28" s="17">
        <v>0</v>
      </c>
      <c r="EI28" s="18"/>
      <c r="EJ28" s="17">
        <f>DY3*EF28</f>
        <v>1771.4825119327954</v>
      </c>
      <c r="EK28" s="18"/>
      <c r="EL28" s="17">
        <f>EH28*EJ28</f>
        <v>0</v>
      </c>
      <c r="EM28" s="18"/>
      <c r="EN28" s="23"/>
      <c r="EO28" s="23"/>
      <c r="EP28" s="23"/>
      <c r="EQ28" s="23"/>
      <c r="ER28" s="23"/>
      <c r="ES28" s="23"/>
      <c r="ET28" s="23"/>
      <c r="EU28" s="23"/>
      <c r="EV28" s="23"/>
      <c r="EW28" s="23"/>
      <c r="EX28" s="23"/>
      <c r="EY28" s="23"/>
      <c r="EZ28" s="23"/>
      <c r="FA28" s="23"/>
      <c r="FB28" s="23"/>
      <c r="FC28" s="30" t="s">
        <v>60</v>
      </c>
      <c r="FD28" s="31"/>
      <c r="FE28" s="17">
        <f>VLOOKUP(FC25,METVALUE,2,FALSE)</f>
        <v>10</v>
      </c>
      <c r="FF28" s="18"/>
      <c r="FG28" s="17">
        <v>1.25</v>
      </c>
      <c r="FH28" s="18"/>
      <c r="FI28" s="17">
        <f>EX3*FE28</f>
        <v>1771.4825119327954</v>
      </c>
      <c r="FJ28" s="18"/>
      <c r="FK28" s="17">
        <f>FG28*FI28</f>
        <v>2214.3531399159942</v>
      </c>
      <c r="FL28" s="18"/>
      <c r="FM28" s="23"/>
      <c r="FN28" s="23"/>
      <c r="FO28" s="23"/>
      <c r="FP28" s="23"/>
      <c r="FQ28" s="23"/>
      <c r="FR28" s="23"/>
      <c r="FS28" s="23"/>
    </row>
    <row r="29" spans="1:175" ht="16" x14ac:dyDescent="0.35">
      <c r="A29" s="23"/>
      <c r="B29" s="23"/>
      <c r="C29" s="23"/>
      <c r="D29" s="23"/>
      <c r="E29" s="23"/>
      <c r="F29" s="23"/>
      <c r="G29" s="23"/>
      <c r="H29" s="23"/>
      <c r="I29" s="32"/>
      <c r="J29" s="33"/>
      <c r="K29" s="19"/>
      <c r="L29" s="20"/>
      <c r="M29" s="19"/>
      <c r="N29" s="20"/>
      <c r="O29" s="19"/>
      <c r="P29" s="20"/>
      <c r="Q29" s="19"/>
      <c r="R29" s="20"/>
      <c r="S29" s="23"/>
      <c r="T29" s="23"/>
      <c r="U29" s="23"/>
      <c r="V29" s="23"/>
      <c r="W29" s="23"/>
      <c r="X29" s="23"/>
      <c r="Y29" s="23"/>
      <c r="Z29" s="23"/>
      <c r="AA29" s="23"/>
      <c r="AB29" s="23"/>
      <c r="AC29" s="23"/>
      <c r="AD29" s="23"/>
      <c r="AE29" s="23"/>
      <c r="AF29" s="23"/>
      <c r="AG29" s="23"/>
      <c r="AH29" s="32"/>
      <c r="AI29" s="33"/>
      <c r="AJ29" s="19"/>
      <c r="AK29" s="20"/>
      <c r="AL29" s="19"/>
      <c r="AM29" s="20"/>
      <c r="AN29" s="19"/>
      <c r="AO29" s="20"/>
      <c r="AP29" s="19"/>
      <c r="AQ29" s="20"/>
      <c r="AR29" s="23"/>
      <c r="AS29" s="23"/>
      <c r="AT29" s="23"/>
      <c r="AU29" s="23"/>
      <c r="AV29" s="23"/>
      <c r="AW29" s="23"/>
      <c r="AX29" s="23"/>
      <c r="AY29" s="23"/>
      <c r="AZ29" s="23"/>
      <c r="BA29" s="23"/>
      <c r="BB29" s="23"/>
      <c r="BC29" s="23"/>
      <c r="BD29" s="23"/>
      <c r="BE29" s="23"/>
      <c r="BF29" s="23"/>
      <c r="BG29" s="32"/>
      <c r="BH29" s="33"/>
      <c r="BI29" s="19"/>
      <c r="BJ29" s="20"/>
      <c r="BK29" s="19"/>
      <c r="BL29" s="20"/>
      <c r="BM29" s="19"/>
      <c r="BN29" s="20"/>
      <c r="BO29" s="19"/>
      <c r="BP29" s="20"/>
      <c r="BQ29" s="23"/>
      <c r="BR29" s="23"/>
      <c r="BS29" s="23"/>
      <c r="BT29" s="23"/>
      <c r="BU29" s="23"/>
      <c r="BV29" s="23"/>
      <c r="BW29" s="23"/>
      <c r="BX29" s="23"/>
      <c r="BY29" s="23"/>
      <c r="BZ29" s="23"/>
      <c r="CA29" s="23"/>
      <c r="CB29" s="23"/>
      <c r="CC29" s="23"/>
      <c r="CD29" s="23"/>
      <c r="CE29" s="23"/>
      <c r="CF29" s="32"/>
      <c r="CG29" s="33"/>
      <c r="CH29" s="19"/>
      <c r="CI29" s="20"/>
      <c r="CJ29" s="19"/>
      <c r="CK29" s="20"/>
      <c r="CL29" s="19"/>
      <c r="CM29" s="20"/>
      <c r="CN29" s="19"/>
      <c r="CO29" s="20"/>
      <c r="CP29" s="23"/>
      <c r="CQ29" s="23"/>
      <c r="CR29" s="23"/>
      <c r="CS29" s="23"/>
      <c r="CT29" s="23"/>
      <c r="CU29" s="23"/>
      <c r="CV29" s="23"/>
      <c r="CW29" s="23"/>
      <c r="CX29" s="23"/>
      <c r="CY29" s="23"/>
      <c r="CZ29" s="23"/>
      <c r="DA29" s="23"/>
      <c r="DB29" s="23"/>
      <c r="DC29" s="23"/>
      <c r="DD29" s="23"/>
      <c r="DE29" s="32"/>
      <c r="DF29" s="33"/>
      <c r="DG29" s="19"/>
      <c r="DH29" s="20"/>
      <c r="DI29" s="19"/>
      <c r="DJ29" s="20"/>
      <c r="DK29" s="19"/>
      <c r="DL29" s="20"/>
      <c r="DM29" s="19"/>
      <c r="DN29" s="20"/>
      <c r="DO29" s="23"/>
      <c r="DP29" s="23"/>
      <c r="DQ29" s="23"/>
      <c r="DR29" s="23"/>
      <c r="DS29" s="23"/>
      <c r="DT29" s="23"/>
      <c r="DU29" s="23"/>
      <c r="DV29" s="23"/>
      <c r="DW29" s="23"/>
      <c r="DX29" s="23"/>
      <c r="DY29" s="23"/>
      <c r="DZ29" s="23"/>
      <c r="EA29" s="23"/>
      <c r="EB29" s="23"/>
      <c r="EC29" s="23"/>
      <c r="ED29" s="32"/>
      <c r="EE29" s="33"/>
      <c r="EF29" s="19"/>
      <c r="EG29" s="20"/>
      <c r="EH29" s="19"/>
      <c r="EI29" s="20"/>
      <c r="EJ29" s="19"/>
      <c r="EK29" s="20"/>
      <c r="EL29" s="19"/>
      <c r="EM29" s="20"/>
      <c r="EN29" s="23"/>
      <c r="EO29" s="23"/>
      <c r="EP29" s="23"/>
      <c r="EQ29" s="23"/>
      <c r="ER29" s="23"/>
      <c r="ES29" s="23"/>
      <c r="ET29" s="23"/>
      <c r="EU29" s="23"/>
      <c r="EV29" s="23"/>
      <c r="EW29" s="23"/>
      <c r="EX29" s="23"/>
      <c r="EY29" s="23"/>
      <c r="EZ29" s="23"/>
      <c r="FA29" s="23"/>
      <c r="FB29" s="23"/>
      <c r="FC29" s="32"/>
      <c r="FD29" s="33"/>
      <c r="FE29" s="19"/>
      <c r="FF29" s="20"/>
      <c r="FG29" s="19"/>
      <c r="FH29" s="20"/>
      <c r="FI29" s="19"/>
      <c r="FJ29" s="20"/>
      <c r="FK29" s="19"/>
      <c r="FL29" s="20"/>
      <c r="FM29" s="23"/>
      <c r="FN29" s="23"/>
      <c r="FO29" s="23"/>
      <c r="FP29" s="23"/>
      <c r="FQ29" s="23"/>
      <c r="FR29" s="23"/>
      <c r="FS29" s="23"/>
    </row>
    <row r="30" spans="1:175" ht="16.5" thickBot="1" x14ac:dyDescent="0.4">
      <c r="A30" s="23"/>
      <c r="B30" s="23"/>
      <c r="C30" s="23"/>
      <c r="D30" s="23"/>
      <c r="E30" s="23"/>
      <c r="F30" s="23"/>
      <c r="G30" s="23"/>
      <c r="H30" s="23"/>
      <c r="I30" s="34"/>
      <c r="J30" s="35"/>
      <c r="K30" s="21"/>
      <c r="L30" s="22"/>
      <c r="M30" s="21"/>
      <c r="N30" s="22"/>
      <c r="O30" s="21"/>
      <c r="P30" s="22"/>
      <c r="Q30" s="21"/>
      <c r="R30" s="22"/>
      <c r="S30" s="23"/>
      <c r="T30" s="23"/>
      <c r="U30" s="23"/>
      <c r="V30" s="23"/>
      <c r="W30" s="23"/>
      <c r="X30" s="23"/>
      <c r="Y30" s="23"/>
      <c r="Z30" s="23"/>
      <c r="AA30" s="23"/>
      <c r="AB30" s="23"/>
      <c r="AC30" s="23"/>
      <c r="AD30" s="23"/>
      <c r="AE30" s="23"/>
      <c r="AF30" s="23"/>
      <c r="AG30" s="23"/>
      <c r="AH30" s="34"/>
      <c r="AI30" s="35"/>
      <c r="AJ30" s="21"/>
      <c r="AK30" s="22"/>
      <c r="AL30" s="21"/>
      <c r="AM30" s="22"/>
      <c r="AN30" s="21"/>
      <c r="AO30" s="22"/>
      <c r="AP30" s="21"/>
      <c r="AQ30" s="22"/>
      <c r="AR30" s="23"/>
      <c r="AS30" s="23"/>
      <c r="AT30" s="23"/>
      <c r="AU30" s="23"/>
      <c r="AV30" s="23"/>
      <c r="AW30" s="23"/>
      <c r="AX30" s="23"/>
      <c r="AY30" s="23"/>
      <c r="AZ30" s="23"/>
      <c r="BA30" s="23"/>
      <c r="BB30" s="23"/>
      <c r="BC30" s="23"/>
      <c r="BD30" s="23"/>
      <c r="BE30" s="23"/>
      <c r="BF30" s="23"/>
      <c r="BG30" s="34"/>
      <c r="BH30" s="35"/>
      <c r="BI30" s="21"/>
      <c r="BJ30" s="22"/>
      <c r="BK30" s="21"/>
      <c r="BL30" s="22"/>
      <c r="BM30" s="21"/>
      <c r="BN30" s="22"/>
      <c r="BO30" s="21"/>
      <c r="BP30" s="22"/>
      <c r="BQ30" s="23"/>
      <c r="BR30" s="23"/>
      <c r="BS30" s="23"/>
      <c r="BT30" s="23"/>
      <c r="BU30" s="23"/>
      <c r="BV30" s="23"/>
      <c r="BW30" s="23"/>
      <c r="BX30" s="23"/>
      <c r="BY30" s="23"/>
      <c r="BZ30" s="23"/>
      <c r="CA30" s="23"/>
      <c r="CB30" s="23"/>
      <c r="CC30" s="23"/>
      <c r="CD30" s="23"/>
      <c r="CE30" s="23"/>
      <c r="CF30" s="34"/>
      <c r="CG30" s="35"/>
      <c r="CH30" s="21"/>
      <c r="CI30" s="22"/>
      <c r="CJ30" s="21"/>
      <c r="CK30" s="22"/>
      <c r="CL30" s="21"/>
      <c r="CM30" s="22"/>
      <c r="CN30" s="21"/>
      <c r="CO30" s="22"/>
      <c r="CP30" s="23"/>
      <c r="CQ30" s="23"/>
      <c r="CR30" s="23"/>
      <c r="CS30" s="23"/>
      <c r="CT30" s="23"/>
      <c r="CU30" s="23"/>
      <c r="CV30" s="23"/>
      <c r="CW30" s="23"/>
      <c r="CX30" s="23"/>
      <c r="CY30" s="23"/>
      <c r="CZ30" s="23"/>
      <c r="DA30" s="23"/>
      <c r="DB30" s="23"/>
      <c r="DC30" s="23"/>
      <c r="DD30" s="23"/>
      <c r="DE30" s="34"/>
      <c r="DF30" s="35"/>
      <c r="DG30" s="21"/>
      <c r="DH30" s="22"/>
      <c r="DI30" s="21"/>
      <c r="DJ30" s="22"/>
      <c r="DK30" s="21"/>
      <c r="DL30" s="22"/>
      <c r="DM30" s="21"/>
      <c r="DN30" s="22"/>
      <c r="DO30" s="23"/>
      <c r="DP30" s="23"/>
      <c r="DQ30" s="23"/>
      <c r="DR30" s="23"/>
      <c r="DS30" s="23"/>
      <c r="DT30" s="23"/>
      <c r="DU30" s="23"/>
      <c r="DV30" s="23"/>
      <c r="DW30" s="23"/>
      <c r="DX30" s="23"/>
      <c r="DY30" s="23"/>
      <c r="DZ30" s="23"/>
      <c r="EA30" s="23"/>
      <c r="EB30" s="23"/>
      <c r="EC30" s="23"/>
      <c r="ED30" s="34"/>
      <c r="EE30" s="35"/>
      <c r="EF30" s="21"/>
      <c r="EG30" s="22"/>
      <c r="EH30" s="21"/>
      <c r="EI30" s="22"/>
      <c r="EJ30" s="21"/>
      <c r="EK30" s="22"/>
      <c r="EL30" s="21"/>
      <c r="EM30" s="22"/>
      <c r="EN30" s="23"/>
      <c r="EO30" s="23"/>
      <c r="EP30" s="23"/>
      <c r="EQ30" s="23"/>
      <c r="ER30" s="23"/>
      <c r="ES30" s="23"/>
      <c r="ET30" s="23"/>
      <c r="EU30" s="23"/>
      <c r="EV30" s="23"/>
      <c r="EW30" s="23"/>
      <c r="EX30" s="23"/>
      <c r="EY30" s="23"/>
      <c r="EZ30" s="23"/>
      <c r="FA30" s="23"/>
      <c r="FB30" s="23"/>
      <c r="FC30" s="34"/>
      <c r="FD30" s="35"/>
      <c r="FE30" s="21"/>
      <c r="FF30" s="22"/>
      <c r="FG30" s="21"/>
      <c r="FH30" s="22"/>
      <c r="FI30" s="21"/>
      <c r="FJ30" s="22"/>
      <c r="FK30" s="21"/>
      <c r="FL30" s="22"/>
      <c r="FM30" s="23"/>
      <c r="FN30" s="23"/>
      <c r="FO30" s="23"/>
      <c r="FP30" s="23"/>
      <c r="FQ30" s="23"/>
      <c r="FR30" s="23"/>
      <c r="FS30" s="23"/>
    </row>
    <row r="31" spans="1:175" x14ac:dyDescent="0.3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row>
    <row r="32" spans="1:175" ht="15" thickBot="1" x14ac:dyDescent="0.4">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row>
    <row r="33" spans="1:175" ht="18.5" x14ac:dyDescent="0.35">
      <c r="A33" s="23"/>
      <c r="B33" s="23"/>
      <c r="C33" s="88" t="s">
        <v>61</v>
      </c>
      <c r="D33" s="89"/>
      <c r="E33" s="89"/>
      <c r="F33" s="90"/>
      <c r="G33" s="36"/>
      <c r="H33" s="36"/>
      <c r="I33" s="23"/>
      <c r="J33" s="23"/>
      <c r="K33" s="23"/>
      <c r="L33" s="23"/>
      <c r="M33" s="23"/>
      <c r="N33" s="23"/>
      <c r="O33" s="23"/>
      <c r="P33" s="23"/>
      <c r="Q33" s="23"/>
      <c r="R33" s="23"/>
      <c r="S33" s="23"/>
      <c r="T33" s="23"/>
      <c r="U33" s="23"/>
      <c r="V33" s="23"/>
      <c r="W33" s="23"/>
      <c r="X33" s="23"/>
      <c r="Y33" s="23"/>
      <c r="Z33" s="23"/>
      <c r="AA33" s="23"/>
      <c r="AB33" s="88" t="s">
        <v>62</v>
      </c>
      <c r="AC33" s="89"/>
      <c r="AD33" s="89"/>
      <c r="AE33" s="90"/>
      <c r="AF33" s="36"/>
      <c r="AG33" s="36"/>
      <c r="AH33" s="23"/>
      <c r="AI33" s="23"/>
      <c r="AJ33" s="23"/>
      <c r="AK33" s="23"/>
      <c r="AL33" s="23"/>
      <c r="AM33" s="23"/>
      <c r="AN33" s="23"/>
      <c r="AO33" s="23"/>
      <c r="AP33" s="23"/>
      <c r="AQ33" s="23"/>
      <c r="AR33" s="23"/>
      <c r="AS33" s="23"/>
      <c r="AT33" s="23"/>
      <c r="AU33" s="23"/>
      <c r="AV33" s="23"/>
      <c r="AW33" s="23"/>
      <c r="AX33" s="23"/>
      <c r="AY33" s="23"/>
      <c r="AZ33" s="23"/>
      <c r="BA33" s="88" t="s">
        <v>63</v>
      </c>
      <c r="BB33" s="89"/>
      <c r="BC33" s="89"/>
      <c r="BD33" s="90"/>
      <c r="BE33" s="36"/>
      <c r="BF33" s="36"/>
      <c r="BG33" s="23"/>
      <c r="BH33" s="23"/>
      <c r="BI33" s="23"/>
      <c r="BJ33" s="23"/>
      <c r="BK33" s="23"/>
      <c r="BL33" s="23"/>
      <c r="BM33" s="23"/>
      <c r="BN33" s="23"/>
      <c r="BO33" s="23"/>
      <c r="BP33" s="23"/>
      <c r="BQ33" s="23"/>
      <c r="BR33" s="23"/>
      <c r="BS33" s="23"/>
      <c r="BT33" s="23"/>
      <c r="BU33" s="23"/>
      <c r="BV33" s="23"/>
      <c r="BW33" s="23"/>
      <c r="BX33" s="23"/>
      <c r="BY33" s="23"/>
      <c r="BZ33" s="88" t="s">
        <v>64</v>
      </c>
      <c r="CA33" s="89"/>
      <c r="CB33" s="89"/>
      <c r="CC33" s="90"/>
      <c r="CD33" s="36"/>
      <c r="CE33" s="36"/>
      <c r="CF33" s="23"/>
      <c r="CG33" s="23"/>
      <c r="CH33" s="23"/>
      <c r="CI33" s="23"/>
      <c r="CJ33" s="23"/>
      <c r="CK33" s="23"/>
      <c r="CL33" s="23"/>
      <c r="CM33" s="23"/>
      <c r="CN33" s="23"/>
      <c r="CO33" s="23"/>
      <c r="CP33" s="23"/>
      <c r="CQ33" s="23"/>
      <c r="CR33" s="23"/>
      <c r="CS33" s="23"/>
      <c r="CT33" s="23"/>
      <c r="CU33" s="23"/>
      <c r="CV33" s="23"/>
      <c r="CW33" s="23"/>
      <c r="CX33" s="23"/>
      <c r="CY33" s="88" t="s">
        <v>65</v>
      </c>
      <c r="CZ33" s="89"/>
      <c r="DA33" s="89"/>
      <c r="DB33" s="90"/>
      <c r="DC33" s="36"/>
      <c r="DD33" s="36"/>
      <c r="DE33" s="23"/>
      <c r="DF33" s="23"/>
      <c r="DG33" s="23"/>
      <c r="DH33" s="23"/>
      <c r="DI33" s="23"/>
      <c r="DJ33" s="23"/>
      <c r="DK33" s="23"/>
      <c r="DL33" s="23"/>
      <c r="DM33" s="23"/>
      <c r="DN33" s="23"/>
      <c r="DO33" s="23"/>
      <c r="DP33" s="23"/>
      <c r="DQ33" s="23"/>
      <c r="DR33" s="23"/>
      <c r="DS33" s="23"/>
      <c r="DT33" s="23"/>
      <c r="DU33" s="23"/>
      <c r="DV33" s="23"/>
      <c r="DW33" s="23"/>
      <c r="DX33" s="88" t="s">
        <v>66</v>
      </c>
      <c r="DY33" s="89"/>
      <c r="DZ33" s="89"/>
      <c r="EA33" s="90"/>
      <c r="EB33" s="36"/>
      <c r="EC33" s="36"/>
      <c r="ED33" s="23"/>
      <c r="EE33" s="23"/>
      <c r="EF33" s="23"/>
      <c r="EG33" s="23"/>
      <c r="EH33" s="23"/>
      <c r="EI33" s="23"/>
      <c r="EJ33" s="23"/>
      <c r="EK33" s="23"/>
      <c r="EL33" s="23"/>
      <c r="EM33" s="23"/>
      <c r="EN33" s="23"/>
      <c r="EO33" s="23"/>
      <c r="EP33" s="23"/>
      <c r="EQ33" s="23"/>
      <c r="ER33" s="23"/>
      <c r="ES33" s="23"/>
      <c r="ET33" s="23"/>
      <c r="EU33" s="23"/>
      <c r="EV33" s="23"/>
      <c r="EW33" s="88" t="s">
        <v>67</v>
      </c>
      <c r="EX33" s="89"/>
      <c r="EY33" s="89"/>
      <c r="EZ33" s="90"/>
      <c r="FA33" s="36"/>
      <c r="FB33" s="36"/>
      <c r="FC33" s="23"/>
      <c r="FD33" s="23"/>
      <c r="FE33" s="23"/>
      <c r="FF33" s="23"/>
      <c r="FG33" s="23"/>
      <c r="FH33" s="23"/>
      <c r="FI33" s="23"/>
      <c r="FJ33" s="23"/>
      <c r="FK33" s="23"/>
      <c r="FL33" s="23"/>
      <c r="FM33" s="23"/>
      <c r="FN33" s="23"/>
      <c r="FO33" s="23"/>
      <c r="FP33" s="23"/>
      <c r="FQ33" s="23"/>
      <c r="FR33" s="23"/>
      <c r="FS33" s="23"/>
    </row>
    <row r="34" spans="1:175" ht="19" thickBot="1" x14ac:dyDescent="0.4">
      <c r="A34" s="23"/>
      <c r="B34" s="23"/>
      <c r="C34" s="91"/>
      <c r="D34" s="92"/>
      <c r="E34" s="92"/>
      <c r="F34" s="93"/>
      <c r="G34" s="36"/>
      <c r="H34" s="36"/>
      <c r="I34" s="23"/>
      <c r="J34" s="23"/>
      <c r="K34" s="23"/>
      <c r="L34" s="23"/>
      <c r="M34" s="23"/>
      <c r="N34" s="23"/>
      <c r="O34" s="23"/>
      <c r="P34" s="23"/>
      <c r="Q34" s="23"/>
      <c r="R34" s="23"/>
      <c r="S34" s="23"/>
      <c r="T34" s="23"/>
      <c r="U34" s="23"/>
      <c r="V34" s="23"/>
      <c r="W34" s="23"/>
      <c r="X34" s="23"/>
      <c r="Y34" s="23"/>
      <c r="Z34" s="23"/>
      <c r="AA34" s="23"/>
      <c r="AB34" s="91"/>
      <c r="AC34" s="92"/>
      <c r="AD34" s="92"/>
      <c r="AE34" s="93"/>
      <c r="AF34" s="36"/>
      <c r="AG34" s="36"/>
      <c r="AH34" s="23"/>
      <c r="AI34" s="23"/>
      <c r="AJ34" s="23"/>
      <c r="AK34" s="23"/>
      <c r="AL34" s="23"/>
      <c r="AM34" s="23"/>
      <c r="AN34" s="23"/>
      <c r="AO34" s="23"/>
      <c r="AP34" s="23"/>
      <c r="AQ34" s="23"/>
      <c r="AR34" s="23"/>
      <c r="AS34" s="23"/>
      <c r="AT34" s="23"/>
      <c r="AU34" s="23"/>
      <c r="AV34" s="23"/>
      <c r="AW34" s="23"/>
      <c r="AX34" s="23"/>
      <c r="AY34" s="23"/>
      <c r="AZ34" s="23"/>
      <c r="BA34" s="91"/>
      <c r="BB34" s="92"/>
      <c r="BC34" s="92"/>
      <c r="BD34" s="93"/>
      <c r="BE34" s="36"/>
      <c r="BF34" s="36"/>
      <c r="BG34" s="23"/>
      <c r="BH34" s="23"/>
      <c r="BI34" s="23"/>
      <c r="BJ34" s="23"/>
      <c r="BK34" s="23"/>
      <c r="BL34" s="23"/>
      <c r="BM34" s="23"/>
      <c r="BN34" s="23"/>
      <c r="BO34" s="23"/>
      <c r="BP34" s="23"/>
      <c r="BQ34" s="23"/>
      <c r="BR34" s="23"/>
      <c r="BS34" s="23"/>
      <c r="BT34" s="23"/>
      <c r="BU34" s="23"/>
      <c r="BV34" s="23"/>
      <c r="BW34" s="23"/>
      <c r="BX34" s="23"/>
      <c r="BY34" s="23"/>
      <c r="BZ34" s="91"/>
      <c r="CA34" s="92"/>
      <c r="CB34" s="92"/>
      <c r="CC34" s="93"/>
      <c r="CD34" s="36"/>
      <c r="CE34" s="36"/>
      <c r="CF34" s="23"/>
      <c r="CG34" s="23"/>
      <c r="CH34" s="23"/>
      <c r="CI34" s="23"/>
      <c r="CJ34" s="23"/>
      <c r="CK34" s="23"/>
      <c r="CL34" s="23"/>
      <c r="CM34" s="23"/>
      <c r="CN34" s="23"/>
      <c r="CO34" s="23"/>
      <c r="CP34" s="23"/>
      <c r="CQ34" s="23"/>
      <c r="CR34" s="23"/>
      <c r="CS34" s="23"/>
      <c r="CT34" s="23"/>
      <c r="CU34" s="23"/>
      <c r="CV34" s="23"/>
      <c r="CW34" s="23"/>
      <c r="CX34" s="23"/>
      <c r="CY34" s="91"/>
      <c r="CZ34" s="92"/>
      <c r="DA34" s="92"/>
      <c r="DB34" s="93"/>
      <c r="DC34" s="36"/>
      <c r="DD34" s="36"/>
      <c r="DE34" s="23"/>
      <c r="DF34" s="23"/>
      <c r="DG34" s="23"/>
      <c r="DH34" s="23"/>
      <c r="DI34" s="23"/>
      <c r="DJ34" s="23"/>
      <c r="DK34" s="23"/>
      <c r="DL34" s="23"/>
      <c r="DM34" s="23"/>
      <c r="DN34" s="23"/>
      <c r="DO34" s="23"/>
      <c r="DP34" s="23"/>
      <c r="DQ34" s="23"/>
      <c r="DR34" s="23"/>
      <c r="DS34" s="23"/>
      <c r="DT34" s="23"/>
      <c r="DU34" s="23"/>
      <c r="DV34" s="23"/>
      <c r="DW34" s="23"/>
      <c r="DX34" s="91"/>
      <c r="DY34" s="92"/>
      <c r="DZ34" s="92"/>
      <c r="EA34" s="93"/>
      <c r="EB34" s="36"/>
      <c r="EC34" s="36"/>
      <c r="ED34" s="23"/>
      <c r="EE34" s="23"/>
      <c r="EF34" s="23"/>
      <c r="EG34" s="23"/>
      <c r="EH34" s="23"/>
      <c r="EI34" s="23"/>
      <c r="EJ34" s="23"/>
      <c r="EK34" s="23"/>
      <c r="EL34" s="23"/>
      <c r="EM34" s="23"/>
      <c r="EN34" s="23"/>
      <c r="EO34" s="23"/>
      <c r="EP34" s="23"/>
      <c r="EQ34" s="23"/>
      <c r="ER34" s="23"/>
      <c r="ES34" s="23"/>
      <c r="ET34" s="23"/>
      <c r="EU34" s="23"/>
      <c r="EV34" s="23"/>
      <c r="EW34" s="91"/>
      <c r="EX34" s="92"/>
      <c r="EY34" s="92"/>
      <c r="EZ34" s="93"/>
      <c r="FA34" s="36"/>
      <c r="FB34" s="36"/>
      <c r="FC34" s="23"/>
      <c r="FD34" s="23"/>
      <c r="FE34" s="23"/>
      <c r="FF34" s="23"/>
      <c r="FG34" s="23"/>
      <c r="FH34" s="23"/>
      <c r="FI34" s="23"/>
      <c r="FJ34" s="23"/>
      <c r="FK34" s="23"/>
      <c r="FL34" s="23"/>
      <c r="FM34" s="23"/>
      <c r="FN34" s="23"/>
      <c r="FO34" s="23"/>
      <c r="FP34" s="23"/>
      <c r="FQ34" s="23"/>
      <c r="FR34" s="23"/>
      <c r="FS34" s="23"/>
    </row>
    <row r="35" spans="1:175" x14ac:dyDescent="0.35">
      <c r="A35" s="23"/>
      <c r="B35" s="23"/>
      <c r="C35" s="94" t="s">
        <v>68</v>
      </c>
      <c r="D35" s="94">
        <f>F11+F15+F19</f>
        <v>1110</v>
      </c>
      <c r="E35" s="94" t="s">
        <v>69</v>
      </c>
      <c r="F35" s="94">
        <f>D39-D35</f>
        <v>8553.4371025933997</v>
      </c>
      <c r="G35" s="23"/>
      <c r="H35" s="23"/>
      <c r="I35" s="23"/>
      <c r="J35" s="23"/>
      <c r="K35" s="23"/>
      <c r="L35" s="23"/>
      <c r="M35" s="23"/>
      <c r="N35" s="23"/>
      <c r="O35" s="23"/>
      <c r="P35" s="23"/>
      <c r="Q35" s="23"/>
      <c r="R35" s="23"/>
      <c r="S35" s="23"/>
      <c r="T35" s="23"/>
      <c r="U35" s="23"/>
      <c r="V35" s="23"/>
      <c r="W35" s="23"/>
      <c r="X35" s="23"/>
      <c r="Y35" s="23"/>
      <c r="Z35" s="23"/>
      <c r="AA35" s="23"/>
      <c r="AB35" s="94" t="s">
        <v>68</v>
      </c>
      <c r="AC35" s="94">
        <f>AE11+AE15+AE19</f>
        <v>1165</v>
      </c>
      <c r="AD35" s="94" t="s">
        <v>69</v>
      </c>
      <c r="AE35" s="94">
        <f>AC39-AC35</f>
        <v>9959.9101749379552</v>
      </c>
      <c r="AF35" s="23"/>
      <c r="AG35" s="23"/>
      <c r="AH35" s="23"/>
      <c r="AI35" s="23"/>
      <c r="AJ35" s="23"/>
      <c r="AK35" s="23"/>
      <c r="AL35" s="23"/>
      <c r="AM35" s="23"/>
      <c r="AN35" s="23"/>
      <c r="AO35" s="23"/>
      <c r="AP35" s="23"/>
      <c r="AQ35" s="23"/>
      <c r="AR35" s="23"/>
      <c r="AS35" s="23"/>
      <c r="AT35" s="23"/>
      <c r="AU35" s="23"/>
      <c r="AV35" s="23"/>
      <c r="AW35" s="23"/>
      <c r="AX35" s="23"/>
      <c r="AY35" s="23"/>
      <c r="AZ35" s="23"/>
      <c r="BA35" s="94" t="s">
        <v>68</v>
      </c>
      <c r="BB35" s="94">
        <f>BD11+BD15+BD19</f>
        <v>1270</v>
      </c>
      <c r="BC35" s="94" t="s">
        <v>69</v>
      </c>
      <c r="BD35" s="94">
        <f>BB39-BB35</f>
        <v>5395.2029511471428</v>
      </c>
      <c r="BE35" s="23"/>
      <c r="BF35" s="23"/>
      <c r="BG35" s="23"/>
      <c r="BH35" s="23"/>
      <c r="BI35" s="23"/>
      <c r="BJ35" s="23"/>
      <c r="BK35" s="23"/>
      <c r="BL35" s="23"/>
      <c r="BM35" s="23"/>
      <c r="BN35" s="23"/>
      <c r="BO35" s="23"/>
      <c r="BP35" s="23"/>
      <c r="BQ35" s="23"/>
      <c r="BR35" s="23"/>
      <c r="BS35" s="23"/>
      <c r="BT35" s="23"/>
      <c r="BU35" s="23"/>
      <c r="BV35" s="23"/>
      <c r="BW35" s="23"/>
      <c r="BX35" s="23"/>
      <c r="BY35" s="23"/>
      <c r="BZ35" s="94" t="s">
        <v>68</v>
      </c>
      <c r="CA35" s="94">
        <f>CC11+CC15+CC19</f>
        <v>1170</v>
      </c>
      <c r="CB35" s="94" t="s">
        <v>69</v>
      </c>
      <c r="CC35" s="94">
        <f>CA39-CA35</f>
        <v>6270.2265501177408</v>
      </c>
      <c r="CD35" s="23"/>
      <c r="CE35" s="23"/>
      <c r="CF35" s="23"/>
      <c r="CG35" s="23"/>
      <c r="CH35" s="23"/>
      <c r="CI35" s="23"/>
      <c r="CJ35" s="23"/>
      <c r="CK35" s="23"/>
      <c r="CL35" s="23"/>
      <c r="CM35" s="23"/>
      <c r="CN35" s="23"/>
      <c r="CO35" s="23"/>
      <c r="CP35" s="23"/>
      <c r="CQ35" s="23"/>
      <c r="CR35" s="23"/>
      <c r="CS35" s="23"/>
      <c r="CT35" s="23"/>
      <c r="CU35" s="23"/>
      <c r="CV35" s="23"/>
      <c r="CW35" s="23"/>
      <c r="CX35" s="23"/>
      <c r="CY35" s="94" t="s">
        <v>68</v>
      </c>
      <c r="CZ35" s="94">
        <f>DB11+DB15+DB19</f>
        <v>1120</v>
      </c>
      <c r="DA35" s="94" t="s">
        <v>69</v>
      </c>
      <c r="DB35" s="94">
        <f>CZ39-CZ35</f>
        <v>4743.6071144975531</v>
      </c>
      <c r="DC35" s="23"/>
      <c r="DD35" s="23"/>
      <c r="DE35" s="23"/>
      <c r="DF35" s="23"/>
      <c r="DG35" s="23"/>
      <c r="DH35" s="23"/>
      <c r="DI35" s="23"/>
      <c r="DJ35" s="23"/>
      <c r="DK35" s="23"/>
      <c r="DL35" s="23"/>
      <c r="DM35" s="23"/>
      <c r="DN35" s="23"/>
      <c r="DO35" s="23"/>
      <c r="DP35" s="23"/>
      <c r="DQ35" s="23"/>
      <c r="DR35" s="23"/>
      <c r="DS35" s="23"/>
      <c r="DT35" s="23"/>
      <c r="DU35" s="23"/>
      <c r="DV35" s="23"/>
      <c r="DW35" s="23"/>
      <c r="DX35" s="94" t="s">
        <v>68</v>
      </c>
      <c r="DY35" s="94">
        <f>EA11+EA15+EA19</f>
        <v>1110</v>
      </c>
      <c r="DZ35" s="94" t="s">
        <v>69</v>
      </c>
      <c r="EA35" s="94">
        <f>DY39-DY35</f>
        <v>3314.2775735521573</v>
      </c>
      <c r="EB35" s="23"/>
      <c r="EC35" s="23"/>
      <c r="ED35" s="23"/>
      <c r="EE35" s="23"/>
      <c r="EF35" s="23"/>
      <c r="EG35" s="23"/>
      <c r="EH35" s="23"/>
      <c r="EI35" s="23"/>
      <c r="EJ35" s="23"/>
      <c r="EK35" s="23"/>
      <c r="EL35" s="23"/>
      <c r="EM35" s="23"/>
      <c r="EN35" s="23"/>
      <c r="EO35" s="23"/>
      <c r="EP35" s="23"/>
      <c r="EQ35" s="23"/>
      <c r="ER35" s="23"/>
      <c r="ES35" s="23"/>
      <c r="ET35" s="23"/>
      <c r="EU35" s="23"/>
      <c r="EV35" s="23"/>
      <c r="EW35" s="94" t="s">
        <v>68</v>
      </c>
      <c r="EX35" s="94">
        <f>EZ11+EZ15+EZ19</f>
        <v>1110</v>
      </c>
      <c r="EY35" s="94" t="s">
        <v>69</v>
      </c>
      <c r="EZ35" s="94">
        <f>EX39-EX35</f>
        <v>4346.1661367530105</v>
      </c>
      <c r="FA35" s="23"/>
      <c r="FB35" s="23"/>
      <c r="FC35" s="23"/>
      <c r="FD35" s="23"/>
      <c r="FE35" s="23"/>
      <c r="FF35" s="23"/>
      <c r="FG35" s="23"/>
      <c r="FH35" s="23"/>
      <c r="FI35" s="23"/>
      <c r="FJ35" s="23"/>
      <c r="FK35" s="23"/>
      <c r="FL35" s="23"/>
      <c r="FM35" s="23"/>
      <c r="FN35" s="23"/>
      <c r="FO35" s="23"/>
      <c r="FP35" s="23"/>
      <c r="FQ35" s="23"/>
      <c r="FR35" s="23"/>
      <c r="FS35" s="23"/>
    </row>
    <row r="36" spans="1:175" x14ac:dyDescent="0.35">
      <c r="A36" s="23"/>
      <c r="B36" s="23"/>
      <c r="C36" s="94"/>
      <c r="D36" s="94"/>
      <c r="E36" s="94"/>
      <c r="F36" s="94"/>
      <c r="G36" s="23"/>
      <c r="H36" s="37"/>
      <c r="I36" s="37"/>
      <c r="J36" s="37"/>
      <c r="K36" s="37"/>
      <c r="L36" s="37"/>
      <c r="M36" s="37"/>
      <c r="N36" s="37"/>
      <c r="O36" s="23"/>
      <c r="P36" s="23"/>
      <c r="Q36" s="23"/>
      <c r="R36" s="23"/>
      <c r="S36" s="23"/>
      <c r="T36" s="23"/>
      <c r="U36" s="23"/>
      <c r="V36" s="23"/>
      <c r="W36" s="23"/>
      <c r="X36" s="23"/>
      <c r="Y36" s="23"/>
      <c r="Z36" s="23"/>
      <c r="AA36" s="23"/>
      <c r="AB36" s="94"/>
      <c r="AC36" s="94"/>
      <c r="AD36" s="94"/>
      <c r="AE36" s="94"/>
      <c r="AF36" s="23"/>
      <c r="AG36" s="37"/>
      <c r="AH36" s="37"/>
      <c r="AI36" s="37"/>
      <c r="AJ36" s="37"/>
      <c r="AK36" s="37"/>
      <c r="AL36" s="37"/>
      <c r="AM36" s="37"/>
      <c r="AN36" s="23"/>
      <c r="AO36" s="23"/>
      <c r="AP36" s="23"/>
      <c r="AQ36" s="23"/>
      <c r="AR36" s="23"/>
      <c r="AS36" s="23"/>
      <c r="AT36" s="23"/>
      <c r="AU36" s="23"/>
      <c r="AV36" s="23"/>
      <c r="AW36" s="23"/>
      <c r="AX36" s="23"/>
      <c r="AY36" s="23"/>
      <c r="AZ36" s="23"/>
      <c r="BA36" s="94"/>
      <c r="BB36" s="94"/>
      <c r="BC36" s="94"/>
      <c r="BD36" s="94"/>
      <c r="BE36" s="23"/>
      <c r="BF36" s="37"/>
      <c r="BG36" s="37"/>
      <c r="BH36" s="37"/>
      <c r="BI36" s="37"/>
      <c r="BJ36" s="37"/>
      <c r="BK36" s="37"/>
      <c r="BL36" s="37"/>
      <c r="BM36" s="23"/>
      <c r="BN36" s="23"/>
      <c r="BO36" s="23"/>
      <c r="BP36" s="23"/>
      <c r="BQ36" s="23"/>
      <c r="BR36" s="23"/>
      <c r="BS36" s="23"/>
      <c r="BT36" s="23"/>
      <c r="BU36" s="23"/>
      <c r="BV36" s="23"/>
      <c r="BW36" s="23"/>
      <c r="BX36" s="23"/>
      <c r="BY36" s="23"/>
      <c r="BZ36" s="94"/>
      <c r="CA36" s="94"/>
      <c r="CB36" s="94"/>
      <c r="CC36" s="94"/>
      <c r="CD36" s="23"/>
      <c r="CE36" s="37"/>
      <c r="CF36" s="37"/>
      <c r="CG36" s="37"/>
      <c r="CH36" s="37"/>
      <c r="CI36" s="37"/>
      <c r="CJ36" s="37"/>
      <c r="CK36" s="37"/>
      <c r="CL36" s="23"/>
      <c r="CM36" s="23"/>
      <c r="CN36" s="23"/>
      <c r="CO36" s="23"/>
      <c r="CP36" s="23"/>
      <c r="CQ36" s="23"/>
      <c r="CR36" s="23"/>
      <c r="CS36" s="23"/>
      <c r="CT36" s="23"/>
      <c r="CU36" s="23"/>
      <c r="CV36" s="23"/>
      <c r="CW36" s="23"/>
      <c r="CX36" s="23"/>
      <c r="CY36" s="94"/>
      <c r="CZ36" s="94"/>
      <c r="DA36" s="94"/>
      <c r="DB36" s="94"/>
      <c r="DC36" s="23"/>
      <c r="DD36" s="37"/>
      <c r="DE36" s="37"/>
      <c r="DF36" s="37"/>
      <c r="DG36" s="37"/>
      <c r="DH36" s="37"/>
      <c r="DI36" s="37"/>
      <c r="DJ36" s="37"/>
      <c r="DK36" s="23"/>
      <c r="DL36" s="23"/>
      <c r="DM36" s="23"/>
      <c r="DN36" s="23"/>
      <c r="DO36" s="23"/>
      <c r="DP36" s="23"/>
      <c r="DQ36" s="23"/>
      <c r="DR36" s="23"/>
      <c r="DS36" s="23"/>
      <c r="DT36" s="23"/>
      <c r="DU36" s="23"/>
      <c r="DV36" s="23"/>
      <c r="DW36" s="23"/>
      <c r="DX36" s="94"/>
      <c r="DY36" s="94"/>
      <c r="DZ36" s="94"/>
      <c r="EA36" s="94"/>
      <c r="EB36" s="23"/>
      <c r="EC36" s="37"/>
      <c r="ED36" s="37"/>
      <c r="EE36" s="37"/>
      <c r="EF36" s="37"/>
      <c r="EG36" s="37"/>
      <c r="EH36" s="37"/>
      <c r="EI36" s="37"/>
      <c r="EJ36" s="23"/>
      <c r="EK36" s="23"/>
      <c r="EL36" s="23"/>
      <c r="EM36" s="23"/>
      <c r="EN36" s="23"/>
      <c r="EO36" s="23"/>
      <c r="EP36" s="23"/>
      <c r="EQ36" s="23"/>
      <c r="ER36" s="23"/>
      <c r="ES36" s="23"/>
      <c r="ET36" s="23"/>
      <c r="EU36" s="23"/>
      <c r="EV36" s="23"/>
      <c r="EW36" s="94"/>
      <c r="EX36" s="94"/>
      <c r="EY36" s="94"/>
      <c r="EZ36" s="94"/>
      <c r="FA36" s="23"/>
      <c r="FB36" s="37"/>
      <c r="FC36" s="37"/>
      <c r="FD36" s="37"/>
      <c r="FE36" s="37"/>
      <c r="FF36" s="37"/>
      <c r="FG36" s="37"/>
      <c r="FH36" s="37"/>
      <c r="FI36" s="23"/>
      <c r="FJ36" s="23"/>
      <c r="FK36" s="23"/>
      <c r="FL36" s="23"/>
      <c r="FM36" s="23"/>
      <c r="FN36" s="23"/>
      <c r="FO36" s="23"/>
      <c r="FP36" s="23"/>
      <c r="FQ36" s="23"/>
      <c r="FR36" s="23"/>
      <c r="FS36" s="23"/>
    </row>
    <row r="37" spans="1:175" x14ac:dyDescent="0.35">
      <c r="A37" s="23"/>
      <c r="B37" s="23"/>
      <c r="C37" s="94"/>
      <c r="D37" s="94"/>
      <c r="E37" s="94"/>
      <c r="F37" s="94"/>
      <c r="G37" s="23"/>
      <c r="H37" s="37"/>
      <c r="I37" s="37"/>
      <c r="J37" s="37"/>
      <c r="K37" s="37"/>
      <c r="L37" s="37"/>
      <c r="M37" s="37"/>
      <c r="N37" s="37"/>
      <c r="O37" s="23"/>
      <c r="P37" s="23"/>
      <c r="Q37" s="23"/>
      <c r="R37" s="23"/>
      <c r="S37" s="23"/>
      <c r="T37" s="23"/>
      <c r="U37" s="23"/>
      <c r="V37" s="23"/>
      <c r="W37" s="23"/>
      <c r="X37" s="23"/>
      <c r="Y37" s="23"/>
      <c r="Z37" s="23"/>
      <c r="AA37" s="23"/>
      <c r="AB37" s="94"/>
      <c r="AC37" s="94"/>
      <c r="AD37" s="94"/>
      <c r="AE37" s="94"/>
      <c r="AF37" s="23"/>
      <c r="AG37" s="37"/>
      <c r="AH37" s="37"/>
      <c r="AI37" s="37"/>
      <c r="AJ37" s="37"/>
      <c r="AK37" s="37"/>
      <c r="AL37" s="37"/>
      <c r="AM37" s="37"/>
      <c r="AN37" s="23"/>
      <c r="AO37" s="23"/>
      <c r="AP37" s="23"/>
      <c r="AQ37" s="23"/>
      <c r="AR37" s="23"/>
      <c r="AS37" s="23"/>
      <c r="AT37" s="23"/>
      <c r="AU37" s="23"/>
      <c r="AV37" s="23"/>
      <c r="AW37" s="23"/>
      <c r="AX37" s="23"/>
      <c r="AY37" s="23"/>
      <c r="AZ37" s="23"/>
      <c r="BA37" s="94"/>
      <c r="BB37" s="94"/>
      <c r="BC37" s="94"/>
      <c r="BD37" s="94"/>
      <c r="BE37" s="23"/>
      <c r="BF37" s="37"/>
      <c r="BG37" s="37"/>
      <c r="BH37" s="37"/>
      <c r="BI37" s="37"/>
      <c r="BJ37" s="37"/>
      <c r="BK37" s="37"/>
      <c r="BL37" s="37"/>
      <c r="BM37" s="23"/>
      <c r="BN37" s="23"/>
      <c r="BO37" s="23"/>
      <c r="BP37" s="23"/>
      <c r="BQ37" s="23"/>
      <c r="BR37" s="23"/>
      <c r="BS37" s="23"/>
      <c r="BT37" s="23"/>
      <c r="BU37" s="23"/>
      <c r="BV37" s="23"/>
      <c r="BW37" s="23"/>
      <c r="BX37" s="23"/>
      <c r="BY37" s="23"/>
      <c r="BZ37" s="94"/>
      <c r="CA37" s="94"/>
      <c r="CB37" s="94"/>
      <c r="CC37" s="94"/>
      <c r="CD37" s="23"/>
      <c r="CE37" s="37"/>
      <c r="CF37" s="37"/>
      <c r="CG37" s="37"/>
      <c r="CH37" s="37"/>
      <c r="CI37" s="37"/>
      <c r="CJ37" s="37"/>
      <c r="CK37" s="37"/>
      <c r="CL37" s="23"/>
      <c r="CM37" s="23"/>
      <c r="CN37" s="23"/>
      <c r="CO37" s="23"/>
      <c r="CP37" s="23"/>
      <c r="CQ37" s="23"/>
      <c r="CR37" s="23"/>
      <c r="CS37" s="23"/>
      <c r="CT37" s="23"/>
      <c r="CU37" s="23"/>
      <c r="CV37" s="23"/>
      <c r="CW37" s="23"/>
      <c r="CX37" s="23"/>
      <c r="CY37" s="94"/>
      <c r="CZ37" s="94"/>
      <c r="DA37" s="94"/>
      <c r="DB37" s="94"/>
      <c r="DC37" s="23"/>
      <c r="DD37" s="37"/>
      <c r="DE37" s="37"/>
      <c r="DF37" s="37"/>
      <c r="DG37" s="37"/>
      <c r="DH37" s="37"/>
      <c r="DI37" s="37"/>
      <c r="DJ37" s="37"/>
      <c r="DK37" s="23"/>
      <c r="DL37" s="23"/>
      <c r="DM37" s="23"/>
      <c r="DN37" s="23"/>
      <c r="DO37" s="23"/>
      <c r="DP37" s="23"/>
      <c r="DQ37" s="23"/>
      <c r="DR37" s="23"/>
      <c r="DS37" s="23"/>
      <c r="DT37" s="23"/>
      <c r="DU37" s="23"/>
      <c r="DV37" s="23"/>
      <c r="DW37" s="23"/>
      <c r="DX37" s="94"/>
      <c r="DY37" s="94"/>
      <c r="DZ37" s="94"/>
      <c r="EA37" s="94"/>
      <c r="EB37" s="23"/>
      <c r="EC37" s="37"/>
      <c r="ED37" s="37"/>
      <c r="EE37" s="37"/>
      <c r="EF37" s="37"/>
      <c r="EG37" s="37"/>
      <c r="EH37" s="37"/>
      <c r="EI37" s="37"/>
      <c r="EJ37" s="23"/>
      <c r="EK37" s="23"/>
      <c r="EL37" s="23"/>
      <c r="EM37" s="23"/>
      <c r="EN37" s="23"/>
      <c r="EO37" s="23"/>
      <c r="EP37" s="23"/>
      <c r="EQ37" s="23"/>
      <c r="ER37" s="23"/>
      <c r="ES37" s="23"/>
      <c r="ET37" s="23"/>
      <c r="EU37" s="23"/>
      <c r="EV37" s="23"/>
      <c r="EW37" s="94"/>
      <c r="EX37" s="94"/>
      <c r="EY37" s="94"/>
      <c r="EZ37" s="94"/>
      <c r="FA37" s="23"/>
      <c r="FB37" s="37"/>
      <c r="FC37" s="37"/>
      <c r="FD37" s="37"/>
      <c r="FE37" s="37"/>
      <c r="FF37" s="37"/>
      <c r="FG37" s="37"/>
      <c r="FH37" s="37"/>
      <c r="FI37" s="23"/>
      <c r="FJ37" s="23"/>
      <c r="FK37" s="23"/>
      <c r="FL37" s="23"/>
      <c r="FM37" s="23"/>
      <c r="FN37" s="23"/>
      <c r="FO37" s="23"/>
      <c r="FP37" s="23"/>
      <c r="FQ37" s="23"/>
      <c r="FR37" s="23"/>
      <c r="FS37" s="23"/>
    </row>
    <row r="38" spans="1:175" ht="15" thickBot="1" x14ac:dyDescent="0.4">
      <c r="A38" s="23"/>
      <c r="B38" s="23"/>
      <c r="C38" s="95"/>
      <c r="D38" s="95"/>
      <c r="E38" s="95"/>
      <c r="F38" s="95"/>
      <c r="G38" s="23"/>
      <c r="H38" s="37"/>
      <c r="I38" s="37"/>
      <c r="J38" s="37"/>
      <c r="K38" s="37"/>
      <c r="L38" s="37"/>
      <c r="M38" s="37"/>
      <c r="N38" s="37"/>
      <c r="O38" s="23"/>
      <c r="P38" s="23"/>
      <c r="Q38" s="23"/>
      <c r="R38" s="23"/>
      <c r="S38" s="23"/>
      <c r="T38" s="23"/>
      <c r="U38" s="23"/>
      <c r="V38" s="23"/>
      <c r="W38" s="23"/>
      <c r="X38" s="23"/>
      <c r="Y38" s="23"/>
      <c r="Z38" s="23"/>
      <c r="AA38" s="23"/>
      <c r="AB38" s="95"/>
      <c r="AC38" s="95"/>
      <c r="AD38" s="95"/>
      <c r="AE38" s="95"/>
      <c r="AF38" s="23"/>
      <c r="AG38" s="37"/>
      <c r="AH38" s="37"/>
      <c r="AI38" s="37"/>
      <c r="AJ38" s="37"/>
      <c r="AK38" s="37"/>
      <c r="AL38" s="37"/>
      <c r="AM38" s="37"/>
      <c r="AN38" s="23"/>
      <c r="AO38" s="23"/>
      <c r="AP38" s="23"/>
      <c r="AQ38" s="23"/>
      <c r="AR38" s="23"/>
      <c r="AS38" s="23"/>
      <c r="AT38" s="23"/>
      <c r="AU38" s="23"/>
      <c r="AV38" s="23"/>
      <c r="AW38" s="23"/>
      <c r="AX38" s="23"/>
      <c r="AY38" s="23"/>
      <c r="AZ38" s="23"/>
      <c r="BA38" s="95"/>
      <c r="BB38" s="95"/>
      <c r="BC38" s="95"/>
      <c r="BD38" s="95"/>
      <c r="BE38" s="23"/>
      <c r="BF38" s="37"/>
      <c r="BG38" s="37"/>
      <c r="BH38" s="37"/>
      <c r="BI38" s="37"/>
      <c r="BJ38" s="37"/>
      <c r="BK38" s="37"/>
      <c r="BL38" s="37"/>
      <c r="BM38" s="23"/>
      <c r="BN38" s="23"/>
      <c r="BO38" s="23"/>
      <c r="BP38" s="23"/>
      <c r="BQ38" s="23"/>
      <c r="BR38" s="23"/>
      <c r="BS38" s="23"/>
      <c r="BT38" s="23"/>
      <c r="BU38" s="23"/>
      <c r="BV38" s="23"/>
      <c r="BW38" s="23"/>
      <c r="BX38" s="23"/>
      <c r="BY38" s="23"/>
      <c r="BZ38" s="95"/>
      <c r="CA38" s="95"/>
      <c r="CB38" s="95"/>
      <c r="CC38" s="95"/>
      <c r="CD38" s="23"/>
      <c r="CE38" s="37"/>
      <c r="CF38" s="37"/>
      <c r="CG38" s="37"/>
      <c r="CH38" s="37"/>
      <c r="CI38" s="37"/>
      <c r="CJ38" s="37"/>
      <c r="CK38" s="37"/>
      <c r="CL38" s="23"/>
      <c r="CM38" s="23"/>
      <c r="CN38" s="23"/>
      <c r="CO38" s="23"/>
      <c r="CP38" s="23"/>
      <c r="CQ38" s="23"/>
      <c r="CR38" s="23"/>
      <c r="CS38" s="23"/>
      <c r="CT38" s="23"/>
      <c r="CU38" s="23"/>
      <c r="CV38" s="23"/>
      <c r="CW38" s="23"/>
      <c r="CX38" s="23"/>
      <c r="CY38" s="95"/>
      <c r="CZ38" s="95"/>
      <c r="DA38" s="95"/>
      <c r="DB38" s="95"/>
      <c r="DC38" s="23"/>
      <c r="DD38" s="37"/>
      <c r="DE38" s="37"/>
      <c r="DF38" s="37"/>
      <c r="DG38" s="37"/>
      <c r="DH38" s="37"/>
      <c r="DI38" s="37"/>
      <c r="DJ38" s="37"/>
      <c r="DK38" s="23"/>
      <c r="DL38" s="23"/>
      <c r="DM38" s="23"/>
      <c r="DN38" s="23"/>
      <c r="DO38" s="23"/>
      <c r="DP38" s="23"/>
      <c r="DQ38" s="23"/>
      <c r="DR38" s="23"/>
      <c r="DS38" s="23"/>
      <c r="DT38" s="23"/>
      <c r="DU38" s="23"/>
      <c r="DV38" s="23"/>
      <c r="DW38" s="23"/>
      <c r="DX38" s="95"/>
      <c r="DY38" s="95"/>
      <c r="DZ38" s="95"/>
      <c r="EA38" s="95"/>
      <c r="EB38" s="23"/>
      <c r="EC38" s="37"/>
      <c r="ED38" s="37"/>
      <c r="EE38" s="37"/>
      <c r="EF38" s="37"/>
      <c r="EG38" s="37"/>
      <c r="EH38" s="37"/>
      <c r="EI38" s="37"/>
      <c r="EJ38" s="23"/>
      <c r="EK38" s="23"/>
      <c r="EL38" s="23"/>
      <c r="EM38" s="23"/>
      <c r="EN38" s="23"/>
      <c r="EO38" s="23"/>
      <c r="EP38" s="23"/>
      <c r="EQ38" s="23"/>
      <c r="ER38" s="23"/>
      <c r="ES38" s="23"/>
      <c r="ET38" s="23"/>
      <c r="EU38" s="23"/>
      <c r="EV38" s="23"/>
      <c r="EW38" s="95"/>
      <c r="EX38" s="95"/>
      <c r="EY38" s="95"/>
      <c r="EZ38" s="95"/>
      <c r="FA38" s="23"/>
      <c r="FB38" s="37"/>
      <c r="FC38" s="37"/>
      <c r="FD38" s="37"/>
      <c r="FE38" s="37"/>
      <c r="FF38" s="37"/>
      <c r="FG38" s="37"/>
      <c r="FH38" s="37"/>
      <c r="FI38" s="23"/>
      <c r="FJ38" s="23"/>
      <c r="FK38" s="23"/>
      <c r="FL38" s="23"/>
      <c r="FM38" s="23"/>
      <c r="FN38" s="23"/>
      <c r="FO38" s="23"/>
      <c r="FP38" s="23"/>
      <c r="FQ38" s="23"/>
      <c r="FR38" s="23"/>
      <c r="FS38" s="23"/>
    </row>
    <row r="39" spans="1:175" x14ac:dyDescent="0.35">
      <c r="A39" s="23"/>
      <c r="B39" s="23"/>
      <c r="C39" s="94" t="s">
        <v>70</v>
      </c>
      <c r="D39" s="94">
        <f>SUM(Q13:Q28)</f>
        <v>9663.4371025933997</v>
      </c>
      <c r="E39" s="94" t="s">
        <v>71</v>
      </c>
      <c r="F39" s="94" t="str">
        <f>IF(F350,"Bad shape","Fit shape")</f>
        <v>Fit shape</v>
      </c>
      <c r="G39" s="23"/>
      <c r="H39" s="37"/>
      <c r="I39" s="37"/>
      <c r="J39" s="37"/>
      <c r="K39" s="37"/>
      <c r="L39" s="37"/>
      <c r="M39" s="37"/>
      <c r="N39" s="37"/>
      <c r="O39" s="23"/>
      <c r="P39" s="23"/>
      <c r="Q39" s="23"/>
      <c r="R39" s="23"/>
      <c r="S39" s="23"/>
      <c r="T39" s="23"/>
      <c r="U39" s="23"/>
      <c r="V39" s="23"/>
      <c r="W39" s="23"/>
      <c r="X39" s="23"/>
      <c r="Y39" s="23"/>
      <c r="Z39" s="23"/>
      <c r="AA39" s="23"/>
      <c r="AB39" s="94" t="s">
        <v>70</v>
      </c>
      <c r="AC39" s="94">
        <f>SUM(AP13:AP28)</f>
        <v>11124.910174937955</v>
      </c>
      <c r="AD39" s="94" t="s">
        <v>71</v>
      </c>
      <c r="AE39" s="94" t="str">
        <f>IF(AE350,"Bad shape","Fit shape")</f>
        <v>Fit shape</v>
      </c>
      <c r="AF39" s="23"/>
      <c r="AG39" s="37"/>
      <c r="AH39" s="37"/>
      <c r="AI39" s="37"/>
      <c r="AJ39" s="37"/>
      <c r="AK39" s="37"/>
      <c r="AL39" s="37"/>
      <c r="AM39" s="37"/>
      <c r="AN39" s="23"/>
      <c r="AO39" s="23"/>
      <c r="AP39" s="23"/>
      <c r="AQ39" s="23"/>
      <c r="AR39" s="23"/>
      <c r="AS39" s="23"/>
      <c r="AT39" s="23"/>
      <c r="AU39" s="23"/>
      <c r="AV39" s="23"/>
      <c r="AW39" s="23"/>
      <c r="AX39" s="23"/>
      <c r="AY39" s="23"/>
      <c r="AZ39" s="23"/>
      <c r="BA39" s="94" t="s">
        <v>70</v>
      </c>
      <c r="BB39" s="94">
        <f>SUM(BO13:BO28)</f>
        <v>6665.2029511471428</v>
      </c>
      <c r="BC39" s="94" t="s">
        <v>71</v>
      </c>
      <c r="BD39" s="94" t="str">
        <f>IF(BD350,"Bad shape","Fit shape")</f>
        <v>Fit shape</v>
      </c>
      <c r="BE39" s="23"/>
      <c r="BF39" s="37"/>
      <c r="BG39" s="37"/>
      <c r="BH39" s="37"/>
      <c r="BI39" s="37"/>
      <c r="BJ39" s="37"/>
      <c r="BK39" s="37"/>
      <c r="BL39" s="37"/>
      <c r="BM39" s="23"/>
      <c r="BN39" s="23"/>
      <c r="BO39" s="23"/>
      <c r="BP39" s="23"/>
      <c r="BQ39" s="23"/>
      <c r="BR39" s="23"/>
      <c r="BS39" s="23"/>
      <c r="BT39" s="23"/>
      <c r="BU39" s="23"/>
      <c r="BV39" s="23"/>
      <c r="BW39" s="23"/>
      <c r="BX39" s="23"/>
      <c r="BY39" s="23"/>
      <c r="BZ39" s="94" t="s">
        <v>70</v>
      </c>
      <c r="CA39" s="94">
        <f>SUM(CN13:CN28)</f>
        <v>7440.2265501177408</v>
      </c>
      <c r="CB39" s="94" t="s">
        <v>71</v>
      </c>
      <c r="CC39" s="94" t="str">
        <f>IF(CC350,"Bad shape","Fit shape")</f>
        <v>Fit shape</v>
      </c>
      <c r="CD39" s="23"/>
      <c r="CE39" s="37"/>
      <c r="CF39" s="37"/>
      <c r="CG39" s="37"/>
      <c r="CH39" s="37"/>
      <c r="CI39" s="37"/>
      <c r="CJ39" s="37"/>
      <c r="CK39" s="37"/>
      <c r="CL39" s="23"/>
      <c r="CM39" s="23"/>
      <c r="CN39" s="23"/>
      <c r="CO39" s="23"/>
      <c r="CP39" s="23"/>
      <c r="CQ39" s="23"/>
      <c r="CR39" s="23"/>
      <c r="CS39" s="23"/>
      <c r="CT39" s="23"/>
      <c r="CU39" s="23"/>
      <c r="CV39" s="23"/>
      <c r="CW39" s="23"/>
      <c r="CX39" s="23"/>
      <c r="CY39" s="94" t="s">
        <v>70</v>
      </c>
      <c r="CZ39" s="94">
        <f>SUM(DM13:DM28)</f>
        <v>5863.6071144975531</v>
      </c>
      <c r="DA39" s="94" t="s">
        <v>71</v>
      </c>
      <c r="DB39" s="94" t="str">
        <f>IF(DB350,"Bad shape","Fit shape")</f>
        <v>Fit shape</v>
      </c>
      <c r="DC39" s="23"/>
      <c r="DD39" s="37"/>
      <c r="DE39" s="37"/>
      <c r="DF39" s="37"/>
      <c r="DG39" s="37"/>
      <c r="DH39" s="37"/>
      <c r="DI39" s="37"/>
      <c r="DJ39" s="37"/>
      <c r="DK39" s="23"/>
      <c r="DL39" s="23"/>
      <c r="DM39" s="23"/>
      <c r="DN39" s="23"/>
      <c r="DO39" s="23"/>
      <c r="DP39" s="23"/>
      <c r="DQ39" s="23"/>
      <c r="DR39" s="23"/>
      <c r="DS39" s="23"/>
      <c r="DT39" s="23"/>
      <c r="DU39" s="23"/>
      <c r="DV39" s="23"/>
      <c r="DW39" s="23"/>
      <c r="DX39" s="94" t="s">
        <v>70</v>
      </c>
      <c r="DY39" s="94">
        <f>SUM(EL13:EL28)</f>
        <v>4424.2775735521573</v>
      </c>
      <c r="DZ39" s="94" t="s">
        <v>71</v>
      </c>
      <c r="EA39" s="94" t="str">
        <f>IF(EA350,"Bad shape","Fit shape")</f>
        <v>Fit shape</v>
      </c>
      <c r="EB39" s="23"/>
      <c r="EC39" s="37"/>
      <c r="ED39" s="37"/>
      <c r="EE39" s="37"/>
      <c r="EF39" s="37"/>
      <c r="EG39" s="37"/>
      <c r="EH39" s="37"/>
      <c r="EI39" s="37"/>
      <c r="EJ39" s="23"/>
      <c r="EK39" s="23"/>
      <c r="EL39" s="23"/>
      <c r="EM39" s="23"/>
      <c r="EN39" s="23"/>
      <c r="EO39" s="23"/>
      <c r="EP39" s="23"/>
      <c r="EQ39" s="23"/>
      <c r="ER39" s="23"/>
      <c r="ES39" s="23"/>
      <c r="ET39" s="23"/>
      <c r="EU39" s="23"/>
      <c r="EV39" s="23"/>
      <c r="EW39" s="94" t="s">
        <v>70</v>
      </c>
      <c r="EX39" s="94">
        <f>SUM(FK13:FK28)</f>
        <v>5456.1661367530105</v>
      </c>
      <c r="EY39" s="94" t="s">
        <v>71</v>
      </c>
      <c r="EZ39" s="94" t="str">
        <f>IF(EZ350,"Bad shape","Fit shape")</f>
        <v>Fit shape</v>
      </c>
      <c r="FA39" s="23"/>
      <c r="FB39" s="37"/>
      <c r="FC39" s="37"/>
      <c r="FD39" s="37"/>
      <c r="FE39" s="37"/>
      <c r="FF39" s="37"/>
      <c r="FG39" s="37"/>
      <c r="FH39" s="37"/>
      <c r="FI39" s="23"/>
      <c r="FJ39" s="23"/>
      <c r="FK39" s="23"/>
      <c r="FL39" s="23"/>
      <c r="FM39" s="23"/>
      <c r="FN39" s="23"/>
      <c r="FO39" s="23"/>
      <c r="FP39" s="23"/>
      <c r="FQ39" s="23"/>
      <c r="FR39" s="23"/>
      <c r="FS39" s="23"/>
    </row>
    <row r="40" spans="1:175" x14ac:dyDescent="0.35">
      <c r="A40" s="23"/>
      <c r="B40" s="23"/>
      <c r="C40" s="94"/>
      <c r="D40" s="94"/>
      <c r="E40" s="94"/>
      <c r="F40" s="94"/>
      <c r="G40" s="23"/>
      <c r="H40" s="37"/>
      <c r="I40" s="37"/>
      <c r="J40" s="37"/>
      <c r="K40" s="37"/>
      <c r="L40" s="37"/>
      <c r="M40" s="37"/>
      <c r="N40" s="37"/>
      <c r="O40" s="23"/>
      <c r="P40" s="23"/>
      <c r="Q40" s="23"/>
      <c r="R40" s="23"/>
      <c r="S40" s="23"/>
      <c r="T40" s="23"/>
      <c r="U40" s="23"/>
      <c r="V40" s="23"/>
      <c r="W40" s="23"/>
      <c r="X40" s="23"/>
      <c r="Y40" s="23"/>
      <c r="Z40" s="23"/>
      <c r="AA40" s="23"/>
      <c r="AB40" s="94"/>
      <c r="AC40" s="94"/>
      <c r="AD40" s="94"/>
      <c r="AE40" s="94"/>
      <c r="AF40" s="23"/>
      <c r="AG40" s="37"/>
      <c r="AH40" s="37"/>
      <c r="AI40" s="37"/>
      <c r="AJ40" s="37"/>
      <c r="AK40" s="37"/>
      <c r="AL40" s="37"/>
      <c r="AM40" s="37"/>
      <c r="AN40" s="23"/>
      <c r="AO40" s="23"/>
      <c r="AP40" s="23"/>
      <c r="AQ40" s="23"/>
      <c r="AR40" s="23"/>
      <c r="AS40" s="23"/>
      <c r="AT40" s="23"/>
      <c r="AU40" s="23"/>
      <c r="AV40" s="23"/>
      <c r="AW40" s="23"/>
      <c r="AX40" s="23"/>
      <c r="AY40" s="23"/>
      <c r="AZ40" s="23"/>
      <c r="BA40" s="94"/>
      <c r="BB40" s="94"/>
      <c r="BC40" s="94"/>
      <c r="BD40" s="94"/>
      <c r="BE40" s="23"/>
      <c r="BF40" s="37"/>
      <c r="BG40" s="37"/>
      <c r="BH40" s="37"/>
      <c r="BI40" s="37"/>
      <c r="BJ40" s="37"/>
      <c r="BK40" s="37"/>
      <c r="BL40" s="37"/>
      <c r="BM40" s="23"/>
      <c r="BN40" s="23"/>
      <c r="BO40" s="23"/>
      <c r="BP40" s="23"/>
      <c r="BQ40" s="23"/>
      <c r="BR40" s="23"/>
      <c r="BS40" s="23"/>
      <c r="BT40" s="23"/>
      <c r="BU40" s="23"/>
      <c r="BV40" s="23"/>
      <c r="BW40" s="23"/>
      <c r="BX40" s="23"/>
      <c r="BY40" s="23"/>
      <c r="BZ40" s="94"/>
      <c r="CA40" s="94"/>
      <c r="CB40" s="94"/>
      <c r="CC40" s="94"/>
      <c r="CD40" s="23"/>
      <c r="CE40" s="37"/>
      <c r="CF40" s="37"/>
      <c r="CG40" s="37"/>
      <c r="CH40" s="37"/>
      <c r="CI40" s="37"/>
      <c r="CJ40" s="37"/>
      <c r="CK40" s="37"/>
      <c r="CL40" s="23"/>
      <c r="CM40" s="23"/>
      <c r="CN40" s="23"/>
      <c r="CO40" s="23"/>
      <c r="CP40" s="23"/>
      <c r="CQ40" s="23"/>
      <c r="CR40" s="23"/>
      <c r="CS40" s="23"/>
      <c r="CT40" s="23"/>
      <c r="CU40" s="23"/>
      <c r="CV40" s="23"/>
      <c r="CW40" s="23"/>
      <c r="CX40" s="23"/>
      <c r="CY40" s="94"/>
      <c r="CZ40" s="94"/>
      <c r="DA40" s="94"/>
      <c r="DB40" s="94"/>
      <c r="DC40" s="23"/>
      <c r="DD40" s="37"/>
      <c r="DE40" s="37"/>
      <c r="DF40" s="37"/>
      <c r="DG40" s="37"/>
      <c r="DH40" s="37"/>
      <c r="DI40" s="37"/>
      <c r="DJ40" s="37"/>
      <c r="DK40" s="23"/>
      <c r="DL40" s="23"/>
      <c r="DM40" s="23"/>
      <c r="DN40" s="23"/>
      <c r="DO40" s="23"/>
      <c r="DP40" s="23"/>
      <c r="DQ40" s="23"/>
      <c r="DR40" s="23"/>
      <c r="DS40" s="23"/>
      <c r="DT40" s="23"/>
      <c r="DU40" s="23"/>
      <c r="DV40" s="23"/>
      <c r="DW40" s="23"/>
      <c r="DX40" s="94"/>
      <c r="DY40" s="94"/>
      <c r="DZ40" s="94"/>
      <c r="EA40" s="94"/>
      <c r="EB40" s="23"/>
      <c r="EC40" s="37"/>
      <c r="ED40" s="37"/>
      <c r="EE40" s="37"/>
      <c r="EF40" s="37"/>
      <c r="EG40" s="37"/>
      <c r="EH40" s="37"/>
      <c r="EI40" s="37"/>
      <c r="EJ40" s="23"/>
      <c r="EK40" s="23"/>
      <c r="EL40" s="23"/>
      <c r="EM40" s="23"/>
      <c r="EN40" s="23"/>
      <c r="EO40" s="23"/>
      <c r="EP40" s="23"/>
      <c r="EQ40" s="23"/>
      <c r="ER40" s="23"/>
      <c r="ES40" s="23"/>
      <c r="ET40" s="23"/>
      <c r="EU40" s="23"/>
      <c r="EV40" s="23"/>
      <c r="EW40" s="94"/>
      <c r="EX40" s="94"/>
      <c r="EY40" s="94"/>
      <c r="EZ40" s="94"/>
      <c r="FA40" s="23"/>
      <c r="FB40" s="37"/>
      <c r="FC40" s="37"/>
      <c r="FD40" s="37"/>
      <c r="FE40" s="37"/>
      <c r="FF40" s="37"/>
      <c r="FG40" s="37"/>
      <c r="FH40" s="37"/>
      <c r="FI40" s="23"/>
      <c r="FJ40" s="23"/>
      <c r="FK40" s="23"/>
      <c r="FL40" s="23"/>
      <c r="FM40" s="23"/>
      <c r="FN40" s="23"/>
      <c r="FO40" s="23"/>
      <c r="FP40" s="23"/>
      <c r="FQ40" s="23"/>
      <c r="FR40" s="23"/>
      <c r="FS40" s="23"/>
    </row>
    <row r="41" spans="1:175" x14ac:dyDescent="0.35">
      <c r="A41" s="23"/>
      <c r="B41" s="23"/>
      <c r="C41" s="94"/>
      <c r="D41" s="94"/>
      <c r="E41" s="94"/>
      <c r="F41" s="94"/>
      <c r="G41" s="23"/>
      <c r="H41" s="37"/>
      <c r="I41" s="37"/>
      <c r="J41" s="37"/>
      <c r="K41" s="37"/>
      <c r="L41" s="37"/>
      <c r="M41" s="37"/>
      <c r="N41" s="37"/>
      <c r="O41" s="37"/>
      <c r="P41" s="37"/>
      <c r="Q41" s="23"/>
      <c r="R41" s="23"/>
      <c r="S41" s="23"/>
      <c r="T41" s="23"/>
      <c r="U41" s="23"/>
      <c r="V41" s="23"/>
      <c r="W41" s="23"/>
      <c r="X41" s="23"/>
      <c r="Y41" s="23"/>
      <c r="Z41" s="23"/>
      <c r="AA41" s="23"/>
      <c r="AB41" s="94"/>
      <c r="AC41" s="94"/>
      <c r="AD41" s="94"/>
      <c r="AE41" s="94"/>
      <c r="AF41" s="23"/>
      <c r="AG41" s="37"/>
      <c r="AH41" s="37"/>
      <c r="AI41" s="37"/>
      <c r="AJ41" s="37"/>
      <c r="AK41" s="37"/>
      <c r="AL41" s="37"/>
      <c r="AM41" s="37"/>
      <c r="AN41" s="37"/>
      <c r="AO41" s="37"/>
      <c r="AP41" s="23"/>
      <c r="AQ41" s="23"/>
      <c r="AR41" s="23"/>
      <c r="AS41" s="23"/>
      <c r="AT41" s="23"/>
      <c r="AU41" s="23"/>
      <c r="AV41" s="23"/>
      <c r="AW41" s="23"/>
      <c r="AX41" s="23"/>
      <c r="AY41" s="23"/>
      <c r="AZ41" s="23"/>
      <c r="BA41" s="94"/>
      <c r="BB41" s="94"/>
      <c r="BC41" s="94"/>
      <c r="BD41" s="94"/>
      <c r="BE41" s="23"/>
      <c r="BF41" s="37"/>
      <c r="BG41" s="37"/>
      <c r="BH41" s="37"/>
      <c r="BI41" s="37"/>
      <c r="BJ41" s="37"/>
      <c r="BK41" s="37"/>
      <c r="BL41" s="37"/>
      <c r="BM41" s="37"/>
      <c r="BN41" s="37"/>
      <c r="BO41" s="23"/>
      <c r="BP41" s="23"/>
      <c r="BQ41" s="23"/>
      <c r="BR41" s="23"/>
      <c r="BS41" s="23"/>
      <c r="BT41" s="23"/>
      <c r="BU41" s="23"/>
      <c r="BV41" s="23"/>
      <c r="BW41" s="23"/>
      <c r="BX41" s="23"/>
      <c r="BY41" s="23"/>
      <c r="BZ41" s="94"/>
      <c r="CA41" s="94"/>
      <c r="CB41" s="94"/>
      <c r="CC41" s="94"/>
      <c r="CD41" s="23"/>
      <c r="CE41" s="37"/>
      <c r="CF41" s="37"/>
      <c r="CG41" s="37"/>
      <c r="CH41" s="37"/>
      <c r="CI41" s="37"/>
      <c r="CJ41" s="37"/>
      <c r="CK41" s="37"/>
      <c r="CL41" s="37"/>
      <c r="CM41" s="37"/>
      <c r="CN41" s="23"/>
      <c r="CO41" s="23"/>
      <c r="CP41" s="23"/>
      <c r="CQ41" s="23"/>
      <c r="CR41" s="23"/>
      <c r="CS41" s="23"/>
      <c r="CT41" s="23"/>
      <c r="CU41" s="23"/>
      <c r="CV41" s="23"/>
      <c r="CW41" s="23"/>
      <c r="CX41" s="23"/>
      <c r="CY41" s="94"/>
      <c r="CZ41" s="94"/>
      <c r="DA41" s="94"/>
      <c r="DB41" s="94"/>
      <c r="DC41" s="23"/>
      <c r="DD41" s="37"/>
      <c r="DE41" s="37"/>
      <c r="DF41" s="37"/>
      <c r="DG41" s="37"/>
      <c r="DH41" s="37"/>
      <c r="DI41" s="37"/>
      <c r="DJ41" s="37"/>
      <c r="DK41" s="37"/>
      <c r="DL41" s="37"/>
      <c r="DM41" s="23"/>
      <c r="DN41" s="23"/>
      <c r="DO41" s="23"/>
      <c r="DP41" s="23"/>
      <c r="DQ41" s="23"/>
      <c r="DR41" s="23"/>
      <c r="DS41" s="23"/>
      <c r="DT41" s="23"/>
      <c r="DU41" s="23"/>
      <c r="DV41" s="23"/>
      <c r="DW41" s="23"/>
      <c r="DX41" s="94"/>
      <c r="DY41" s="94"/>
      <c r="DZ41" s="94"/>
      <c r="EA41" s="94"/>
      <c r="EB41" s="23"/>
      <c r="EC41" s="37"/>
      <c r="ED41" s="37"/>
      <c r="EE41" s="37"/>
      <c r="EF41" s="37"/>
      <c r="EG41" s="37"/>
      <c r="EH41" s="37"/>
      <c r="EI41" s="37"/>
      <c r="EJ41" s="37"/>
      <c r="EK41" s="37"/>
      <c r="EL41" s="23"/>
      <c r="EM41" s="23"/>
      <c r="EN41" s="23"/>
      <c r="EO41" s="23"/>
      <c r="EP41" s="23"/>
      <c r="EQ41" s="23"/>
      <c r="ER41" s="23"/>
      <c r="ES41" s="23"/>
      <c r="ET41" s="23"/>
      <c r="EU41" s="23"/>
      <c r="EV41" s="23"/>
      <c r="EW41" s="94"/>
      <c r="EX41" s="94"/>
      <c r="EY41" s="94"/>
      <c r="EZ41" s="94"/>
      <c r="FA41" s="23"/>
      <c r="FB41" s="37"/>
      <c r="FC41" s="37"/>
      <c r="FD41" s="37"/>
      <c r="FE41" s="37"/>
      <c r="FF41" s="37"/>
      <c r="FG41" s="37"/>
      <c r="FH41" s="37"/>
      <c r="FI41" s="37"/>
      <c r="FJ41" s="37"/>
      <c r="FK41" s="23"/>
      <c r="FL41" s="23"/>
      <c r="FM41" s="23"/>
      <c r="FN41" s="23"/>
      <c r="FO41" s="23"/>
      <c r="FP41" s="23"/>
      <c r="FQ41" s="23"/>
      <c r="FR41" s="23"/>
      <c r="FS41" s="23"/>
    </row>
    <row r="42" spans="1:175" ht="15" thickBot="1" x14ac:dyDescent="0.4">
      <c r="A42" s="23"/>
      <c r="B42" s="23"/>
      <c r="C42" s="95"/>
      <c r="D42" s="95"/>
      <c r="E42" s="95"/>
      <c r="F42" s="95"/>
      <c r="G42" s="23"/>
      <c r="H42" s="37"/>
      <c r="I42" s="37"/>
      <c r="J42" s="37"/>
      <c r="K42" s="37"/>
      <c r="L42" s="37"/>
      <c r="M42" s="37"/>
      <c r="N42" s="37"/>
      <c r="O42" s="37"/>
      <c r="P42" s="37"/>
      <c r="Q42" s="23"/>
      <c r="R42" s="23"/>
      <c r="S42" s="23"/>
      <c r="T42" s="23"/>
      <c r="U42" s="23"/>
      <c r="V42" s="23"/>
      <c r="W42" s="23"/>
      <c r="X42" s="23"/>
      <c r="Y42" s="23"/>
      <c r="Z42" s="23"/>
      <c r="AA42" s="23"/>
      <c r="AB42" s="95"/>
      <c r="AC42" s="95"/>
      <c r="AD42" s="95"/>
      <c r="AE42" s="95"/>
      <c r="AF42" s="23"/>
      <c r="AG42" s="37"/>
      <c r="AH42" s="37"/>
      <c r="AI42" s="37"/>
      <c r="AJ42" s="37"/>
      <c r="AK42" s="37"/>
      <c r="AL42" s="37"/>
      <c r="AM42" s="37"/>
      <c r="AN42" s="37"/>
      <c r="AO42" s="37"/>
      <c r="AP42" s="23"/>
      <c r="AQ42" s="23"/>
      <c r="AR42" s="23"/>
      <c r="AS42" s="23"/>
      <c r="AT42" s="23"/>
      <c r="AU42" s="23"/>
      <c r="AV42" s="23"/>
      <c r="AW42" s="23"/>
      <c r="AX42" s="23"/>
      <c r="AY42" s="23"/>
      <c r="AZ42" s="23"/>
      <c r="BA42" s="95"/>
      <c r="BB42" s="95"/>
      <c r="BC42" s="95"/>
      <c r="BD42" s="95"/>
      <c r="BE42" s="23"/>
      <c r="BF42" s="37"/>
      <c r="BG42" s="37"/>
      <c r="BH42" s="37"/>
      <c r="BI42" s="37"/>
      <c r="BJ42" s="37"/>
      <c r="BK42" s="37"/>
      <c r="BL42" s="37"/>
      <c r="BM42" s="37"/>
      <c r="BN42" s="37"/>
      <c r="BO42" s="23"/>
      <c r="BP42" s="23"/>
      <c r="BQ42" s="23"/>
      <c r="BR42" s="23"/>
      <c r="BS42" s="23"/>
      <c r="BT42" s="23"/>
      <c r="BU42" s="23"/>
      <c r="BV42" s="23"/>
      <c r="BW42" s="23"/>
      <c r="BX42" s="23"/>
      <c r="BY42" s="23"/>
      <c r="BZ42" s="95"/>
      <c r="CA42" s="95"/>
      <c r="CB42" s="95"/>
      <c r="CC42" s="95"/>
      <c r="CD42" s="23"/>
      <c r="CE42" s="37"/>
      <c r="CF42" s="37"/>
      <c r="CG42" s="37"/>
      <c r="CH42" s="37"/>
      <c r="CI42" s="37"/>
      <c r="CJ42" s="37"/>
      <c r="CK42" s="37"/>
      <c r="CL42" s="37"/>
      <c r="CM42" s="37"/>
      <c r="CN42" s="23"/>
      <c r="CO42" s="23"/>
      <c r="CP42" s="23"/>
      <c r="CQ42" s="23"/>
      <c r="CR42" s="23"/>
      <c r="CS42" s="23"/>
      <c r="CT42" s="23"/>
      <c r="CU42" s="23"/>
      <c r="CV42" s="23"/>
      <c r="CW42" s="23"/>
      <c r="CX42" s="23"/>
      <c r="CY42" s="95"/>
      <c r="CZ42" s="95"/>
      <c r="DA42" s="95"/>
      <c r="DB42" s="95"/>
      <c r="DC42" s="23"/>
      <c r="DD42" s="37"/>
      <c r="DE42" s="37"/>
      <c r="DF42" s="37"/>
      <c r="DG42" s="37"/>
      <c r="DH42" s="37"/>
      <c r="DI42" s="37"/>
      <c r="DJ42" s="37"/>
      <c r="DK42" s="37"/>
      <c r="DL42" s="37"/>
      <c r="DM42" s="23"/>
      <c r="DN42" s="23"/>
      <c r="DO42" s="23"/>
      <c r="DP42" s="23"/>
      <c r="DQ42" s="23"/>
      <c r="DR42" s="23"/>
      <c r="DS42" s="23"/>
      <c r="DT42" s="23"/>
      <c r="DU42" s="23"/>
      <c r="DV42" s="23"/>
      <c r="DW42" s="23"/>
      <c r="DX42" s="95"/>
      <c r="DY42" s="95"/>
      <c r="DZ42" s="95"/>
      <c r="EA42" s="95"/>
      <c r="EB42" s="23"/>
      <c r="EC42" s="37"/>
      <c r="ED42" s="37"/>
      <c r="EE42" s="37"/>
      <c r="EF42" s="37"/>
      <c r="EG42" s="37"/>
      <c r="EH42" s="37"/>
      <c r="EI42" s="37"/>
      <c r="EJ42" s="37"/>
      <c r="EK42" s="37"/>
      <c r="EL42" s="23"/>
      <c r="EM42" s="23"/>
      <c r="EN42" s="23"/>
      <c r="EO42" s="23"/>
      <c r="EP42" s="23"/>
      <c r="EQ42" s="23"/>
      <c r="ER42" s="23"/>
      <c r="ES42" s="23"/>
      <c r="ET42" s="23"/>
      <c r="EU42" s="23"/>
      <c r="EV42" s="23"/>
      <c r="EW42" s="95"/>
      <c r="EX42" s="95"/>
      <c r="EY42" s="95"/>
      <c r="EZ42" s="95"/>
      <c r="FA42" s="23"/>
      <c r="FB42" s="37"/>
      <c r="FC42" s="37"/>
      <c r="FD42" s="37"/>
      <c r="FE42" s="37"/>
      <c r="FF42" s="37"/>
      <c r="FG42" s="37"/>
      <c r="FH42" s="37"/>
      <c r="FI42" s="37"/>
      <c r="FJ42" s="37"/>
      <c r="FK42" s="23"/>
      <c r="FL42" s="23"/>
      <c r="FM42" s="23"/>
      <c r="FN42" s="23"/>
      <c r="FO42" s="23"/>
      <c r="FP42" s="23"/>
      <c r="FQ42" s="23"/>
      <c r="FR42" s="23"/>
      <c r="FS42" s="23"/>
    </row>
    <row r="43" spans="1:175" x14ac:dyDescent="0.35">
      <c r="A43" s="23"/>
      <c r="B43" s="23"/>
      <c r="C43" s="23"/>
      <c r="D43" s="23"/>
      <c r="E43" s="23"/>
      <c r="F43" s="23"/>
      <c r="G43" s="23"/>
      <c r="H43" s="37"/>
      <c r="I43" s="37"/>
      <c r="J43" s="37"/>
      <c r="K43" s="37"/>
      <c r="L43" s="37"/>
      <c r="M43" s="37"/>
      <c r="N43" s="37"/>
      <c r="O43" s="37"/>
      <c r="P43" s="37"/>
      <c r="Q43" s="23"/>
      <c r="R43" s="23"/>
      <c r="S43" s="23"/>
      <c r="T43" s="23"/>
      <c r="U43" s="23"/>
      <c r="V43" s="23"/>
      <c r="W43" s="23"/>
      <c r="X43" s="23"/>
      <c r="Y43" s="23"/>
      <c r="Z43" s="23"/>
      <c r="AA43" s="23"/>
      <c r="AB43" s="23"/>
      <c r="AC43" s="23"/>
      <c r="AD43" s="23"/>
      <c r="AE43" s="23"/>
      <c r="AF43" s="23"/>
      <c r="AG43" s="37"/>
      <c r="AH43" s="37"/>
      <c r="AI43" s="37"/>
      <c r="AJ43" s="37"/>
      <c r="AK43" s="37"/>
      <c r="AL43" s="37"/>
      <c r="AM43" s="37"/>
      <c r="AN43" s="37"/>
      <c r="AO43" s="37"/>
      <c r="AP43" s="23"/>
      <c r="AQ43" s="23"/>
      <c r="AR43" s="23"/>
      <c r="AS43" s="23"/>
      <c r="AT43" s="23"/>
      <c r="AU43" s="23"/>
      <c r="AV43" s="23"/>
      <c r="AW43" s="23"/>
      <c r="AX43" s="23"/>
      <c r="AY43" s="23"/>
      <c r="AZ43" s="23"/>
      <c r="BA43" s="23"/>
      <c r="BB43" s="23"/>
      <c r="BC43" s="23"/>
      <c r="BD43" s="23"/>
      <c r="BE43" s="23"/>
      <c r="BF43" s="37"/>
      <c r="BG43" s="37"/>
      <c r="BH43" s="37"/>
      <c r="BI43" s="37"/>
      <c r="BJ43" s="37"/>
      <c r="BK43" s="37"/>
      <c r="BL43" s="37"/>
      <c r="BM43" s="37"/>
      <c r="BN43" s="37"/>
      <c r="BO43" s="23"/>
      <c r="BP43" s="23"/>
      <c r="BQ43" s="23"/>
      <c r="BR43" s="23"/>
      <c r="BS43" s="23"/>
      <c r="BT43" s="23"/>
      <c r="BU43" s="23"/>
      <c r="BV43" s="23"/>
      <c r="BW43" s="23"/>
      <c r="BX43" s="23"/>
      <c r="BY43" s="23"/>
      <c r="BZ43" s="23"/>
      <c r="CA43" s="23"/>
      <c r="CB43" s="23"/>
      <c r="CC43" s="23"/>
      <c r="CD43" s="23"/>
      <c r="CE43" s="37"/>
      <c r="CF43" s="37"/>
      <c r="CG43" s="37"/>
      <c r="CH43" s="37"/>
      <c r="CI43" s="37"/>
      <c r="CJ43" s="37"/>
      <c r="CK43" s="37"/>
      <c r="CL43" s="37"/>
      <c r="CM43" s="37"/>
      <c r="CN43" s="23"/>
      <c r="CO43" s="23"/>
      <c r="CP43" s="23"/>
      <c r="CQ43" s="23"/>
      <c r="CR43" s="23"/>
      <c r="CS43" s="23"/>
      <c r="CT43" s="23"/>
      <c r="CU43" s="23"/>
      <c r="CV43" s="23"/>
      <c r="CW43" s="23"/>
      <c r="CX43" s="23"/>
      <c r="CY43" s="23"/>
      <c r="CZ43" s="23"/>
      <c r="DA43" s="23"/>
      <c r="DB43" s="23"/>
      <c r="DC43" s="23"/>
      <c r="DD43" s="37"/>
      <c r="DE43" s="37"/>
      <c r="DF43" s="37"/>
      <c r="DG43" s="37"/>
      <c r="DH43" s="37"/>
      <c r="DI43" s="37"/>
      <c r="DJ43" s="37"/>
      <c r="DK43" s="37"/>
      <c r="DL43" s="37"/>
      <c r="DM43" s="23"/>
      <c r="DN43" s="23"/>
      <c r="DO43" s="23"/>
      <c r="DP43" s="23"/>
      <c r="DQ43" s="23"/>
      <c r="DR43" s="23"/>
      <c r="DS43" s="23"/>
      <c r="DT43" s="23"/>
      <c r="DU43" s="23"/>
      <c r="DV43" s="23"/>
      <c r="DW43" s="23"/>
      <c r="DX43" s="23"/>
      <c r="DY43" s="23"/>
      <c r="DZ43" s="23"/>
      <c r="EA43" s="23"/>
      <c r="EB43" s="23"/>
      <c r="EC43" s="37"/>
      <c r="ED43" s="37"/>
      <c r="EE43" s="37"/>
      <c r="EF43" s="37"/>
      <c r="EG43" s="37"/>
      <c r="EH43" s="37"/>
      <c r="EI43" s="37"/>
      <c r="EJ43" s="37"/>
      <c r="EK43" s="37"/>
      <c r="EL43" s="23"/>
      <c r="EM43" s="23"/>
      <c r="EN43" s="23"/>
      <c r="EO43" s="23"/>
      <c r="EP43" s="23"/>
      <c r="EQ43" s="23"/>
      <c r="ER43" s="23"/>
      <c r="ES43" s="23"/>
      <c r="ET43" s="23"/>
      <c r="EU43" s="23"/>
      <c r="EV43" s="23"/>
      <c r="EW43" s="23"/>
      <c r="EX43" s="23"/>
      <c r="EY43" s="23"/>
      <c r="EZ43" s="23"/>
      <c r="FA43" s="23"/>
      <c r="FB43" s="37"/>
      <c r="FC43" s="37"/>
      <c r="FD43" s="37"/>
      <c r="FE43" s="37"/>
      <c r="FF43" s="37"/>
      <c r="FG43" s="37"/>
      <c r="FH43" s="37"/>
      <c r="FI43" s="37"/>
      <c r="FJ43" s="37"/>
      <c r="FK43" s="23"/>
      <c r="FL43" s="23"/>
      <c r="FM43" s="23"/>
      <c r="FN43" s="23"/>
      <c r="FO43" s="23"/>
      <c r="FP43" s="23"/>
      <c r="FQ43" s="23"/>
      <c r="FR43" s="23"/>
      <c r="FS43" s="23"/>
    </row>
    <row r="44" spans="1:175" x14ac:dyDescent="0.35">
      <c r="A44" s="23"/>
      <c r="B44" s="23"/>
      <c r="C44" s="23"/>
      <c r="D44" s="23"/>
      <c r="E44" s="23"/>
      <c r="F44" s="23"/>
      <c r="G44" s="23"/>
      <c r="H44" s="37"/>
      <c r="I44" s="37"/>
      <c r="J44" s="37"/>
      <c r="K44" s="37"/>
      <c r="L44" s="37"/>
      <c r="M44" s="37"/>
      <c r="N44" s="37"/>
      <c r="O44" s="37"/>
      <c r="P44" s="37"/>
      <c r="Q44" s="23"/>
      <c r="R44" s="23"/>
      <c r="S44" s="23"/>
      <c r="T44" s="23"/>
      <c r="U44" s="23"/>
      <c r="V44" s="23"/>
      <c r="W44" s="23"/>
      <c r="X44" s="23"/>
      <c r="Y44" s="23"/>
      <c r="Z44" s="23"/>
      <c r="AA44" s="23"/>
      <c r="AB44" s="23"/>
      <c r="AC44" s="23"/>
      <c r="AD44" s="23"/>
      <c r="AE44" s="23"/>
      <c r="AF44" s="23"/>
      <c r="AG44" s="37"/>
      <c r="AH44" s="37"/>
      <c r="AI44" s="37"/>
      <c r="AJ44" s="37"/>
      <c r="AK44" s="37"/>
      <c r="AL44" s="37"/>
      <c r="AM44" s="37"/>
      <c r="AN44" s="37"/>
      <c r="AO44" s="37"/>
      <c r="AP44" s="23"/>
      <c r="AQ44" s="23"/>
      <c r="AR44" s="23"/>
      <c r="AS44" s="23"/>
      <c r="AT44" s="23"/>
      <c r="AU44" s="23"/>
      <c r="AV44" s="23"/>
      <c r="AW44" s="23"/>
      <c r="AX44" s="23"/>
      <c r="AY44" s="23"/>
      <c r="AZ44" s="23"/>
      <c r="BA44" s="23"/>
      <c r="BB44" s="23"/>
      <c r="BC44" s="23"/>
      <c r="BD44" s="23"/>
      <c r="BE44" s="23"/>
      <c r="BF44" s="37"/>
      <c r="BG44" s="37"/>
      <c r="BH44" s="37"/>
      <c r="BI44" s="37"/>
      <c r="BJ44" s="37"/>
      <c r="BK44" s="37"/>
      <c r="BL44" s="37"/>
      <c r="BM44" s="37"/>
      <c r="BN44" s="37"/>
      <c r="BO44" s="23"/>
      <c r="BP44" s="23"/>
      <c r="BQ44" s="23"/>
      <c r="BR44" s="23"/>
      <c r="BS44" s="23"/>
      <c r="BT44" s="23"/>
      <c r="BU44" s="23"/>
      <c r="BV44" s="23"/>
      <c r="BW44" s="23"/>
      <c r="BX44" s="23"/>
      <c r="BY44" s="23"/>
      <c r="BZ44" s="23"/>
      <c r="CA44" s="23"/>
      <c r="CB44" s="23"/>
      <c r="CC44" s="23"/>
      <c r="CD44" s="23"/>
      <c r="CE44" s="37"/>
      <c r="CF44" s="37"/>
      <c r="CG44" s="37"/>
      <c r="CH44" s="37"/>
      <c r="CI44" s="37"/>
      <c r="CJ44" s="37"/>
      <c r="CK44" s="37"/>
      <c r="CL44" s="37"/>
      <c r="CM44" s="37"/>
      <c r="CN44" s="23"/>
      <c r="CO44" s="23"/>
      <c r="CP44" s="23"/>
      <c r="CQ44" s="23"/>
      <c r="CR44" s="23"/>
      <c r="CS44" s="23"/>
      <c r="CT44" s="23"/>
      <c r="CU44" s="23"/>
      <c r="CV44" s="23"/>
      <c r="CW44" s="23"/>
      <c r="CX44" s="23"/>
      <c r="CY44" s="23"/>
      <c r="CZ44" s="23"/>
      <c r="DA44" s="23"/>
      <c r="DB44" s="23"/>
      <c r="DC44" s="23"/>
      <c r="DD44" s="37"/>
      <c r="DE44" s="37"/>
      <c r="DF44" s="37"/>
      <c r="DG44" s="37"/>
      <c r="DH44" s="37"/>
      <c r="DI44" s="37"/>
      <c r="DJ44" s="37"/>
      <c r="DK44" s="37"/>
      <c r="DL44" s="37"/>
      <c r="DM44" s="23"/>
      <c r="DN44" s="23"/>
      <c r="DO44" s="23"/>
      <c r="DP44" s="23"/>
      <c r="DQ44" s="23"/>
      <c r="DR44" s="23"/>
      <c r="DS44" s="23"/>
      <c r="DT44" s="23"/>
      <c r="DU44" s="23"/>
      <c r="DV44" s="23"/>
      <c r="DW44" s="23"/>
      <c r="DX44" s="23"/>
      <c r="DY44" s="23"/>
      <c r="DZ44" s="23"/>
      <c r="EA44" s="23"/>
      <c r="EB44" s="23"/>
      <c r="EC44" s="37"/>
      <c r="ED44" s="37"/>
      <c r="EE44" s="37"/>
      <c r="EF44" s="37"/>
      <c r="EG44" s="37"/>
      <c r="EH44" s="37"/>
      <c r="EI44" s="37"/>
      <c r="EJ44" s="37"/>
      <c r="EK44" s="37"/>
      <c r="EL44" s="23"/>
      <c r="EM44" s="23"/>
      <c r="EN44" s="23"/>
      <c r="EO44" s="23"/>
      <c r="EP44" s="23"/>
      <c r="EQ44" s="23"/>
      <c r="ER44" s="23"/>
      <c r="ES44" s="23"/>
      <c r="ET44" s="23"/>
      <c r="EU44" s="23"/>
      <c r="EV44" s="23"/>
      <c r="EW44" s="23"/>
      <c r="EX44" s="23"/>
      <c r="EY44" s="23"/>
      <c r="EZ44" s="23"/>
      <c r="FA44" s="23"/>
      <c r="FB44" s="37"/>
      <c r="FC44" s="37"/>
      <c r="FD44" s="37"/>
      <c r="FE44" s="37"/>
      <c r="FF44" s="37"/>
      <c r="FG44" s="37"/>
      <c r="FH44" s="37"/>
      <c r="FI44" s="37"/>
      <c r="FJ44" s="37"/>
      <c r="FK44" s="23"/>
      <c r="FL44" s="23"/>
      <c r="FM44" s="23"/>
      <c r="FN44" s="23"/>
      <c r="FO44" s="23"/>
      <c r="FP44" s="23"/>
      <c r="FQ44" s="23"/>
      <c r="FR44" s="23"/>
      <c r="FS44" s="23"/>
    </row>
    <row r="45" spans="1:175" x14ac:dyDescent="0.35">
      <c r="A45" s="23"/>
      <c r="B45" s="23"/>
      <c r="C45" s="23"/>
      <c r="D45" s="23"/>
      <c r="E45" s="23"/>
      <c r="F45" s="23"/>
      <c r="G45" s="23"/>
      <c r="H45" s="37"/>
      <c r="I45" s="37"/>
      <c r="J45" s="37"/>
      <c r="K45" s="37"/>
      <c r="L45" s="37"/>
      <c r="M45" s="37"/>
      <c r="N45" s="37"/>
      <c r="O45" s="37"/>
      <c r="P45" s="37"/>
      <c r="Q45" s="23"/>
      <c r="R45" s="23"/>
      <c r="S45" s="23"/>
      <c r="T45" s="23"/>
      <c r="U45" s="23"/>
      <c r="V45" s="23"/>
      <c r="W45" s="23"/>
      <c r="X45" s="23"/>
      <c r="Y45" s="23"/>
      <c r="Z45" s="23"/>
      <c r="AA45" s="23"/>
      <c r="AB45" s="23"/>
      <c r="AC45" s="23"/>
      <c r="AD45" s="23"/>
      <c r="AE45" s="23"/>
      <c r="AF45" s="23"/>
      <c r="AG45" s="37"/>
      <c r="AH45" s="37"/>
      <c r="AI45" s="37"/>
      <c r="AJ45" s="37"/>
      <c r="AK45" s="37"/>
      <c r="AL45" s="37"/>
      <c r="AM45" s="37"/>
      <c r="AN45" s="37"/>
      <c r="AO45" s="37"/>
      <c r="AP45" s="23"/>
      <c r="AQ45" s="23"/>
      <c r="AR45" s="23"/>
      <c r="AS45" s="23"/>
      <c r="AT45" s="23"/>
      <c r="AU45" s="23"/>
      <c r="AV45" s="23"/>
      <c r="AW45" s="23"/>
      <c r="AX45" s="23"/>
      <c r="AY45" s="23"/>
      <c r="AZ45" s="23"/>
      <c r="BA45" s="23"/>
      <c r="BB45" s="23"/>
      <c r="BC45" s="23"/>
      <c r="BD45" s="23"/>
      <c r="BE45" s="23"/>
      <c r="BF45" s="37"/>
      <c r="BG45" s="37"/>
      <c r="BH45" s="37"/>
      <c r="BI45" s="37"/>
      <c r="BJ45" s="37"/>
      <c r="BK45" s="37"/>
      <c r="BL45" s="37"/>
      <c r="BM45" s="37"/>
      <c r="BN45" s="37"/>
      <c r="BO45" s="23"/>
      <c r="BP45" s="23"/>
      <c r="BQ45" s="23"/>
      <c r="BR45" s="23"/>
      <c r="BS45" s="23"/>
      <c r="BT45" s="23"/>
      <c r="BU45" s="23"/>
      <c r="BV45" s="23"/>
      <c r="BW45" s="23"/>
      <c r="BX45" s="23"/>
      <c r="BY45" s="23"/>
      <c r="BZ45" s="23"/>
      <c r="CA45" s="23"/>
      <c r="CB45" s="23"/>
      <c r="CC45" s="23"/>
      <c r="CD45" s="23"/>
      <c r="CE45" s="37"/>
      <c r="CF45" s="37"/>
      <c r="CG45" s="37"/>
      <c r="CH45" s="37"/>
      <c r="CI45" s="37"/>
      <c r="CJ45" s="37"/>
      <c r="CK45" s="37"/>
      <c r="CL45" s="37"/>
      <c r="CM45" s="37"/>
      <c r="CN45" s="23"/>
      <c r="CO45" s="23"/>
      <c r="CP45" s="23"/>
      <c r="CQ45" s="23"/>
      <c r="CR45" s="23"/>
      <c r="CS45" s="23"/>
      <c r="CT45" s="23"/>
      <c r="CU45" s="23"/>
      <c r="CV45" s="23"/>
      <c r="CW45" s="23"/>
      <c r="CX45" s="23"/>
      <c r="CY45" s="23"/>
      <c r="CZ45" s="23"/>
      <c r="DA45" s="23"/>
      <c r="DB45" s="23"/>
      <c r="DC45" s="23"/>
      <c r="DD45" s="37"/>
      <c r="DE45" s="37"/>
      <c r="DF45" s="37"/>
      <c r="DG45" s="37"/>
      <c r="DH45" s="37"/>
      <c r="DI45" s="37"/>
      <c r="DJ45" s="37"/>
      <c r="DK45" s="37"/>
      <c r="DL45" s="37"/>
      <c r="DM45" s="23"/>
      <c r="DN45" s="23"/>
      <c r="DO45" s="23"/>
      <c r="DP45" s="23"/>
      <c r="DQ45" s="23"/>
      <c r="DR45" s="23"/>
      <c r="DS45" s="23"/>
      <c r="DT45" s="23"/>
      <c r="DU45" s="23"/>
      <c r="DV45" s="23"/>
      <c r="DW45" s="23"/>
      <c r="DX45" s="23"/>
      <c r="DY45" s="23"/>
      <c r="DZ45" s="23"/>
      <c r="EA45" s="23"/>
      <c r="EB45" s="23"/>
      <c r="EC45" s="37"/>
      <c r="ED45" s="37"/>
      <c r="EE45" s="37"/>
      <c r="EF45" s="37"/>
      <c r="EG45" s="37"/>
      <c r="EH45" s="37"/>
      <c r="EI45" s="37"/>
      <c r="EJ45" s="37"/>
      <c r="EK45" s="37"/>
      <c r="EL45" s="23"/>
      <c r="EM45" s="23"/>
      <c r="EN45" s="23"/>
      <c r="EO45" s="23"/>
      <c r="EP45" s="23"/>
      <c r="EQ45" s="23"/>
      <c r="ER45" s="23"/>
      <c r="ES45" s="23"/>
      <c r="ET45" s="23"/>
      <c r="EU45" s="23"/>
      <c r="EV45" s="23"/>
      <c r="EW45" s="23"/>
      <c r="EX45" s="23"/>
      <c r="EY45" s="23"/>
      <c r="EZ45" s="23"/>
      <c r="FA45" s="23"/>
      <c r="FB45" s="37"/>
      <c r="FC45" s="37"/>
      <c r="FD45" s="37"/>
      <c r="FE45" s="37"/>
      <c r="FF45" s="37"/>
      <c r="FG45" s="37"/>
      <c r="FH45" s="37"/>
      <c r="FI45" s="37"/>
      <c r="FJ45" s="37"/>
      <c r="FK45" s="23"/>
      <c r="FL45" s="23"/>
      <c r="FM45" s="23"/>
      <c r="FN45" s="23"/>
      <c r="FO45" s="23"/>
      <c r="FP45" s="23"/>
      <c r="FQ45" s="23"/>
      <c r="FR45" s="23"/>
      <c r="FS45" s="23"/>
    </row>
    <row r="46" spans="1:175" x14ac:dyDescent="0.35">
      <c r="A46" s="23"/>
      <c r="B46" s="23"/>
      <c r="C46" s="23"/>
      <c r="D46" s="23"/>
      <c r="E46" s="23"/>
      <c r="F46" s="23"/>
      <c r="G46" s="23"/>
      <c r="H46" s="37"/>
      <c r="I46" s="37"/>
      <c r="J46" s="37"/>
      <c r="K46" s="37"/>
      <c r="L46" s="37"/>
      <c r="M46" s="37"/>
      <c r="N46" s="37"/>
      <c r="O46" s="37"/>
      <c r="P46" s="37"/>
      <c r="Q46" s="23"/>
      <c r="R46" s="23"/>
      <c r="S46" s="23"/>
      <c r="T46" s="23"/>
      <c r="U46" s="23"/>
      <c r="V46" s="23"/>
      <c r="W46" s="23"/>
      <c r="X46" s="23"/>
      <c r="Y46" s="23"/>
      <c r="Z46" s="23"/>
      <c r="AA46" s="23"/>
      <c r="AB46" s="23"/>
      <c r="AC46" s="23"/>
      <c r="AD46" s="23"/>
      <c r="AE46" s="23"/>
      <c r="AF46" s="23"/>
      <c r="AG46" s="37"/>
      <c r="AH46" s="37"/>
      <c r="AI46" s="37"/>
      <c r="AJ46" s="37"/>
      <c r="AK46" s="37"/>
      <c r="AL46" s="37"/>
      <c r="AM46" s="37"/>
      <c r="AN46" s="37"/>
      <c r="AO46" s="37"/>
      <c r="AP46" s="23"/>
      <c r="AQ46" s="23"/>
      <c r="AR46" s="23"/>
      <c r="AS46" s="23"/>
      <c r="AT46" s="23"/>
      <c r="AU46" s="23"/>
      <c r="AV46" s="23"/>
      <c r="AW46" s="23"/>
      <c r="AX46" s="23"/>
      <c r="AY46" s="23"/>
      <c r="AZ46" s="23"/>
      <c r="BA46" s="23"/>
      <c r="BB46" s="23"/>
      <c r="BC46" s="23"/>
      <c r="BD46" s="23"/>
      <c r="BE46" s="23"/>
      <c r="BF46" s="37"/>
      <c r="BG46" s="37"/>
      <c r="BH46" s="37"/>
      <c r="BI46" s="37"/>
      <c r="BJ46" s="37"/>
      <c r="BK46" s="37"/>
      <c r="BL46" s="37"/>
      <c r="BM46" s="37"/>
      <c r="BN46" s="37"/>
      <c r="BO46" s="23"/>
      <c r="BP46" s="23"/>
      <c r="BQ46" s="23"/>
      <c r="BR46" s="23"/>
      <c r="BS46" s="23"/>
      <c r="BT46" s="23"/>
      <c r="BU46" s="23"/>
      <c r="BV46" s="23"/>
      <c r="BW46" s="23"/>
      <c r="BX46" s="23"/>
      <c r="BY46" s="23"/>
      <c r="BZ46" s="23"/>
      <c r="CA46" s="23"/>
      <c r="CB46" s="23"/>
      <c r="CC46" s="23"/>
      <c r="CD46" s="23"/>
      <c r="CE46" s="37"/>
      <c r="CF46" s="37"/>
      <c r="CG46" s="37"/>
      <c r="CH46" s="37"/>
      <c r="CI46" s="37"/>
      <c r="CJ46" s="37"/>
      <c r="CK46" s="37"/>
      <c r="CL46" s="37"/>
      <c r="CM46" s="37"/>
      <c r="CN46" s="23"/>
      <c r="CO46" s="23"/>
      <c r="CP46" s="23"/>
      <c r="CQ46" s="23"/>
      <c r="CR46" s="23"/>
      <c r="CS46" s="23"/>
      <c r="CT46" s="23"/>
      <c r="CU46" s="23"/>
      <c r="CV46" s="23"/>
      <c r="CW46" s="23"/>
      <c r="CX46" s="23"/>
      <c r="CY46" s="23"/>
      <c r="CZ46" s="23"/>
      <c r="DA46" s="23"/>
      <c r="DB46" s="23"/>
      <c r="DC46" s="23"/>
      <c r="DD46" s="37"/>
      <c r="DE46" s="37"/>
      <c r="DF46" s="37"/>
      <c r="DG46" s="37"/>
      <c r="DH46" s="37"/>
      <c r="DI46" s="37"/>
      <c r="DJ46" s="37"/>
      <c r="DK46" s="37"/>
      <c r="DL46" s="37"/>
      <c r="DM46" s="23"/>
      <c r="DN46" s="23"/>
      <c r="DO46" s="23"/>
      <c r="DP46" s="23"/>
      <c r="DQ46" s="23"/>
      <c r="DR46" s="23"/>
      <c r="DS46" s="23"/>
      <c r="DT46" s="23"/>
      <c r="DU46" s="23"/>
      <c r="DV46" s="23"/>
      <c r="DW46" s="23"/>
      <c r="DX46" s="23"/>
      <c r="DY46" s="23"/>
      <c r="DZ46" s="23"/>
      <c r="EA46" s="23"/>
      <c r="EB46" s="23"/>
      <c r="EC46" s="37"/>
      <c r="ED46" s="37"/>
      <c r="EE46" s="37"/>
      <c r="EF46" s="37"/>
      <c r="EG46" s="37"/>
      <c r="EH46" s="37"/>
      <c r="EI46" s="37"/>
      <c r="EJ46" s="37"/>
      <c r="EK46" s="37"/>
      <c r="EL46" s="23"/>
      <c r="EM46" s="23"/>
      <c r="EN46" s="23"/>
      <c r="EO46" s="23"/>
      <c r="EP46" s="23"/>
      <c r="EQ46" s="23"/>
      <c r="ER46" s="23"/>
      <c r="ES46" s="23"/>
      <c r="ET46" s="23"/>
      <c r="EU46" s="23"/>
      <c r="EV46" s="23"/>
      <c r="EW46" s="23"/>
      <c r="EX46" s="23"/>
      <c r="EY46" s="23"/>
      <c r="EZ46" s="23"/>
      <c r="FA46" s="23"/>
      <c r="FB46" s="37"/>
      <c r="FC46" s="37"/>
      <c r="FD46" s="37"/>
      <c r="FE46" s="37"/>
      <c r="FF46" s="37"/>
      <c r="FG46" s="37"/>
      <c r="FH46" s="37"/>
      <c r="FI46" s="37"/>
      <c r="FJ46" s="37"/>
      <c r="FK46" s="23"/>
      <c r="FL46" s="23"/>
      <c r="FM46" s="23"/>
      <c r="FN46" s="23"/>
      <c r="FO46" s="23"/>
      <c r="FP46" s="23"/>
      <c r="FQ46" s="23"/>
      <c r="FR46" s="23"/>
      <c r="FS46" s="23"/>
    </row>
    <row r="47" spans="1:175" x14ac:dyDescent="0.35">
      <c r="A47" s="23"/>
      <c r="B47" s="23"/>
      <c r="C47" s="23"/>
      <c r="D47" s="23"/>
      <c r="E47" s="23"/>
      <c r="F47" s="23"/>
      <c r="G47" s="23"/>
      <c r="H47" s="37"/>
      <c r="I47" s="37"/>
      <c r="J47" s="37"/>
      <c r="K47" s="37"/>
      <c r="L47" s="37"/>
      <c r="M47" s="37"/>
      <c r="N47" s="37"/>
      <c r="O47" s="37"/>
      <c r="P47" s="37"/>
      <c r="Q47" s="23"/>
      <c r="R47" s="23"/>
      <c r="S47" s="23"/>
      <c r="T47" s="23"/>
      <c r="U47" s="23"/>
      <c r="V47" s="23"/>
      <c r="W47" s="23"/>
      <c r="X47" s="23"/>
      <c r="Y47" s="23"/>
      <c r="Z47" s="23"/>
      <c r="AA47" s="23"/>
      <c r="AB47" s="23"/>
      <c r="AC47" s="23"/>
      <c r="AD47" s="23"/>
      <c r="AE47" s="23"/>
      <c r="AF47" s="23"/>
      <c r="AG47" s="37"/>
      <c r="AH47" s="37"/>
      <c r="AI47" s="37"/>
      <c r="AJ47" s="37"/>
      <c r="AK47" s="37"/>
      <c r="AL47" s="37"/>
      <c r="AM47" s="37"/>
      <c r="AN47" s="37"/>
      <c r="AO47" s="37"/>
      <c r="AP47" s="23"/>
      <c r="AQ47" s="23"/>
      <c r="AR47" s="23"/>
      <c r="AS47" s="23"/>
      <c r="AT47" s="23"/>
      <c r="AU47" s="23"/>
      <c r="AV47" s="23"/>
      <c r="AW47" s="23"/>
      <c r="AX47" s="23"/>
      <c r="AY47" s="23"/>
      <c r="AZ47" s="23"/>
      <c r="BA47" s="23"/>
      <c r="BB47" s="23"/>
      <c r="BC47" s="23"/>
      <c r="BD47" s="23"/>
      <c r="BE47" s="23"/>
      <c r="BF47" s="37"/>
      <c r="BG47" s="37"/>
      <c r="BH47" s="37"/>
      <c r="BI47" s="37"/>
      <c r="BJ47" s="37"/>
      <c r="BK47" s="37"/>
      <c r="BL47" s="37"/>
      <c r="BM47" s="37"/>
      <c r="BN47" s="37"/>
      <c r="BO47" s="23"/>
      <c r="BP47" s="23"/>
      <c r="BQ47" s="23"/>
      <c r="BR47" s="23"/>
      <c r="BS47" s="23"/>
      <c r="BT47" s="23"/>
      <c r="BU47" s="23"/>
      <c r="BV47" s="23"/>
      <c r="BW47" s="23"/>
      <c r="BX47" s="23"/>
      <c r="BY47" s="23"/>
      <c r="BZ47" s="23"/>
      <c r="CA47" s="23"/>
      <c r="CB47" s="23"/>
      <c r="CC47" s="23"/>
      <c r="CD47" s="23"/>
      <c r="CE47" s="37"/>
      <c r="CF47" s="37"/>
      <c r="CG47" s="37"/>
      <c r="CH47" s="37"/>
      <c r="CI47" s="37"/>
      <c r="CJ47" s="37"/>
      <c r="CK47" s="37"/>
      <c r="CL47" s="37"/>
      <c r="CM47" s="37"/>
      <c r="CN47" s="23"/>
      <c r="CO47" s="23"/>
      <c r="CP47" s="23"/>
      <c r="CQ47" s="23"/>
      <c r="CR47" s="23"/>
      <c r="CS47" s="23"/>
      <c r="CT47" s="23"/>
      <c r="CU47" s="23"/>
      <c r="CV47" s="23"/>
      <c r="CW47" s="23"/>
      <c r="CX47" s="23"/>
      <c r="CY47" s="23"/>
      <c r="CZ47" s="23"/>
      <c r="DA47" s="23"/>
      <c r="DB47" s="23"/>
      <c r="DC47" s="23"/>
      <c r="DD47" s="37"/>
      <c r="DE47" s="37"/>
      <c r="DF47" s="37"/>
      <c r="DG47" s="37"/>
      <c r="DH47" s="37"/>
      <c r="DI47" s="37"/>
      <c r="DJ47" s="37"/>
      <c r="DK47" s="37"/>
      <c r="DL47" s="37"/>
      <c r="DM47" s="23"/>
      <c r="DN47" s="23"/>
      <c r="DO47" s="23"/>
      <c r="DP47" s="23"/>
      <c r="DQ47" s="23"/>
      <c r="DR47" s="23"/>
      <c r="DS47" s="23"/>
      <c r="DT47" s="23"/>
      <c r="DU47" s="23"/>
      <c r="DV47" s="23"/>
      <c r="DW47" s="23"/>
      <c r="DX47" s="23"/>
      <c r="DY47" s="23"/>
      <c r="DZ47" s="23"/>
      <c r="EA47" s="23"/>
      <c r="EB47" s="23"/>
      <c r="EC47" s="37"/>
      <c r="ED47" s="37"/>
      <c r="EE47" s="37"/>
      <c r="EF47" s="37"/>
      <c r="EG47" s="37"/>
      <c r="EH47" s="37"/>
      <c r="EI47" s="37"/>
      <c r="EJ47" s="37"/>
      <c r="EK47" s="37"/>
      <c r="EL47" s="23"/>
      <c r="EM47" s="23"/>
      <c r="EN47" s="23"/>
      <c r="EO47" s="23"/>
      <c r="EP47" s="23"/>
      <c r="EQ47" s="23"/>
      <c r="ER47" s="23"/>
      <c r="ES47" s="23"/>
      <c r="ET47" s="23"/>
      <c r="EU47" s="23"/>
      <c r="EV47" s="23"/>
      <c r="EW47" s="23"/>
      <c r="EX47" s="23"/>
      <c r="EY47" s="23"/>
      <c r="EZ47" s="23"/>
      <c r="FA47" s="23"/>
      <c r="FB47" s="37"/>
      <c r="FC47" s="37"/>
      <c r="FD47" s="37"/>
      <c r="FE47" s="37"/>
      <c r="FF47" s="37"/>
      <c r="FG47" s="37"/>
      <c r="FH47" s="37"/>
      <c r="FI47" s="37"/>
      <c r="FJ47" s="37"/>
      <c r="FK47" s="23"/>
      <c r="FL47" s="23"/>
      <c r="FM47" s="23"/>
      <c r="FN47" s="23"/>
      <c r="FO47" s="23"/>
      <c r="FP47" s="23"/>
      <c r="FQ47" s="23"/>
      <c r="FR47" s="23"/>
      <c r="FS47" s="23"/>
    </row>
    <row r="48" spans="1:175" x14ac:dyDescent="0.35">
      <c r="A48" s="23"/>
      <c r="B48" s="23"/>
      <c r="C48" s="23"/>
      <c r="D48" s="23"/>
      <c r="E48" s="23"/>
      <c r="F48" s="23"/>
      <c r="G48" s="23"/>
      <c r="H48" s="37"/>
      <c r="I48" s="37"/>
      <c r="J48" s="37"/>
      <c r="K48" s="37"/>
      <c r="L48" s="37"/>
      <c r="M48" s="37"/>
      <c r="N48" s="37"/>
      <c r="O48" s="37"/>
      <c r="P48" s="37"/>
      <c r="Q48" s="23"/>
      <c r="R48" s="23"/>
      <c r="S48" s="23"/>
      <c r="T48" s="23"/>
      <c r="U48" s="23"/>
      <c r="V48" s="23"/>
      <c r="W48" s="23"/>
      <c r="X48" s="23"/>
      <c r="Y48" s="23"/>
      <c r="Z48" s="23"/>
      <c r="AA48" s="23"/>
      <c r="AB48" s="23"/>
      <c r="AC48" s="23"/>
      <c r="AD48" s="23"/>
      <c r="AE48" s="23"/>
      <c r="AF48" s="23"/>
      <c r="AG48" s="37"/>
      <c r="AH48" s="37"/>
      <c r="AI48" s="37"/>
      <c r="AJ48" s="37"/>
      <c r="AK48" s="37"/>
      <c r="AL48" s="37"/>
      <c r="AM48" s="37"/>
      <c r="AN48" s="37"/>
      <c r="AO48" s="37"/>
      <c r="AP48" s="23"/>
      <c r="AQ48" s="23"/>
      <c r="AR48" s="23"/>
      <c r="AS48" s="23"/>
      <c r="AT48" s="23"/>
      <c r="AU48" s="23"/>
      <c r="AV48" s="23"/>
      <c r="AW48" s="23"/>
      <c r="AX48" s="23"/>
      <c r="AY48" s="23"/>
      <c r="AZ48" s="23"/>
      <c r="BA48" s="23"/>
      <c r="BB48" s="23"/>
      <c r="BC48" s="23"/>
      <c r="BD48" s="23"/>
      <c r="BE48" s="23"/>
      <c r="BF48" s="37"/>
      <c r="BG48" s="37"/>
      <c r="BH48" s="37"/>
      <c r="BI48" s="37"/>
      <c r="BJ48" s="37"/>
      <c r="BK48" s="37"/>
      <c r="BL48" s="37"/>
      <c r="BM48" s="37"/>
      <c r="BN48" s="37"/>
      <c r="BO48" s="23"/>
      <c r="BP48" s="23"/>
      <c r="BQ48" s="23"/>
      <c r="BR48" s="23"/>
      <c r="BS48" s="23"/>
      <c r="BT48" s="23"/>
      <c r="BU48" s="23"/>
      <c r="BV48" s="23"/>
      <c r="BW48" s="23"/>
      <c r="BX48" s="23"/>
      <c r="BY48" s="23"/>
      <c r="BZ48" s="23"/>
      <c r="CA48" s="23"/>
      <c r="CB48" s="23"/>
      <c r="CC48" s="23"/>
      <c r="CD48" s="23"/>
      <c r="CE48" s="37"/>
      <c r="CF48" s="37"/>
      <c r="CG48" s="37"/>
      <c r="CH48" s="37"/>
      <c r="CI48" s="37"/>
      <c r="CJ48" s="37"/>
      <c r="CK48" s="37"/>
      <c r="CL48" s="37"/>
      <c r="CM48" s="37"/>
      <c r="CN48" s="23"/>
      <c r="CO48" s="23"/>
      <c r="CP48" s="23"/>
      <c r="CQ48" s="23"/>
      <c r="CR48" s="23"/>
      <c r="CS48" s="23"/>
      <c r="CT48" s="23"/>
      <c r="CU48" s="23"/>
      <c r="CV48" s="23"/>
      <c r="CW48" s="23"/>
      <c r="CX48" s="23"/>
      <c r="CY48" s="23"/>
      <c r="CZ48" s="23"/>
      <c r="DA48" s="23"/>
      <c r="DB48" s="23"/>
      <c r="DC48" s="23"/>
      <c r="DD48" s="37"/>
      <c r="DE48" s="37"/>
      <c r="DF48" s="37"/>
      <c r="DG48" s="37"/>
      <c r="DH48" s="37"/>
      <c r="DI48" s="37"/>
      <c r="DJ48" s="37"/>
      <c r="DK48" s="37"/>
      <c r="DL48" s="37"/>
      <c r="DM48" s="23"/>
      <c r="DN48" s="23"/>
      <c r="DO48" s="23"/>
      <c r="DP48" s="23"/>
      <c r="DQ48" s="23"/>
      <c r="DR48" s="23"/>
      <c r="DS48" s="23"/>
      <c r="DT48" s="23"/>
      <c r="DU48" s="23"/>
      <c r="DV48" s="23"/>
      <c r="DW48" s="23"/>
      <c r="DX48" s="23"/>
      <c r="DY48" s="23"/>
      <c r="DZ48" s="23"/>
      <c r="EA48" s="23"/>
      <c r="EB48" s="23"/>
      <c r="EC48" s="37"/>
      <c r="ED48" s="37"/>
      <c r="EE48" s="37"/>
      <c r="EF48" s="37"/>
      <c r="EG48" s="37"/>
      <c r="EH48" s="37"/>
      <c r="EI48" s="37"/>
      <c r="EJ48" s="37"/>
      <c r="EK48" s="37"/>
      <c r="EL48" s="23"/>
      <c r="EM48" s="23"/>
      <c r="EN48" s="23"/>
      <c r="EO48" s="23"/>
      <c r="EP48" s="23"/>
      <c r="EQ48" s="23"/>
      <c r="ER48" s="23"/>
      <c r="ES48" s="23"/>
      <c r="ET48" s="23"/>
      <c r="EU48" s="23"/>
      <c r="EV48" s="23"/>
      <c r="EW48" s="23"/>
      <c r="EX48" s="23"/>
      <c r="EY48" s="23"/>
      <c r="EZ48" s="23"/>
      <c r="FA48" s="23"/>
      <c r="FB48" s="37"/>
      <c r="FC48" s="37"/>
      <c r="FD48" s="37"/>
      <c r="FE48" s="37"/>
      <c r="FF48" s="37"/>
      <c r="FG48" s="37"/>
      <c r="FH48" s="37"/>
      <c r="FI48" s="37"/>
      <c r="FJ48" s="37"/>
      <c r="FK48" s="23"/>
      <c r="FL48" s="23"/>
      <c r="FM48" s="23"/>
      <c r="FN48" s="23"/>
      <c r="FO48" s="23"/>
      <c r="FP48" s="23"/>
      <c r="FQ48" s="23"/>
      <c r="FR48" s="23"/>
      <c r="FS48" s="23"/>
    </row>
    <row r="49" spans="1:185" ht="15" thickBot="1" x14ac:dyDescent="0.4">
      <c r="A49" s="23"/>
      <c r="B49" s="23"/>
      <c r="C49" s="23"/>
      <c r="D49" s="23"/>
      <c r="E49" s="23"/>
      <c r="F49" s="23"/>
      <c r="G49" s="23"/>
      <c r="H49" s="37"/>
      <c r="I49" s="37"/>
      <c r="J49" s="37"/>
      <c r="K49" s="37"/>
      <c r="L49" s="37"/>
      <c r="M49" s="37"/>
      <c r="N49" s="37"/>
      <c r="O49" s="23"/>
      <c r="P49" s="23"/>
      <c r="Q49" s="23"/>
      <c r="R49" s="23"/>
      <c r="S49" s="23"/>
      <c r="T49" s="23"/>
      <c r="U49" s="23"/>
      <c r="V49" s="23"/>
      <c r="W49" s="23"/>
      <c r="X49" s="23"/>
      <c r="Y49" s="23"/>
      <c r="Z49" s="23"/>
      <c r="AA49" s="23"/>
      <c r="AB49" s="23"/>
      <c r="AC49" s="23"/>
      <c r="AD49" s="23"/>
      <c r="AE49" s="23"/>
      <c r="AF49" s="23"/>
      <c r="AG49" s="37"/>
      <c r="AH49" s="37"/>
      <c r="AI49" s="37"/>
      <c r="AJ49" s="37"/>
      <c r="AK49" s="37"/>
      <c r="AL49" s="37"/>
      <c r="AM49" s="37"/>
      <c r="AN49" s="23"/>
      <c r="AO49" s="23"/>
      <c r="AP49" s="23"/>
      <c r="AQ49" s="23"/>
      <c r="AR49" s="23"/>
      <c r="AS49" s="23"/>
      <c r="AT49" s="23"/>
      <c r="AU49" s="23"/>
      <c r="AV49" s="23"/>
      <c r="AW49" s="23"/>
      <c r="AX49" s="23"/>
      <c r="AY49" s="23"/>
      <c r="AZ49" s="23"/>
      <c r="BA49" s="23"/>
      <c r="BB49" s="23"/>
      <c r="BC49" s="23"/>
      <c r="BD49" s="23"/>
      <c r="BE49" s="23"/>
      <c r="BF49" s="37"/>
      <c r="BG49" s="37"/>
      <c r="BH49" s="37"/>
      <c r="BI49" s="37"/>
      <c r="BJ49" s="37"/>
      <c r="BK49" s="37"/>
      <c r="BL49" s="37"/>
      <c r="BM49" s="23"/>
      <c r="BN49" s="23"/>
      <c r="BO49" s="23"/>
      <c r="BP49" s="23"/>
      <c r="BQ49" s="23"/>
      <c r="BR49" s="23"/>
      <c r="BS49" s="23"/>
      <c r="BT49" s="23"/>
      <c r="BU49" s="23"/>
      <c r="BV49" s="23"/>
      <c r="BW49" s="23"/>
      <c r="BX49" s="23"/>
      <c r="BY49" s="23"/>
      <c r="BZ49" s="23"/>
      <c r="CA49" s="23"/>
      <c r="CB49" s="23"/>
      <c r="CC49" s="23"/>
      <c r="CD49" s="23"/>
      <c r="CE49" s="37"/>
      <c r="CF49" s="37"/>
      <c r="CG49" s="37"/>
      <c r="CH49" s="37"/>
      <c r="CI49" s="37"/>
      <c r="CJ49" s="37"/>
      <c r="CK49" s="37"/>
      <c r="CL49" s="23"/>
      <c r="CM49" s="23"/>
      <c r="CN49" s="23"/>
      <c r="CO49" s="23"/>
      <c r="CP49" s="23"/>
      <c r="CQ49" s="23"/>
      <c r="CR49" s="23"/>
      <c r="CS49" s="23"/>
      <c r="CT49" s="23"/>
      <c r="CU49" s="23"/>
      <c r="CV49" s="23"/>
      <c r="CW49" s="23"/>
      <c r="CX49" s="23"/>
      <c r="CY49" s="23"/>
      <c r="CZ49" s="23"/>
      <c r="DA49" s="23"/>
      <c r="DB49" s="23"/>
      <c r="DC49" s="23"/>
      <c r="DD49" s="37"/>
      <c r="DE49" s="37"/>
      <c r="DF49" s="37"/>
      <c r="DG49" s="37"/>
      <c r="DH49" s="37"/>
      <c r="DI49" s="37"/>
      <c r="DJ49" s="37"/>
      <c r="DK49" s="23"/>
      <c r="DL49" s="23"/>
      <c r="DM49" s="23"/>
      <c r="DN49" s="23"/>
      <c r="DO49" s="23"/>
      <c r="DP49" s="23"/>
      <c r="DQ49" s="23"/>
      <c r="DR49" s="23"/>
      <c r="DS49" s="23"/>
      <c r="DT49" s="23"/>
      <c r="DU49" s="23"/>
      <c r="DV49" s="23"/>
      <c r="DW49" s="23"/>
      <c r="DX49" s="23"/>
      <c r="DY49" s="23"/>
      <c r="DZ49" s="23"/>
      <c r="EA49" s="23"/>
      <c r="EB49" s="23"/>
      <c r="EC49" s="37"/>
      <c r="ED49" s="37"/>
      <c r="EE49" s="37"/>
      <c r="EF49" s="37"/>
      <c r="EG49" s="37"/>
      <c r="EH49" s="37"/>
      <c r="EI49" s="37"/>
      <c r="EJ49" s="23"/>
      <c r="EK49" s="23"/>
      <c r="EL49" s="23"/>
      <c r="EM49" s="23"/>
      <c r="EN49" s="23"/>
      <c r="EO49" s="23"/>
      <c r="EP49" s="23"/>
      <c r="EQ49" s="23"/>
      <c r="ER49" s="23"/>
      <c r="ES49" s="23"/>
      <c r="ET49" s="23"/>
      <c r="EU49" s="23"/>
      <c r="EV49" s="23"/>
      <c r="EW49" s="23"/>
      <c r="EX49" s="23"/>
      <c r="EY49" s="23"/>
      <c r="EZ49" s="23"/>
      <c r="FA49" s="23"/>
      <c r="FB49" s="37"/>
      <c r="FC49" s="37"/>
      <c r="FD49" s="37"/>
      <c r="FE49" s="37"/>
      <c r="FF49" s="37"/>
      <c r="FG49" s="37"/>
      <c r="FH49" s="37"/>
      <c r="FI49" s="23"/>
      <c r="FJ49" s="23"/>
      <c r="FK49" s="23"/>
      <c r="FL49" s="23"/>
      <c r="FM49" s="23"/>
      <c r="FN49" s="23"/>
      <c r="FO49" s="23"/>
      <c r="FP49" s="23"/>
      <c r="FQ49" s="23"/>
      <c r="FR49" s="23"/>
      <c r="FS49" s="23"/>
    </row>
    <row r="50" spans="1:185" ht="18.5" x14ac:dyDescent="0.35">
      <c r="A50" s="23"/>
      <c r="B50" s="23"/>
      <c r="C50" s="23"/>
      <c r="D50" s="23"/>
      <c r="E50" s="88" t="s">
        <v>72</v>
      </c>
      <c r="F50" s="89"/>
      <c r="G50" s="89"/>
      <c r="H50" s="90"/>
      <c r="I50" s="37"/>
      <c r="J50" s="37"/>
      <c r="K50" s="37"/>
      <c r="L50" s="37"/>
      <c r="M50" s="37"/>
      <c r="N50" s="37"/>
      <c r="O50" s="23"/>
      <c r="P50" s="23"/>
      <c r="Q50" s="23"/>
      <c r="R50" s="23"/>
      <c r="S50" s="23"/>
      <c r="T50" s="23"/>
      <c r="U50" s="23"/>
      <c r="V50" s="23"/>
      <c r="W50" s="23"/>
      <c r="X50" s="23"/>
      <c r="Y50" s="23"/>
      <c r="Z50" s="23"/>
      <c r="AA50" s="23"/>
      <c r="AB50" s="23"/>
      <c r="AC50" s="23"/>
      <c r="AD50" s="38"/>
      <c r="AE50" s="38"/>
      <c r="AF50" s="38"/>
      <c r="AG50" s="38"/>
      <c r="AH50" s="37"/>
      <c r="AI50" s="37"/>
      <c r="AJ50" s="37"/>
      <c r="AK50" s="37"/>
      <c r="AL50" s="37"/>
      <c r="AM50" s="37"/>
      <c r="AN50" s="23"/>
      <c r="AO50" s="23"/>
      <c r="AP50" s="23"/>
      <c r="AQ50" s="23"/>
      <c r="AR50" s="23"/>
      <c r="AS50" s="23"/>
      <c r="AT50" s="23"/>
      <c r="AU50" s="23"/>
      <c r="AV50" s="23"/>
      <c r="AW50" s="23"/>
      <c r="AX50" s="23"/>
      <c r="AY50" s="23"/>
      <c r="AZ50" s="23"/>
      <c r="BA50" s="23"/>
      <c r="BB50" s="23"/>
      <c r="BC50" s="119"/>
      <c r="BD50" s="119"/>
      <c r="BE50" s="119"/>
      <c r="BF50" s="119"/>
      <c r="BG50" s="37"/>
      <c r="BH50" s="37"/>
      <c r="BI50" s="37"/>
      <c r="BJ50" s="37"/>
      <c r="BK50" s="37"/>
      <c r="BL50" s="37"/>
      <c r="BM50" s="23"/>
      <c r="BN50" s="23"/>
      <c r="BO50" s="23"/>
      <c r="BP50" s="23"/>
      <c r="BQ50" s="23"/>
      <c r="BR50" s="23"/>
      <c r="BS50" s="23"/>
      <c r="BT50" s="23"/>
      <c r="BU50" s="23"/>
      <c r="BV50" s="23"/>
      <c r="BW50" s="23"/>
      <c r="BX50" s="23"/>
      <c r="BY50" s="23"/>
      <c r="BZ50" s="23"/>
      <c r="CA50" s="23"/>
      <c r="CB50" s="96" t="s">
        <v>72</v>
      </c>
      <c r="CC50" s="97"/>
      <c r="CD50" s="97"/>
      <c r="CE50" s="98"/>
      <c r="CF50" s="37"/>
      <c r="CG50" s="37"/>
      <c r="CH50" s="37"/>
      <c r="CI50" s="37"/>
      <c r="CJ50" s="37"/>
      <c r="CK50" s="37"/>
      <c r="CL50" s="23"/>
      <c r="CM50" s="23"/>
      <c r="CN50" s="23"/>
      <c r="CO50" s="23"/>
      <c r="CP50" s="23"/>
      <c r="CQ50" s="23"/>
      <c r="CR50" s="23"/>
      <c r="CS50" s="23"/>
      <c r="CT50" s="23"/>
      <c r="CU50" s="23"/>
      <c r="CV50" s="23"/>
      <c r="CW50" s="23"/>
      <c r="CX50" s="23"/>
      <c r="CY50" s="23"/>
      <c r="CZ50" s="23"/>
      <c r="DA50" s="96" t="s">
        <v>72</v>
      </c>
      <c r="DB50" s="97"/>
      <c r="DC50" s="97"/>
      <c r="DD50" s="98"/>
      <c r="DE50" s="37"/>
      <c r="DF50" s="37"/>
      <c r="DG50" s="37"/>
      <c r="DH50" s="37"/>
      <c r="DI50" s="37"/>
      <c r="DJ50" s="37"/>
      <c r="DK50" s="23"/>
      <c r="DL50" s="23"/>
      <c r="DM50" s="23"/>
      <c r="DN50" s="23"/>
      <c r="DO50" s="23"/>
      <c r="DP50" s="23"/>
      <c r="DQ50" s="23"/>
      <c r="DR50" s="23"/>
      <c r="DS50" s="23"/>
      <c r="DT50" s="23"/>
      <c r="DU50" s="23"/>
      <c r="DV50" s="23"/>
      <c r="DW50" s="23"/>
      <c r="DX50" s="23"/>
      <c r="DY50" s="23"/>
      <c r="DZ50" s="96" t="s">
        <v>72</v>
      </c>
      <c r="EA50" s="97"/>
      <c r="EB50" s="97"/>
      <c r="EC50" s="98"/>
      <c r="ED50" s="37"/>
      <c r="EE50" s="37"/>
      <c r="EF50" s="37"/>
      <c r="EG50" s="37"/>
      <c r="EH50" s="37"/>
      <c r="EI50" s="37"/>
      <c r="EJ50" s="23"/>
      <c r="EK50" s="23"/>
      <c r="EL50" s="23"/>
      <c r="EM50" s="23"/>
      <c r="EN50" s="23"/>
      <c r="EO50" s="23"/>
      <c r="EP50" s="23"/>
      <c r="EQ50" s="23"/>
      <c r="ER50" s="23"/>
      <c r="ES50" s="23"/>
      <c r="ET50" s="23"/>
      <c r="EU50" s="23"/>
      <c r="EV50" s="23"/>
      <c r="EW50" s="23"/>
      <c r="EX50" s="23"/>
      <c r="EY50" s="96" t="s">
        <v>72</v>
      </c>
      <c r="EZ50" s="97"/>
      <c r="FA50" s="97"/>
      <c r="FB50" s="98"/>
      <c r="FC50" s="37"/>
      <c r="FD50" s="37"/>
      <c r="FE50" s="37"/>
      <c r="FF50" s="37"/>
      <c r="FG50" s="37"/>
      <c r="FH50" s="37"/>
      <c r="FI50" s="23"/>
      <c r="FJ50" s="23"/>
      <c r="FK50" s="23"/>
      <c r="FL50" s="23"/>
      <c r="FM50" s="23"/>
      <c r="FN50" s="23"/>
      <c r="FO50" s="23"/>
      <c r="FP50" s="23"/>
      <c r="FQ50" s="23"/>
      <c r="FR50" s="23"/>
      <c r="FS50" s="23"/>
    </row>
    <row r="51" spans="1:185" ht="19" thickBot="1" x14ac:dyDescent="0.4">
      <c r="A51" s="23"/>
      <c r="B51" s="23"/>
      <c r="C51" s="23"/>
      <c r="D51" s="23"/>
      <c r="E51" s="91"/>
      <c r="F51" s="92"/>
      <c r="G51" s="92"/>
      <c r="H51" s="93"/>
      <c r="I51" s="37"/>
      <c r="J51" s="37"/>
      <c r="K51" s="37"/>
      <c r="L51" s="37"/>
      <c r="M51" s="37"/>
      <c r="N51" s="37"/>
      <c r="O51" s="23"/>
      <c r="P51" s="23"/>
      <c r="Q51" s="23"/>
      <c r="R51" s="23"/>
      <c r="S51" s="23"/>
      <c r="T51" s="23"/>
      <c r="U51" s="23"/>
      <c r="V51" s="23"/>
      <c r="W51" s="23"/>
      <c r="X51" s="23"/>
      <c r="Y51" s="23"/>
      <c r="Z51" s="23"/>
      <c r="AA51" s="23"/>
      <c r="AB51" s="23"/>
      <c r="AC51" s="23"/>
      <c r="AD51" s="38"/>
      <c r="AE51" s="38"/>
      <c r="AF51" s="38"/>
      <c r="AG51" s="38"/>
      <c r="AH51" s="37"/>
      <c r="AI51" s="37"/>
      <c r="AJ51" s="37"/>
      <c r="AK51" s="37"/>
      <c r="AL51" s="37"/>
      <c r="AM51" s="37"/>
      <c r="AN51" s="23"/>
      <c r="AO51" s="23"/>
      <c r="AP51" s="23"/>
      <c r="AQ51" s="23"/>
      <c r="AR51" s="23"/>
      <c r="AS51" s="23"/>
      <c r="AT51" s="23"/>
      <c r="AU51" s="23"/>
      <c r="AV51" s="23"/>
      <c r="AW51" s="23"/>
      <c r="AX51" s="23"/>
      <c r="AY51" s="23"/>
      <c r="AZ51" s="23"/>
      <c r="BA51" s="23"/>
      <c r="BB51" s="23"/>
      <c r="BC51" s="119"/>
      <c r="BD51" s="119"/>
      <c r="BE51" s="119"/>
      <c r="BF51" s="119"/>
      <c r="BG51" s="37"/>
      <c r="BH51" s="37"/>
      <c r="BI51" s="37"/>
      <c r="BJ51" s="37"/>
      <c r="BK51" s="37"/>
      <c r="BL51" s="37"/>
      <c r="BM51" s="23"/>
      <c r="BN51" s="23"/>
      <c r="BO51" s="23"/>
      <c r="BP51" s="23"/>
      <c r="BQ51" s="23"/>
      <c r="BR51" s="23"/>
      <c r="BS51" s="23"/>
      <c r="BT51" s="23"/>
      <c r="BU51" s="23"/>
      <c r="BV51" s="23"/>
      <c r="BW51" s="23"/>
      <c r="BX51" s="23"/>
      <c r="BY51" s="23"/>
      <c r="BZ51" s="23"/>
      <c r="CA51" s="23"/>
      <c r="CB51" s="99"/>
      <c r="CC51" s="100"/>
      <c r="CD51" s="100"/>
      <c r="CE51" s="101"/>
      <c r="CF51" s="37"/>
      <c r="CG51" s="37"/>
      <c r="CH51" s="37"/>
      <c r="CI51" s="37"/>
      <c r="CJ51" s="37"/>
      <c r="CK51" s="37"/>
      <c r="CL51" s="23"/>
      <c r="CM51" s="23"/>
      <c r="CN51" s="23"/>
      <c r="CO51" s="23"/>
      <c r="CP51" s="23"/>
      <c r="CQ51" s="23"/>
      <c r="CR51" s="23"/>
      <c r="CS51" s="23"/>
      <c r="CT51" s="23"/>
      <c r="CU51" s="23"/>
      <c r="CV51" s="23"/>
      <c r="CW51" s="23"/>
      <c r="CX51" s="23"/>
      <c r="CY51" s="23"/>
      <c r="CZ51" s="23"/>
      <c r="DA51" s="99"/>
      <c r="DB51" s="100"/>
      <c r="DC51" s="100"/>
      <c r="DD51" s="101"/>
      <c r="DE51" s="37"/>
      <c r="DF51" s="37"/>
      <c r="DG51" s="37"/>
      <c r="DH51" s="37"/>
      <c r="DI51" s="37"/>
      <c r="DJ51" s="37"/>
      <c r="DK51" s="23"/>
      <c r="DL51" s="23"/>
      <c r="DM51" s="23"/>
      <c r="DN51" s="23"/>
      <c r="DO51" s="23"/>
      <c r="DP51" s="23"/>
      <c r="DQ51" s="23"/>
      <c r="DR51" s="23"/>
      <c r="DS51" s="23"/>
      <c r="DT51" s="23"/>
      <c r="DU51" s="23"/>
      <c r="DV51" s="23"/>
      <c r="DW51" s="23"/>
      <c r="DX51" s="23"/>
      <c r="DY51" s="23"/>
      <c r="DZ51" s="99"/>
      <c r="EA51" s="100"/>
      <c r="EB51" s="100"/>
      <c r="EC51" s="101"/>
      <c r="ED51" s="37"/>
      <c r="EE51" s="37"/>
      <c r="EF51" s="37"/>
      <c r="EG51" s="37"/>
      <c r="EH51" s="37"/>
      <c r="EI51" s="37"/>
      <c r="EJ51" s="23"/>
      <c r="EK51" s="23"/>
      <c r="EL51" s="23"/>
      <c r="EM51" s="23"/>
      <c r="EN51" s="23"/>
      <c r="EO51" s="23"/>
      <c r="EP51" s="23"/>
      <c r="EQ51" s="23"/>
      <c r="ER51" s="23"/>
      <c r="ES51" s="23"/>
      <c r="ET51" s="23"/>
      <c r="EU51" s="23"/>
      <c r="EV51" s="23"/>
      <c r="EW51" s="23"/>
      <c r="EX51" s="23"/>
      <c r="EY51" s="99"/>
      <c r="EZ51" s="100"/>
      <c r="FA51" s="100"/>
      <c r="FB51" s="101"/>
      <c r="FC51" s="37"/>
      <c r="FD51" s="37"/>
      <c r="FE51" s="37"/>
      <c r="FF51" s="37"/>
      <c r="FG51" s="37"/>
      <c r="FH51" s="37"/>
      <c r="FI51" s="23"/>
      <c r="FJ51" s="23"/>
      <c r="FK51" s="23"/>
      <c r="FL51" s="23"/>
      <c r="FM51" s="23"/>
      <c r="FN51" s="23"/>
      <c r="FO51" s="23"/>
      <c r="FP51" s="23"/>
      <c r="FQ51" s="23"/>
      <c r="FR51" s="23"/>
      <c r="FS51" s="23"/>
    </row>
    <row r="52" spans="1:185" ht="16" x14ac:dyDescent="0.35">
      <c r="A52" s="23"/>
      <c r="B52" s="23"/>
      <c r="C52" s="23"/>
      <c r="D52" s="23"/>
      <c r="E52" s="94" t="s">
        <v>68</v>
      </c>
      <c r="F52" s="107">
        <f>+SUM(D35+AC35+BB35+CA35+CZ35+DY35+EX35)</f>
        <v>8055</v>
      </c>
      <c r="G52" s="120"/>
      <c r="H52" s="120"/>
      <c r="I52" s="23"/>
      <c r="J52" s="23"/>
      <c r="K52" s="23"/>
      <c r="L52" s="23"/>
      <c r="M52" s="23"/>
      <c r="N52" s="23"/>
      <c r="O52" s="23"/>
      <c r="P52" s="23"/>
      <c r="Q52" s="23"/>
      <c r="R52" s="23"/>
      <c r="S52" s="23"/>
      <c r="T52" s="23"/>
      <c r="U52" s="23"/>
      <c r="V52" s="23"/>
      <c r="W52" s="23"/>
      <c r="X52" s="23"/>
      <c r="Y52" s="23"/>
      <c r="Z52" s="23"/>
      <c r="AA52" s="23"/>
      <c r="AB52" s="23"/>
      <c r="AC52" s="23"/>
      <c r="AD52" s="39"/>
      <c r="AE52" s="39"/>
      <c r="AF52" s="39"/>
      <c r="AG52" s="39"/>
      <c r="AH52" s="23"/>
      <c r="AI52" s="23"/>
      <c r="AJ52" s="23"/>
      <c r="AK52" s="23"/>
      <c r="AL52" s="23"/>
      <c r="AM52" s="23"/>
      <c r="AN52" s="23"/>
      <c r="AO52" s="23"/>
      <c r="AP52" s="23"/>
      <c r="AQ52" s="23"/>
      <c r="AR52" s="23"/>
      <c r="AS52" s="23"/>
      <c r="AT52" s="23"/>
      <c r="AU52" s="23"/>
      <c r="AV52" s="23"/>
      <c r="AW52" s="23"/>
      <c r="AX52" s="23"/>
      <c r="AY52" s="23"/>
      <c r="AZ52" s="23"/>
      <c r="BA52" s="23"/>
      <c r="BB52" s="23"/>
      <c r="BC52" s="79"/>
      <c r="BD52" s="79"/>
      <c r="BE52" s="79"/>
      <c r="BF52" s="79"/>
      <c r="BG52" s="23"/>
      <c r="BH52" s="23"/>
      <c r="BI52" s="23"/>
      <c r="BJ52" s="23"/>
      <c r="BK52" s="23"/>
      <c r="BL52" s="23"/>
      <c r="BM52" s="23"/>
      <c r="BN52" s="23"/>
      <c r="BO52" s="23"/>
      <c r="BP52" s="23"/>
      <c r="BQ52" s="23"/>
      <c r="BR52" s="23"/>
      <c r="BS52" s="23"/>
      <c r="BT52" s="23"/>
      <c r="BU52" s="23"/>
      <c r="BV52" s="23"/>
      <c r="BW52" s="23"/>
      <c r="BX52" s="23"/>
      <c r="BY52" s="23"/>
      <c r="BZ52" s="23"/>
      <c r="CA52" s="23"/>
      <c r="CB52" s="80" t="s">
        <v>68</v>
      </c>
      <c r="CC52" s="76"/>
      <c r="CD52" s="77"/>
      <c r="CE52" s="77"/>
      <c r="CF52" s="23"/>
      <c r="CG52" s="23"/>
      <c r="CH52" s="23"/>
      <c r="CI52" s="23"/>
      <c r="CJ52" s="23"/>
      <c r="CK52" s="23"/>
      <c r="CL52" s="23"/>
      <c r="CM52" s="23"/>
      <c r="CN52" s="23"/>
      <c r="CO52" s="23"/>
      <c r="CP52" s="23"/>
      <c r="CQ52" s="23"/>
      <c r="CR52" s="23"/>
      <c r="CS52" s="23"/>
      <c r="CT52" s="23"/>
      <c r="CU52" s="23"/>
      <c r="CV52" s="23"/>
      <c r="CW52" s="23"/>
      <c r="CX52" s="23"/>
      <c r="CY52" s="23"/>
      <c r="CZ52" s="23"/>
      <c r="DA52" s="80" t="s">
        <v>68</v>
      </c>
      <c r="DB52" s="76"/>
      <c r="DC52" s="77"/>
      <c r="DD52" s="77"/>
      <c r="DE52" s="23"/>
      <c r="DF52" s="23"/>
      <c r="DG52" s="23"/>
      <c r="DH52" s="23"/>
      <c r="DI52" s="23"/>
      <c r="DJ52" s="23"/>
      <c r="DK52" s="23"/>
      <c r="DL52" s="23"/>
      <c r="DM52" s="23"/>
      <c r="DN52" s="23"/>
      <c r="DO52" s="23"/>
      <c r="DP52" s="23"/>
      <c r="DQ52" s="23"/>
      <c r="DR52" s="23"/>
      <c r="DS52" s="23"/>
      <c r="DT52" s="23"/>
      <c r="DU52" s="23"/>
      <c r="DV52" s="23"/>
      <c r="DW52" s="23"/>
      <c r="DX52" s="23"/>
      <c r="DY52" s="23"/>
      <c r="DZ52" s="80" t="s">
        <v>68</v>
      </c>
      <c r="EA52" s="76"/>
      <c r="EB52" s="77"/>
      <c r="EC52" s="77"/>
      <c r="ED52" s="23"/>
      <c r="EE52" s="23"/>
      <c r="EF52" s="23"/>
      <c r="EG52" s="23"/>
      <c r="EH52" s="23"/>
      <c r="EI52" s="23"/>
      <c r="EJ52" s="23"/>
      <c r="EK52" s="23"/>
      <c r="EL52" s="23"/>
      <c r="EM52" s="23"/>
      <c r="EN52" s="23"/>
      <c r="EO52" s="23"/>
      <c r="EP52" s="23"/>
      <c r="EQ52" s="23"/>
      <c r="ER52" s="23"/>
      <c r="ES52" s="23"/>
      <c r="ET52" s="23"/>
      <c r="EU52" s="23"/>
      <c r="EV52" s="23"/>
      <c r="EW52" s="23"/>
      <c r="EX52" s="23"/>
      <c r="EY52" s="80" t="s">
        <v>68</v>
      </c>
      <c r="EZ52" s="76"/>
      <c r="FA52" s="77"/>
      <c r="FB52" s="77"/>
      <c r="FC52" s="23"/>
      <c r="FD52" s="23"/>
      <c r="FE52" s="23"/>
      <c r="FF52" s="23"/>
      <c r="FG52" s="23"/>
      <c r="FH52" s="23"/>
      <c r="FI52" s="23"/>
      <c r="FJ52" s="23"/>
      <c r="FK52" s="23"/>
      <c r="FL52" s="23"/>
      <c r="FM52" s="23"/>
      <c r="FN52" s="23"/>
      <c r="FO52" s="23"/>
      <c r="FP52" s="23"/>
      <c r="FQ52" s="23"/>
      <c r="FR52" s="23"/>
      <c r="FS52" s="23"/>
    </row>
    <row r="53" spans="1:185" ht="16" x14ac:dyDescent="0.35">
      <c r="A53" s="23"/>
      <c r="B53" s="23"/>
      <c r="C53" s="23"/>
      <c r="D53" s="23"/>
      <c r="E53" s="94"/>
      <c r="F53" s="109"/>
      <c r="G53" s="121"/>
      <c r="H53" s="121"/>
      <c r="I53" s="23"/>
      <c r="J53" s="23"/>
      <c r="K53" s="23"/>
      <c r="L53" s="23"/>
      <c r="M53" s="23"/>
      <c r="N53" s="23"/>
      <c r="O53" s="23"/>
      <c r="P53" s="23"/>
      <c r="Q53" s="23"/>
      <c r="R53" s="23"/>
      <c r="S53" s="23"/>
      <c r="T53" s="23"/>
      <c r="U53" s="23"/>
      <c r="V53" s="23"/>
      <c r="W53" s="23"/>
      <c r="X53" s="23"/>
      <c r="Y53" s="23"/>
      <c r="Z53" s="23"/>
      <c r="AA53" s="23"/>
      <c r="AB53" s="23"/>
      <c r="AC53" s="23"/>
      <c r="AD53" s="39"/>
      <c r="AE53" s="39"/>
      <c r="AF53" s="39"/>
      <c r="AG53" s="39"/>
      <c r="AH53" s="23"/>
      <c r="AI53" s="23"/>
      <c r="AJ53" s="23"/>
      <c r="AK53" s="23"/>
      <c r="AL53" s="23"/>
      <c r="AM53" s="23"/>
      <c r="AN53" s="23"/>
      <c r="AO53" s="23"/>
      <c r="AP53" s="23"/>
      <c r="AQ53" s="23"/>
      <c r="AR53" s="23"/>
      <c r="AS53" s="23"/>
      <c r="AT53" s="23"/>
      <c r="AU53" s="23"/>
      <c r="AV53" s="23"/>
      <c r="AW53" s="23"/>
      <c r="AX53" s="23"/>
      <c r="AY53" s="23"/>
      <c r="AZ53" s="23"/>
      <c r="BA53" s="23"/>
      <c r="BB53" s="23"/>
      <c r="BC53" s="79"/>
      <c r="BD53" s="79"/>
      <c r="BE53" s="79"/>
      <c r="BF53" s="79"/>
      <c r="BG53" s="23"/>
      <c r="BH53" s="23"/>
      <c r="BI53" s="23"/>
      <c r="BJ53" s="23"/>
      <c r="BK53" s="23"/>
      <c r="BL53" s="23"/>
      <c r="BM53" s="23"/>
      <c r="BN53" s="23"/>
      <c r="BO53" s="23"/>
      <c r="BP53" s="23"/>
      <c r="BQ53" s="23"/>
      <c r="BR53" s="23"/>
      <c r="BS53" s="23"/>
      <c r="BT53" s="23"/>
      <c r="BU53" s="23"/>
      <c r="BV53" s="23"/>
      <c r="BW53" s="23"/>
      <c r="BX53" s="23"/>
      <c r="BY53" s="23"/>
      <c r="BZ53" s="23"/>
      <c r="CA53" s="23"/>
      <c r="CB53" s="80"/>
      <c r="CC53" s="78"/>
      <c r="CD53" s="79"/>
      <c r="CE53" s="79"/>
      <c r="CF53" s="23"/>
      <c r="CG53" s="23"/>
      <c r="CH53" s="23"/>
      <c r="CI53" s="23"/>
      <c r="CJ53" s="23"/>
      <c r="CK53" s="23"/>
      <c r="CL53" s="23"/>
      <c r="CM53" s="23"/>
      <c r="CN53" s="23"/>
      <c r="CO53" s="23"/>
      <c r="CP53" s="23"/>
      <c r="CQ53" s="23"/>
      <c r="CR53" s="23"/>
      <c r="CS53" s="23"/>
      <c r="CT53" s="23"/>
      <c r="CU53" s="23"/>
      <c r="CV53" s="23"/>
      <c r="CW53" s="23"/>
      <c r="CX53" s="23"/>
      <c r="CY53" s="23"/>
      <c r="CZ53" s="23"/>
      <c r="DA53" s="80"/>
      <c r="DB53" s="78"/>
      <c r="DC53" s="79"/>
      <c r="DD53" s="79"/>
      <c r="DE53" s="23"/>
      <c r="DF53" s="23"/>
      <c r="DG53" s="23"/>
      <c r="DH53" s="23"/>
      <c r="DI53" s="23"/>
      <c r="DJ53" s="23"/>
      <c r="DK53" s="23"/>
      <c r="DL53" s="23"/>
      <c r="DM53" s="23"/>
      <c r="DN53" s="23"/>
      <c r="DO53" s="23"/>
      <c r="DP53" s="23"/>
      <c r="DQ53" s="23"/>
      <c r="DR53" s="23"/>
      <c r="DS53" s="23"/>
      <c r="DT53" s="23"/>
      <c r="DU53" s="23"/>
      <c r="DV53" s="23"/>
      <c r="DW53" s="23"/>
      <c r="DX53" s="23"/>
      <c r="DY53" s="23"/>
      <c r="DZ53" s="80"/>
      <c r="EA53" s="78"/>
      <c r="EB53" s="79"/>
      <c r="EC53" s="79"/>
      <c r="ED53" s="23"/>
      <c r="EE53" s="23"/>
      <c r="EF53" s="23"/>
      <c r="EG53" s="23"/>
      <c r="EH53" s="23"/>
      <c r="EI53" s="23"/>
      <c r="EJ53" s="23"/>
      <c r="EK53" s="23"/>
      <c r="EL53" s="23"/>
      <c r="EM53" s="23"/>
      <c r="EN53" s="23"/>
      <c r="EO53" s="23"/>
      <c r="EP53" s="23"/>
      <c r="EQ53" s="23"/>
      <c r="ER53" s="23"/>
      <c r="ES53" s="23"/>
      <c r="ET53" s="23"/>
      <c r="EU53" s="23"/>
      <c r="EV53" s="23"/>
      <c r="EW53" s="23"/>
      <c r="EX53" s="23"/>
      <c r="EY53" s="80"/>
      <c r="EZ53" s="78"/>
      <c r="FA53" s="79"/>
      <c r="FB53" s="79"/>
      <c r="FC53" s="23"/>
      <c r="FD53" s="23"/>
      <c r="FE53" s="23"/>
      <c r="FF53" s="23"/>
      <c r="FG53" s="23"/>
      <c r="FH53" s="23"/>
      <c r="FI53" s="23"/>
      <c r="FJ53" s="23"/>
      <c r="FK53" s="23"/>
      <c r="FL53" s="23"/>
      <c r="FM53" s="23"/>
      <c r="FN53" s="23"/>
      <c r="FO53" s="23"/>
      <c r="FP53" s="23"/>
      <c r="FQ53" s="23"/>
      <c r="FR53" s="23"/>
      <c r="FS53" s="23"/>
    </row>
    <row r="54" spans="1:185" ht="16" x14ac:dyDescent="0.35">
      <c r="A54" s="23"/>
      <c r="B54" s="23"/>
      <c r="C54" s="23"/>
      <c r="D54" s="23"/>
      <c r="E54" s="94"/>
      <c r="F54" s="109"/>
      <c r="G54" s="121"/>
      <c r="H54" s="121"/>
      <c r="I54" s="23"/>
      <c r="J54" s="23"/>
      <c r="K54" s="23"/>
      <c r="L54" s="23"/>
      <c r="M54" s="23"/>
      <c r="N54" s="23"/>
      <c r="O54" s="23"/>
      <c r="P54" s="23"/>
      <c r="Q54" s="23"/>
      <c r="R54" s="23"/>
      <c r="S54" s="23"/>
      <c r="T54" s="23"/>
      <c r="U54" s="23"/>
      <c r="V54" s="23"/>
      <c r="W54" s="23"/>
      <c r="X54" s="23"/>
      <c r="Y54" s="23"/>
      <c r="Z54" s="23"/>
      <c r="AA54" s="23"/>
      <c r="AB54" s="23"/>
      <c r="AC54" s="23"/>
      <c r="AD54" s="39"/>
      <c r="AE54" s="39"/>
      <c r="AF54" s="39"/>
      <c r="AG54" s="39"/>
      <c r="AH54" s="23"/>
      <c r="AI54" s="23"/>
      <c r="AJ54" s="23"/>
      <c r="AK54" s="23"/>
      <c r="AL54" s="23"/>
      <c r="AM54" s="23"/>
      <c r="AN54" s="23"/>
      <c r="AO54" s="23"/>
      <c r="AP54" s="23"/>
      <c r="AQ54" s="23"/>
      <c r="AR54" s="23"/>
      <c r="AS54" s="23"/>
      <c r="AT54" s="23"/>
      <c r="AU54" s="23"/>
      <c r="AV54" s="23"/>
      <c r="AW54" s="23"/>
      <c r="AX54" s="23"/>
      <c r="AY54" s="23"/>
      <c r="AZ54" s="23"/>
      <c r="BA54" s="23"/>
      <c r="BB54" s="23"/>
      <c r="BC54" s="79"/>
      <c r="BD54" s="79"/>
      <c r="BE54" s="79"/>
      <c r="BF54" s="79"/>
      <c r="BG54" s="23"/>
      <c r="BH54" s="23"/>
      <c r="BI54" s="23"/>
      <c r="BJ54" s="23"/>
      <c r="BK54" s="23"/>
      <c r="BL54" s="23"/>
      <c r="BM54" s="23"/>
      <c r="BN54" s="23"/>
      <c r="BO54" s="23"/>
      <c r="BP54" s="23"/>
      <c r="BQ54" s="23"/>
      <c r="BR54" s="23"/>
      <c r="BS54" s="23"/>
      <c r="BT54" s="23"/>
      <c r="BU54" s="23"/>
      <c r="BV54" s="23"/>
      <c r="BW54" s="23"/>
      <c r="BX54" s="23"/>
      <c r="BY54" s="23"/>
      <c r="BZ54" s="23"/>
      <c r="CA54" s="23"/>
      <c r="CB54" s="80"/>
      <c r="CC54" s="78"/>
      <c r="CD54" s="79"/>
      <c r="CE54" s="79"/>
      <c r="CF54" s="23"/>
      <c r="CG54" s="23"/>
      <c r="CH54" s="23"/>
      <c r="CI54" s="23"/>
      <c r="CJ54" s="23"/>
      <c r="CK54" s="23"/>
      <c r="CL54" s="23"/>
      <c r="CM54" s="23"/>
      <c r="CN54" s="23"/>
      <c r="CO54" s="23"/>
      <c r="CP54" s="23"/>
      <c r="CQ54" s="23"/>
      <c r="CR54" s="23"/>
      <c r="CS54" s="23"/>
      <c r="CT54" s="23"/>
      <c r="CU54" s="23"/>
      <c r="CV54" s="23"/>
      <c r="CW54" s="23"/>
      <c r="CX54" s="23"/>
      <c r="CY54" s="23"/>
      <c r="CZ54" s="23"/>
      <c r="DA54" s="80"/>
      <c r="DB54" s="78"/>
      <c r="DC54" s="79"/>
      <c r="DD54" s="79"/>
      <c r="DE54" s="23"/>
      <c r="DF54" s="23"/>
      <c r="DG54" s="23"/>
      <c r="DH54" s="23"/>
      <c r="DI54" s="23"/>
      <c r="DJ54" s="23"/>
      <c r="DK54" s="23"/>
      <c r="DL54" s="23"/>
      <c r="DM54" s="23"/>
      <c r="DN54" s="23"/>
      <c r="DO54" s="23"/>
      <c r="DP54" s="23"/>
      <c r="DQ54" s="23"/>
      <c r="DR54" s="23"/>
      <c r="DS54" s="23"/>
      <c r="DT54" s="23"/>
      <c r="DU54" s="23"/>
      <c r="DV54" s="23"/>
      <c r="DW54" s="23"/>
      <c r="DX54" s="23"/>
      <c r="DY54" s="23"/>
      <c r="DZ54" s="80"/>
      <c r="EA54" s="78"/>
      <c r="EB54" s="79"/>
      <c r="EC54" s="79"/>
      <c r="ED54" s="23"/>
      <c r="EE54" s="23"/>
      <c r="EF54" s="23"/>
      <c r="EG54" s="23"/>
      <c r="EH54" s="23"/>
      <c r="EI54" s="23"/>
      <c r="EJ54" s="23"/>
      <c r="EK54" s="23"/>
      <c r="EL54" s="23"/>
      <c r="EM54" s="23"/>
      <c r="EN54" s="23"/>
      <c r="EO54" s="23"/>
      <c r="EP54" s="23"/>
      <c r="EQ54" s="23"/>
      <c r="ER54" s="23"/>
      <c r="ES54" s="23"/>
      <c r="ET54" s="23"/>
      <c r="EU54" s="23"/>
      <c r="EV54" s="23"/>
      <c r="EW54" s="23"/>
      <c r="EX54" s="23"/>
      <c r="EY54" s="80"/>
      <c r="EZ54" s="78"/>
      <c r="FA54" s="79"/>
      <c r="FB54" s="79"/>
      <c r="FC54" s="23"/>
      <c r="FD54" s="23"/>
      <c r="FE54" s="23"/>
      <c r="FF54" s="23"/>
      <c r="FG54" s="23"/>
      <c r="FH54" s="23"/>
      <c r="FI54" s="23"/>
      <c r="FJ54" s="23"/>
      <c r="FK54" s="23"/>
      <c r="FL54" s="23"/>
      <c r="FM54" s="23"/>
      <c r="FN54" s="23"/>
      <c r="FO54" s="23"/>
      <c r="FP54" s="23"/>
      <c r="FQ54" s="23"/>
      <c r="FR54" s="23"/>
      <c r="FS54" s="23"/>
    </row>
    <row r="55" spans="1:185" ht="16.5" thickBot="1" x14ac:dyDescent="0.4">
      <c r="A55" s="23"/>
      <c r="B55" s="23"/>
      <c r="C55" s="23"/>
      <c r="D55" s="23"/>
      <c r="E55" s="95"/>
      <c r="F55" s="109"/>
      <c r="G55" s="121"/>
      <c r="H55" s="121"/>
      <c r="I55" s="23"/>
      <c r="J55" s="23"/>
      <c r="K55" s="23"/>
      <c r="L55" s="23"/>
      <c r="M55" s="23"/>
      <c r="N55" s="23"/>
      <c r="O55" s="23"/>
      <c r="P55" s="23"/>
      <c r="Q55" s="23"/>
      <c r="R55" s="23"/>
      <c r="S55" s="23"/>
      <c r="T55" s="23"/>
      <c r="U55" s="23"/>
      <c r="V55" s="23"/>
      <c r="W55" s="23"/>
      <c r="X55" s="23"/>
      <c r="Y55" s="23"/>
      <c r="Z55" s="23"/>
      <c r="AA55" s="23"/>
      <c r="AB55" s="23"/>
      <c r="AC55" s="23"/>
      <c r="AD55" s="39"/>
      <c r="AE55" s="39"/>
      <c r="AF55" s="39"/>
      <c r="AG55" s="39"/>
      <c r="AH55" s="23"/>
      <c r="AI55" s="23"/>
      <c r="AJ55" s="23"/>
      <c r="AK55" s="23"/>
      <c r="AL55" s="23"/>
      <c r="AM55" s="23"/>
      <c r="AN55" s="23"/>
      <c r="AO55" s="23"/>
      <c r="AP55" s="23"/>
      <c r="AQ55" s="23"/>
      <c r="AR55" s="23"/>
      <c r="AS55" s="23"/>
      <c r="AT55" s="23"/>
      <c r="AU55" s="23"/>
      <c r="AV55" s="23"/>
      <c r="AW55" s="23"/>
      <c r="AX55" s="23"/>
      <c r="AY55" s="23"/>
      <c r="AZ55" s="23"/>
      <c r="BA55" s="23"/>
      <c r="BB55" s="23"/>
      <c r="BC55" s="79"/>
      <c r="BD55" s="79"/>
      <c r="BE55" s="79"/>
      <c r="BF55" s="79"/>
      <c r="BG55" s="23"/>
      <c r="BH55" s="23"/>
      <c r="BI55" s="23"/>
      <c r="BJ55" s="23"/>
      <c r="BK55" s="23"/>
      <c r="BL55" s="23"/>
      <c r="BM55" s="23"/>
      <c r="BN55" s="23"/>
      <c r="BO55" s="23"/>
      <c r="BP55" s="23"/>
      <c r="BQ55" s="23"/>
      <c r="BR55" s="23"/>
      <c r="BS55" s="23"/>
      <c r="BT55" s="23"/>
      <c r="BU55" s="23"/>
      <c r="BV55" s="23"/>
      <c r="BW55" s="23"/>
      <c r="BX55" s="23"/>
      <c r="BY55" s="23"/>
      <c r="BZ55" s="23"/>
      <c r="CA55" s="23"/>
      <c r="CB55" s="81"/>
      <c r="CC55" s="78"/>
      <c r="CD55" s="79"/>
      <c r="CE55" s="79"/>
      <c r="CF55" s="23"/>
      <c r="CG55" s="23"/>
      <c r="CH55" s="23"/>
      <c r="CI55" s="23"/>
      <c r="CJ55" s="23"/>
      <c r="CK55" s="23"/>
      <c r="CL55" s="23"/>
      <c r="CM55" s="23"/>
      <c r="CN55" s="23"/>
      <c r="CO55" s="23"/>
      <c r="CP55" s="23"/>
      <c r="CQ55" s="23"/>
      <c r="CR55" s="23"/>
      <c r="CS55" s="23"/>
      <c r="CT55" s="23"/>
      <c r="CU55" s="23"/>
      <c r="CV55" s="23"/>
      <c r="CW55" s="23"/>
      <c r="CX55" s="23"/>
      <c r="CY55" s="23"/>
      <c r="CZ55" s="23"/>
      <c r="DA55" s="81"/>
      <c r="DB55" s="78"/>
      <c r="DC55" s="79"/>
      <c r="DD55" s="79"/>
      <c r="DE55" s="23"/>
      <c r="DF55" s="23"/>
      <c r="DG55" s="23"/>
      <c r="DH55" s="23"/>
      <c r="DI55" s="23"/>
      <c r="DJ55" s="23"/>
      <c r="DK55" s="23"/>
      <c r="DL55" s="23"/>
      <c r="DM55" s="23"/>
      <c r="DN55" s="23"/>
      <c r="DO55" s="23"/>
      <c r="DP55" s="23"/>
      <c r="DQ55" s="23"/>
      <c r="DR55" s="23"/>
      <c r="DS55" s="23"/>
      <c r="DT55" s="23"/>
      <c r="DU55" s="23"/>
      <c r="DV55" s="23"/>
      <c r="DW55" s="23"/>
      <c r="DX55" s="23"/>
      <c r="DY55" s="23"/>
      <c r="DZ55" s="81"/>
      <c r="EA55" s="78"/>
      <c r="EB55" s="79"/>
      <c r="EC55" s="79"/>
      <c r="ED55" s="23"/>
      <c r="EE55" s="23"/>
      <c r="EF55" s="23"/>
      <c r="EG55" s="23"/>
      <c r="EH55" s="23"/>
      <c r="EI55" s="23"/>
      <c r="EJ55" s="23"/>
      <c r="EK55" s="23"/>
      <c r="EL55" s="23"/>
      <c r="EM55" s="23"/>
      <c r="EN55" s="23"/>
      <c r="EO55" s="23"/>
      <c r="EP55" s="23"/>
      <c r="EQ55" s="23"/>
      <c r="ER55" s="23"/>
      <c r="ES55" s="23"/>
      <c r="ET55" s="23"/>
      <c r="EU55" s="23"/>
      <c r="EV55" s="23"/>
      <c r="EW55" s="23"/>
      <c r="EX55" s="23"/>
      <c r="EY55" s="81"/>
      <c r="EZ55" s="78"/>
      <c r="FA55" s="79"/>
      <c r="FB55" s="79"/>
      <c r="FC55" s="23"/>
      <c r="FD55" s="23"/>
      <c r="FE55" s="23"/>
      <c r="FF55" s="23"/>
      <c r="FG55" s="23"/>
      <c r="FH55" s="23"/>
      <c r="FI55" s="23"/>
      <c r="FJ55" s="23"/>
      <c r="FK55" s="23"/>
      <c r="FL55" s="23"/>
      <c r="FM55" s="23"/>
      <c r="FN55" s="23"/>
      <c r="FO55" s="23"/>
      <c r="FP55" s="23"/>
      <c r="FQ55" s="23"/>
      <c r="FR55" s="23"/>
      <c r="FS55" s="23"/>
    </row>
    <row r="56" spans="1:185" ht="16" x14ac:dyDescent="0.35">
      <c r="A56" s="23"/>
      <c r="B56" s="23"/>
      <c r="C56" s="23"/>
      <c r="D56" s="23"/>
      <c r="E56" s="94" t="s">
        <v>70</v>
      </c>
      <c r="F56" s="107">
        <f>D39+AC39+BB39+CA39+CZ39+DY39+EX39</f>
        <v>50637.827603598955</v>
      </c>
      <c r="G56" s="120"/>
      <c r="H56" s="120"/>
      <c r="I56" s="23"/>
      <c r="J56" s="23"/>
      <c r="K56" s="23"/>
      <c r="L56" s="23"/>
      <c r="M56" s="23"/>
      <c r="N56" s="23"/>
      <c r="O56" s="23"/>
      <c r="P56" s="23"/>
      <c r="Q56" s="23"/>
      <c r="R56" s="23"/>
      <c r="S56" s="23"/>
      <c r="T56" s="23"/>
      <c r="U56" s="23"/>
      <c r="V56" s="23"/>
      <c r="W56" s="23"/>
      <c r="X56" s="23"/>
      <c r="Y56" s="23"/>
      <c r="Z56" s="23"/>
      <c r="AA56" s="23"/>
      <c r="AB56" s="23"/>
      <c r="AC56" s="23"/>
      <c r="AD56" s="39"/>
      <c r="AE56" s="39"/>
      <c r="AF56" s="39"/>
      <c r="AG56" s="39"/>
      <c r="AH56" s="23"/>
      <c r="AI56" s="23"/>
      <c r="AJ56" s="23"/>
      <c r="AK56" s="23"/>
      <c r="AL56" s="23"/>
      <c r="AM56" s="23"/>
      <c r="AN56" s="23"/>
      <c r="AO56" s="23"/>
      <c r="AP56" s="23"/>
      <c r="AQ56" s="23"/>
      <c r="AR56" s="23"/>
      <c r="AS56" s="23"/>
      <c r="AT56" s="23"/>
      <c r="AU56" s="23"/>
      <c r="AV56" s="23"/>
      <c r="AW56" s="23"/>
      <c r="AX56" s="23"/>
      <c r="AY56" s="23"/>
      <c r="AZ56" s="23"/>
      <c r="BA56" s="23"/>
      <c r="BB56" s="23"/>
      <c r="BC56" s="79"/>
      <c r="BD56" s="79"/>
      <c r="BE56" s="79"/>
      <c r="BF56" s="79"/>
      <c r="BG56" s="23"/>
      <c r="BH56" s="23"/>
      <c r="BI56" s="23"/>
      <c r="BJ56" s="23"/>
      <c r="BK56" s="23"/>
      <c r="BL56" s="23"/>
      <c r="BM56" s="23"/>
      <c r="BN56" s="23"/>
      <c r="BO56" s="23"/>
      <c r="BP56" s="23"/>
      <c r="BQ56" s="23"/>
      <c r="BR56" s="23"/>
      <c r="BS56" s="23"/>
      <c r="BT56" s="23"/>
      <c r="BU56" s="23"/>
      <c r="BV56" s="23"/>
      <c r="BW56" s="23"/>
      <c r="BX56" s="23"/>
      <c r="BY56" s="23"/>
      <c r="BZ56" s="23"/>
      <c r="CA56" s="23"/>
      <c r="CB56" s="80" t="s">
        <v>70</v>
      </c>
      <c r="CC56" s="76"/>
      <c r="CD56" s="77"/>
      <c r="CE56" s="77"/>
      <c r="CF56" s="23"/>
      <c r="CG56" s="23"/>
      <c r="CH56" s="23"/>
      <c r="CI56" s="23"/>
      <c r="CJ56" s="23"/>
      <c r="CK56" s="23"/>
      <c r="CL56" s="23"/>
      <c r="CM56" s="23"/>
      <c r="CN56" s="23"/>
      <c r="CO56" s="23"/>
      <c r="CP56" s="23"/>
      <c r="CQ56" s="23"/>
      <c r="CR56" s="23"/>
      <c r="CS56" s="23"/>
      <c r="CT56" s="23"/>
      <c r="CU56" s="23"/>
      <c r="CV56" s="23"/>
      <c r="CW56" s="23"/>
      <c r="CX56" s="23"/>
      <c r="CY56" s="23"/>
      <c r="CZ56" s="23"/>
      <c r="DA56" s="80" t="s">
        <v>70</v>
      </c>
      <c r="DB56" s="76"/>
      <c r="DC56" s="77"/>
      <c r="DD56" s="77"/>
      <c r="DE56" s="23"/>
      <c r="DF56" s="23"/>
      <c r="DG56" s="23"/>
      <c r="DH56" s="23"/>
      <c r="DI56" s="23"/>
      <c r="DJ56" s="23"/>
      <c r="DK56" s="23"/>
      <c r="DL56" s="23"/>
      <c r="DM56" s="23"/>
      <c r="DN56" s="23"/>
      <c r="DO56" s="23"/>
      <c r="DP56" s="23"/>
      <c r="DQ56" s="23"/>
      <c r="DR56" s="23"/>
      <c r="DS56" s="23"/>
      <c r="DT56" s="23"/>
      <c r="DU56" s="23"/>
      <c r="DV56" s="23"/>
      <c r="DW56" s="23"/>
      <c r="DX56" s="23"/>
      <c r="DY56" s="23"/>
      <c r="DZ56" s="80" t="s">
        <v>70</v>
      </c>
      <c r="EA56" s="76"/>
      <c r="EB56" s="77"/>
      <c r="EC56" s="77"/>
      <c r="ED56" s="23"/>
      <c r="EE56" s="23"/>
      <c r="EF56" s="23"/>
      <c r="EG56" s="23"/>
      <c r="EH56" s="23"/>
      <c r="EI56" s="23"/>
      <c r="EJ56" s="23"/>
      <c r="EK56" s="23"/>
      <c r="EL56" s="23"/>
      <c r="EM56" s="23"/>
      <c r="EN56" s="23"/>
      <c r="EO56" s="23"/>
      <c r="EP56" s="23"/>
      <c r="EQ56" s="23"/>
      <c r="ER56" s="23"/>
      <c r="ES56" s="23"/>
      <c r="ET56" s="23"/>
      <c r="EU56" s="23"/>
      <c r="EV56" s="23"/>
      <c r="EW56" s="23"/>
      <c r="EX56" s="23"/>
      <c r="EY56" s="80" t="s">
        <v>70</v>
      </c>
      <c r="EZ56" s="76"/>
      <c r="FA56" s="77"/>
      <c r="FB56" s="77"/>
      <c r="FC56" s="23"/>
      <c r="FD56" s="23"/>
      <c r="FE56" s="23"/>
      <c r="FF56" s="23"/>
      <c r="FG56" s="23"/>
      <c r="FH56" s="23"/>
      <c r="FI56" s="23"/>
      <c r="FJ56" s="23"/>
      <c r="FK56" s="23"/>
      <c r="FL56" s="23"/>
      <c r="FM56" s="23"/>
      <c r="FN56" s="23"/>
      <c r="FO56" s="23"/>
      <c r="FP56" s="23"/>
      <c r="FQ56" s="23"/>
      <c r="FR56" s="23"/>
      <c r="FS56" s="23"/>
    </row>
    <row r="57" spans="1:185" ht="16" x14ac:dyDescent="0.35">
      <c r="A57" s="23"/>
      <c r="B57" s="23"/>
      <c r="C57" s="23"/>
      <c r="D57" s="23"/>
      <c r="E57" s="94"/>
      <c r="F57" s="109"/>
      <c r="G57" s="121"/>
      <c r="H57" s="121"/>
      <c r="I57" s="23"/>
      <c r="J57" s="23"/>
      <c r="K57" s="23"/>
      <c r="L57" s="23"/>
      <c r="M57" s="23"/>
      <c r="N57" s="23"/>
      <c r="O57" s="23"/>
      <c r="P57" s="23"/>
      <c r="Q57" s="23"/>
      <c r="R57" s="23"/>
      <c r="S57" s="23"/>
      <c r="T57" s="23"/>
      <c r="U57" s="23"/>
      <c r="V57" s="23"/>
      <c r="W57" s="23"/>
      <c r="X57" s="23"/>
      <c r="Y57" s="23"/>
      <c r="Z57" s="23"/>
      <c r="AA57" s="23"/>
      <c r="AB57" s="23"/>
      <c r="AC57" s="23"/>
      <c r="AD57" s="39"/>
      <c r="AE57" s="39"/>
      <c r="AF57" s="39"/>
      <c r="AG57" s="39"/>
      <c r="AH57" s="23"/>
      <c r="AI57" s="23"/>
      <c r="AJ57" s="23"/>
      <c r="AK57" s="23"/>
      <c r="AL57" s="23"/>
      <c r="AM57" s="23"/>
      <c r="AN57" s="23"/>
      <c r="AO57" s="23"/>
      <c r="AP57" s="23"/>
      <c r="AQ57" s="23"/>
      <c r="AR57" s="23"/>
      <c r="AS57" s="23"/>
      <c r="AT57" s="23"/>
      <c r="AU57" s="23"/>
      <c r="AV57" s="23"/>
      <c r="AW57" s="23"/>
      <c r="AX57" s="23"/>
      <c r="AY57" s="23"/>
      <c r="AZ57" s="23"/>
      <c r="BA57" s="23"/>
      <c r="BB57" s="23"/>
      <c r="BC57" s="79"/>
      <c r="BD57" s="79"/>
      <c r="BE57" s="79"/>
      <c r="BF57" s="79"/>
      <c r="BG57" s="23"/>
      <c r="BH57" s="23"/>
      <c r="BI57" s="23"/>
      <c r="BJ57" s="23"/>
      <c r="BK57" s="23"/>
      <c r="BL57" s="23"/>
      <c r="BM57" s="23"/>
      <c r="BN57" s="23"/>
      <c r="BO57" s="23"/>
      <c r="BP57" s="23"/>
      <c r="BQ57" s="23"/>
      <c r="BR57" s="23"/>
      <c r="BS57" s="23"/>
      <c r="BT57" s="23"/>
      <c r="BU57" s="23"/>
      <c r="BV57" s="23"/>
      <c r="BW57" s="23"/>
      <c r="BX57" s="23"/>
      <c r="BY57" s="23"/>
      <c r="BZ57" s="23"/>
      <c r="CA57" s="23"/>
      <c r="CB57" s="80"/>
      <c r="CC57" s="78"/>
      <c r="CD57" s="79"/>
      <c r="CE57" s="79"/>
      <c r="CF57" s="23"/>
      <c r="CG57" s="23"/>
      <c r="CH57" s="23"/>
      <c r="CI57" s="23"/>
      <c r="CJ57" s="23"/>
      <c r="CK57" s="23"/>
      <c r="CL57" s="23"/>
      <c r="CM57" s="23"/>
      <c r="CN57" s="23"/>
      <c r="CO57" s="23"/>
      <c r="CP57" s="23"/>
      <c r="CQ57" s="23"/>
      <c r="CR57" s="23"/>
      <c r="CS57" s="23"/>
      <c r="CT57" s="23"/>
      <c r="CU57" s="23"/>
      <c r="CV57" s="23"/>
      <c r="CW57" s="23"/>
      <c r="CX57" s="23"/>
      <c r="CY57" s="23"/>
      <c r="CZ57" s="23"/>
      <c r="DA57" s="80"/>
      <c r="DB57" s="78"/>
      <c r="DC57" s="79"/>
      <c r="DD57" s="79"/>
      <c r="DE57" s="23"/>
      <c r="DF57" s="23"/>
      <c r="DG57" s="23"/>
      <c r="DH57" s="23"/>
      <c r="DI57" s="23"/>
      <c r="DJ57" s="23"/>
      <c r="DK57" s="23"/>
      <c r="DL57" s="23"/>
      <c r="DM57" s="23"/>
      <c r="DN57" s="23"/>
      <c r="DO57" s="23"/>
      <c r="DP57" s="23"/>
      <c r="DQ57" s="23"/>
      <c r="DR57" s="23"/>
      <c r="DS57" s="23"/>
      <c r="DT57" s="23"/>
      <c r="DU57" s="23"/>
      <c r="DV57" s="23"/>
      <c r="DW57" s="23"/>
      <c r="DX57" s="23"/>
      <c r="DY57" s="23"/>
      <c r="DZ57" s="80"/>
      <c r="EA57" s="78"/>
      <c r="EB57" s="79"/>
      <c r="EC57" s="79"/>
      <c r="ED57" s="23"/>
      <c r="EE57" s="23"/>
      <c r="EF57" s="23"/>
      <c r="EG57" s="23"/>
      <c r="EH57" s="23"/>
      <c r="EI57" s="23"/>
      <c r="EJ57" s="23"/>
      <c r="EK57" s="23"/>
      <c r="EL57" s="23"/>
      <c r="EM57" s="23"/>
      <c r="EN57" s="23"/>
      <c r="EO57" s="23"/>
      <c r="EP57" s="23"/>
      <c r="EQ57" s="23"/>
      <c r="ER57" s="23"/>
      <c r="ES57" s="23"/>
      <c r="ET57" s="23"/>
      <c r="EU57" s="23"/>
      <c r="EV57" s="23"/>
      <c r="EW57" s="23"/>
      <c r="EX57" s="23"/>
      <c r="EY57" s="80"/>
      <c r="EZ57" s="78"/>
      <c r="FA57" s="79"/>
      <c r="FB57" s="79"/>
      <c r="FC57" s="23"/>
      <c r="FD57" s="23"/>
      <c r="FE57" s="23"/>
      <c r="FF57" s="23"/>
      <c r="FG57" s="23"/>
      <c r="FH57" s="23"/>
      <c r="FI57" s="23"/>
      <c r="FJ57" s="23"/>
      <c r="FK57" s="23"/>
      <c r="FL57" s="23"/>
      <c r="FM57" s="23"/>
      <c r="FN57" s="23"/>
      <c r="FO57" s="23"/>
      <c r="FP57" s="23"/>
      <c r="FQ57" s="23"/>
      <c r="FR57" s="23"/>
      <c r="FS57" s="23"/>
    </row>
    <row r="58" spans="1:185" ht="16" x14ac:dyDescent="0.35">
      <c r="A58" s="23"/>
      <c r="B58" s="23"/>
      <c r="C58" s="23"/>
      <c r="D58" s="23"/>
      <c r="E58" s="94"/>
      <c r="F58" s="109"/>
      <c r="G58" s="121"/>
      <c r="H58" s="121"/>
      <c r="I58" s="23"/>
      <c r="J58" s="23"/>
      <c r="K58" s="23"/>
      <c r="L58" s="23"/>
      <c r="M58" s="23"/>
      <c r="N58" s="23"/>
      <c r="O58" s="23"/>
      <c r="P58" s="23"/>
      <c r="Q58" s="23"/>
      <c r="R58" s="23"/>
      <c r="S58" s="23"/>
      <c r="T58" s="23"/>
      <c r="U58" s="23"/>
      <c r="V58" s="23"/>
      <c r="W58" s="23"/>
      <c r="X58" s="23"/>
      <c r="Y58" s="23"/>
      <c r="Z58" s="23"/>
      <c r="AA58" s="23"/>
      <c r="AB58" s="23"/>
      <c r="AC58" s="23"/>
      <c r="AD58" s="39"/>
      <c r="AE58" s="39"/>
      <c r="AF58" s="39"/>
      <c r="AG58" s="39"/>
      <c r="AH58" s="23"/>
      <c r="AI58" s="23"/>
      <c r="AJ58" s="23"/>
      <c r="AK58" s="23"/>
      <c r="AL58" s="23"/>
      <c r="AM58" s="23"/>
      <c r="AN58" s="23"/>
      <c r="AO58" s="23"/>
      <c r="AP58" s="23"/>
      <c r="AQ58" s="23"/>
      <c r="AR58" s="23"/>
      <c r="AS58" s="23"/>
      <c r="AT58" s="23"/>
      <c r="AU58" s="23"/>
      <c r="AV58" s="23"/>
      <c r="AW58" s="23"/>
      <c r="AX58" s="23"/>
      <c r="AY58" s="23"/>
      <c r="AZ58" s="23"/>
      <c r="BA58" s="23"/>
      <c r="BB58" s="23"/>
      <c r="BC58" s="79"/>
      <c r="BD58" s="79"/>
      <c r="BE58" s="79"/>
      <c r="BF58" s="79"/>
      <c r="BG58" s="23"/>
      <c r="BH58" s="23"/>
      <c r="BI58" s="23"/>
      <c r="BJ58" s="23"/>
      <c r="BK58" s="23"/>
      <c r="BL58" s="23"/>
      <c r="BM58" s="23"/>
      <c r="BN58" s="23"/>
      <c r="BO58" s="23"/>
      <c r="BP58" s="23"/>
      <c r="BQ58" s="23"/>
      <c r="BR58" s="23"/>
      <c r="BS58" s="23"/>
      <c r="BT58" s="23"/>
      <c r="BU58" s="23"/>
      <c r="BV58" s="23"/>
      <c r="BW58" s="23"/>
      <c r="BX58" s="23"/>
      <c r="BY58" s="23"/>
      <c r="BZ58" s="23"/>
      <c r="CA58" s="23"/>
      <c r="CB58" s="80"/>
      <c r="CC58" s="78"/>
      <c r="CD58" s="79"/>
      <c r="CE58" s="79"/>
      <c r="CF58" s="23"/>
      <c r="CG58" s="23"/>
      <c r="CH58" s="23"/>
      <c r="CI58" s="23"/>
      <c r="CJ58" s="23"/>
      <c r="CK58" s="23"/>
      <c r="CL58" s="23"/>
      <c r="CM58" s="23"/>
      <c r="CN58" s="23"/>
      <c r="CO58" s="23"/>
      <c r="CP58" s="23"/>
      <c r="CQ58" s="23"/>
      <c r="CR58" s="23"/>
      <c r="CS58" s="23"/>
      <c r="CT58" s="23"/>
      <c r="CU58" s="23"/>
      <c r="CV58" s="23"/>
      <c r="CW58" s="23"/>
      <c r="CX58" s="23"/>
      <c r="CY58" s="23"/>
      <c r="CZ58" s="23"/>
      <c r="DA58" s="80"/>
      <c r="DB58" s="78"/>
      <c r="DC58" s="79"/>
      <c r="DD58" s="79"/>
      <c r="DE58" s="23"/>
      <c r="DF58" s="23"/>
      <c r="DG58" s="23"/>
      <c r="DH58" s="23"/>
      <c r="DI58" s="23"/>
      <c r="DJ58" s="23"/>
      <c r="DK58" s="23"/>
      <c r="DL58" s="23"/>
      <c r="DM58" s="23"/>
      <c r="DN58" s="23"/>
      <c r="DO58" s="23"/>
      <c r="DP58" s="23"/>
      <c r="DQ58" s="23"/>
      <c r="DR58" s="23"/>
      <c r="DS58" s="23"/>
      <c r="DT58" s="23"/>
      <c r="DU58" s="23"/>
      <c r="DV58" s="23"/>
      <c r="DW58" s="23"/>
      <c r="DX58" s="23"/>
      <c r="DY58" s="23"/>
      <c r="DZ58" s="80"/>
      <c r="EA58" s="78"/>
      <c r="EB58" s="79"/>
      <c r="EC58" s="79"/>
      <c r="ED58" s="23"/>
      <c r="EE58" s="23"/>
      <c r="EF58" s="23"/>
      <c r="EG58" s="23"/>
      <c r="EH58" s="23"/>
      <c r="EI58" s="23"/>
      <c r="EJ58" s="23"/>
      <c r="EK58" s="23"/>
      <c r="EL58" s="23"/>
      <c r="EM58" s="23"/>
      <c r="EN58" s="23"/>
      <c r="EO58" s="23"/>
      <c r="EP58" s="23"/>
      <c r="EQ58" s="23"/>
      <c r="ER58" s="23"/>
      <c r="ES58" s="23"/>
      <c r="ET58" s="23"/>
      <c r="EU58" s="23"/>
      <c r="EV58" s="23"/>
      <c r="EW58" s="23"/>
      <c r="EX58" s="23"/>
      <c r="EY58" s="80"/>
      <c r="EZ58" s="78"/>
      <c r="FA58" s="79"/>
      <c r="FB58" s="79"/>
      <c r="FC58" s="23"/>
      <c r="FD58" s="23"/>
      <c r="FE58" s="23"/>
      <c r="FF58" s="23"/>
      <c r="FG58" s="23"/>
      <c r="FH58" s="23"/>
      <c r="FI58" s="23"/>
      <c r="FJ58" s="23"/>
      <c r="FK58" s="23"/>
      <c r="FL58" s="23"/>
      <c r="FM58" s="23"/>
      <c r="FN58" s="23"/>
      <c r="FO58" s="23"/>
      <c r="FP58" s="23"/>
      <c r="FQ58" s="23"/>
      <c r="FR58" s="23"/>
      <c r="FS58" s="23"/>
    </row>
    <row r="59" spans="1:185" ht="16.5" thickBot="1" x14ac:dyDescent="0.4">
      <c r="A59" s="23"/>
      <c r="B59" s="23"/>
      <c r="C59" s="23"/>
      <c r="D59" s="23"/>
      <c r="E59" s="95"/>
      <c r="F59" s="109"/>
      <c r="G59" s="121"/>
      <c r="H59" s="121"/>
      <c r="I59" s="23"/>
      <c r="J59" s="23"/>
      <c r="K59" s="23"/>
      <c r="L59" s="23"/>
      <c r="M59" s="23"/>
      <c r="N59" s="23"/>
      <c r="O59" s="23"/>
      <c r="P59" s="23"/>
      <c r="Q59" s="23"/>
      <c r="R59" s="23"/>
      <c r="S59" s="23"/>
      <c r="T59" s="23"/>
      <c r="U59" s="23"/>
      <c r="V59" s="23"/>
      <c r="W59" s="23"/>
      <c r="X59" s="23"/>
      <c r="Y59" s="23"/>
      <c r="Z59" s="23"/>
      <c r="AA59" s="23"/>
      <c r="AB59" s="23"/>
      <c r="AC59" s="23"/>
      <c r="AD59" s="39"/>
      <c r="AE59" s="39"/>
      <c r="AF59" s="39"/>
      <c r="AG59" s="39"/>
      <c r="AH59" s="23"/>
      <c r="AI59" s="23"/>
      <c r="AJ59" s="23"/>
      <c r="AK59" s="23"/>
      <c r="AL59" s="23"/>
      <c r="AM59" s="23"/>
      <c r="AN59" s="23"/>
      <c r="AO59" s="23"/>
      <c r="AP59" s="23"/>
      <c r="AQ59" s="23"/>
      <c r="AR59" s="23"/>
      <c r="AS59" s="23"/>
      <c r="AT59" s="23"/>
      <c r="AU59" s="23"/>
      <c r="AV59" s="23"/>
      <c r="AW59" s="23"/>
      <c r="AX59" s="23"/>
      <c r="AY59" s="23"/>
      <c r="AZ59" s="23"/>
      <c r="BA59" s="23"/>
      <c r="BB59" s="23"/>
      <c r="BC59" s="79"/>
      <c r="BD59" s="79"/>
      <c r="BE59" s="79"/>
      <c r="BF59" s="79"/>
      <c r="BG59" s="23"/>
      <c r="BH59" s="23"/>
      <c r="BI59" s="23"/>
      <c r="BJ59" s="23"/>
      <c r="BK59" s="23"/>
      <c r="BL59" s="23"/>
      <c r="BM59" s="23"/>
      <c r="BN59" s="23"/>
      <c r="BO59" s="23"/>
      <c r="BP59" s="23"/>
      <c r="BQ59" s="23"/>
      <c r="BR59" s="23"/>
      <c r="BS59" s="23"/>
      <c r="BT59" s="23"/>
      <c r="BU59" s="23"/>
      <c r="BV59" s="23"/>
      <c r="BW59" s="23"/>
      <c r="BX59" s="23"/>
      <c r="BY59" s="23"/>
      <c r="BZ59" s="23"/>
      <c r="CA59" s="23"/>
      <c r="CB59" s="81"/>
      <c r="CC59" s="78"/>
      <c r="CD59" s="79"/>
      <c r="CE59" s="79"/>
      <c r="CF59" s="23"/>
      <c r="CG59" s="23"/>
      <c r="CH59" s="23"/>
      <c r="CI59" s="23"/>
      <c r="CJ59" s="23"/>
      <c r="CK59" s="23"/>
      <c r="CL59" s="23"/>
      <c r="CM59" s="23"/>
      <c r="CN59" s="23"/>
      <c r="CO59" s="23"/>
      <c r="CP59" s="23"/>
      <c r="CQ59" s="23"/>
      <c r="CR59" s="23"/>
      <c r="CS59" s="23"/>
      <c r="CT59" s="23"/>
      <c r="CU59" s="23"/>
      <c r="CV59" s="23"/>
      <c r="CW59" s="23"/>
      <c r="CX59" s="23"/>
      <c r="CY59" s="23"/>
      <c r="CZ59" s="23"/>
      <c r="DA59" s="81"/>
      <c r="DB59" s="78"/>
      <c r="DC59" s="79"/>
      <c r="DD59" s="79"/>
      <c r="DE59" s="23"/>
      <c r="DF59" s="23"/>
      <c r="DG59" s="23"/>
      <c r="DH59" s="23"/>
      <c r="DI59" s="23"/>
      <c r="DJ59" s="23"/>
      <c r="DK59" s="23"/>
      <c r="DL59" s="23"/>
      <c r="DM59" s="23"/>
      <c r="DN59" s="23"/>
      <c r="DO59" s="23"/>
      <c r="DP59" s="23"/>
      <c r="DQ59" s="23"/>
      <c r="DR59" s="23"/>
      <c r="DS59" s="23"/>
      <c r="DT59" s="23"/>
      <c r="DU59" s="23"/>
      <c r="DV59" s="23"/>
      <c r="DW59" s="23"/>
      <c r="DX59" s="23"/>
      <c r="DY59" s="23"/>
      <c r="DZ59" s="81"/>
      <c r="EA59" s="78"/>
      <c r="EB59" s="79"/>
      <c r="EC59" s="79"/>
      <c r="ED59" s="23"/>
      <c r="EE59" s="23"/>
      <c r="EF59" s="23"/>
      <c r="EG59" s="23"/>
      <c r="EH59" s="23"/>
      <c r="EI59" s="23"/>
      <c r="EJ59" s="23"/>
      <c r="EK59" s="23"/>
      <c r="EL59" s="23"/>
      <c r="EM59" s="23"/>
      <c r="EN59" s="23"/>
      <c r="EO59" s="23"/>
      <c r="EP59" s="23"/>
      <c r="EQ59" s="23"/>
      <c r="ER59" s="23"/>
      <c r="ES59" s="23"/>
      <c r="ET59" s="23"/>
      <c r="EU59" s="23"/>
      <c r="EV59" s="23"/>
      <c r="EW59" s="23"/>
      <c r="EX59" s="23"/>
      <c r="EY59" s="81"/>
      <c r="EZ59" s="78"/>
      <c r="FA59" s="79"/>
      <c r="FB59" s="79"/>
      <c r="FC59" s="23"/>
      <c r="FD59" s="23"/>
      <c r="FE59" s="23"/>
      <c r="FF59" s="23"/>
      <c r="FG59" s="23"/>
      <c r="FH59" s="23"/>
      <c r="FI59" s="23"/>
      <c r="FJ59" s="23"/>
      <c r="FK59" s="23"/>
      <c r="FL59" s="23"/>
      <c r="FM59" s="23"/>
      <c r="FN59" s="23"/>
      <c r="FO59" s="23"/>
      <c r="FP59" s="23"/>
      <c r="FQ59" s="23"/>
      <c r="FR59" s="23"/>
      <c r="FS59" s="23"/>
    </row>
    <row r="60" spans="1:185" ht="16" x14ac:dyDescent="0.35">
      <c r="A60" s="23"/>
      <c r="B60" s="23"/>
      <c r="C60" s="23"/>
      <c r="D60" s="23"/>
      <c r="E60" s="94" t="s">
        <v>73</v>
      </c>
      <c r="F60" s="107">
        <f>F56-F52</f>
        <v>42582.827603598955</v>
      </c>
      <c r="G60" s="120"/>
      <c r="H60" s="120"/>
      <c r="I60" s="23"/>
      <c r="J60" s="23"/>
      <c r="K60" s="23"/>
      <c r="L60" s="23"/>
      <c r="M60" s="23"/>
      <c r="N60" s="23"/>
      <c r="O60" s="23"/>
      <c r="P60" s="23"/>
      <c r="Q60" s="23"/>
      <c r="R60" s="23"/>
      <c r="S60" s="23"/>
      <c r="T60" s="23"/>
      <c r="U60" s="23"/>
      <c r="V60" s="23"/>
      <c r="W60" s="23"/>
      <c r="X60" s="23"/>
      <c r="Y60" s="23"/>
      <c r="Z60" s="23"/>
      <c r="AA60" s="23"/>
      <c r="AB60" s="23"/>
      <c r="AC60" s="23"/>
      <c r="AD60" s="39"/>
      <c r="AE60" s="39"/>
      <c r="AF60" s="39"/>
      <c r="AG60" s="39"/>
      <c r="AH60" s="23"/>
      <c r="AI60" s="23"/>
      <c r="AJ60" s="23"/>
      <c r="AK60" s="23"/>
      <c r="AL60" s="23"/>
      <c r="AM60" s="23"/>
      <c r="AN60" s="23"/>
      <c r="AO60" s="23"/>
      <c r="AP60" s="23"/>
      <c r="AQ60" s="23"/>
      <c r="AR60" s="23"/>
      <c r="AS60" s="23"/>
      <c r="AT60" s="23"/>
      <c r="AU60" s="23"/>
      <c r="AV60" s="23"/>
      <c r="AW60" s="23"/>
      <c r="AX60" s="23"/>
      <c r="AY60" s="23"/>
      <c r="AZ60" s="23"/>
      <c r="BA60" s="23"/>
      <c r="BB60" s="23"/>
      <c r="BC60" s="79"/>
      <c r="BD60" s="79"/>
      <c r="BE60" s="79"/>
      <c r="BF60" s="79"/>
      <c r="BG60" s="23"/>
      <c r="BH60" s="23"/>
      <c r="BI60" s="23"/>
      <c r="BJ60" s="23"/>
      <c r="BK60" s="23"/>
      <c r="BL60" s="23"/>
      <c r="BM60" s="23"/>
      <c r="BN60" s="23"/>
      <c r="BO60" s="23"/>
      <c r="BP60" s="23"/>
      <c r="BQ60" s="23"/>
      <c r="BR60" s="23"/>
      <c r="BS60" s="23"/>
      <c r="BT60" s="23"/>
      <c r="BU60" s="23"/>
      <c r="BV60" s="23"/>
      <c r="BW60" s="23"/>
      <c r="BX60" s="23"/>
      <c r="BY60" s="23"/>
      <c r="BZ60" s="23"/>
      <c r="CA60" s="23"/>
      <c r="CB60" s="80" t="s">
        <v>73</v>
      </c>
      <c r="CC60" s="76"/>
      <c r="CD60" s="77"/>
      <c r="CE60" s="77"/>
      <c r="CF60" s="23"/>
      <c r="CG60" s="23"/>
      <c r="CH60" s="23"/>
      <c r="CI60" s="23"/>
      <c r="CJ60" s="23"/>
      <c r="CK60" s="23"/>
      <c r="CL60" s="23"/>
      <c r="CM60" s="23"/>
      <c r="CN60" s="23"/>
      <c r="CO60" s="23"/>
      <c r="CP60" s="23"/>
      <c r="CQ60" s="23"/>
      <c r="CR60" s="23"/>
      <c r="CS60" s="23"/>
      <c r="CT60" s="23"/>
      <c r="CU60" s="23"/>
      <c r="CV60" s="23"/>
      <c r="CW60" s="23"/>
      <c r="CX60" s="23"/>
      <c r="CY60" s="23"/>
      <c r="CZ60" s="23"/>
      <c r="DA60" s="80" t="s">
        <v>73</v>
      </c>
      <c r="DB60" s="76"/>
      <c r="DC60" s="77"/>
      <c r="DD60" s="77"/>
      <c r="DE60" s="23"/>
      <c r="DF60" s="23"/>
      <c r="DG60" s="23"/>
      <c r="DH60" s="23"/>
      <c r="DI60" s="23"/>
      <c r="DJ60" s="23"/>
      <c r="DK60" s="23"/>
      <c r="DL60" s="23"/>
      <c r="DM60" s="23"/>
      <c r="DN60" s="23"/>
      <c r="DO60" s="23"/>
      <c r="DP60" s="23"/>
      <c r="DQ60" s="23"/>
      <c r="DR60" s="23"/>
      <c r="DS60" s="23"/>
      <c r="DT60" s="23"/>
      <c r="DU60" s="23"/>
      <c r="DV60" s="23"/>
      <c r="DW60" s="23"/>
      <c r="DX60" s="23"/>
      <c r="DY60" s="23"/>
      <c r="DZ60" s="80" t="s">
        <v>73</v>
      </c>
      <c r="EA60" s="76"/>
      <c r="EB60" s="77"/>
      <c r="EC60" s="77"/>
      <c r="ED60" s="23"/>
      <c r="EE60" s="23"/>
      <c r="EF60" s="23"/>
      <c r="EG60" s="23"/>
      <c r="EH60" s="23"/>
      <c r="EI60" s="23"/>
      <c r="EJ60" s="23"/>
      <c r="EK60" s="23"/>
      <c r="EL60" s="23"/>
      <c r="EM60" s="23"/>
      <c r="EN60" s="23"/>
      <c r="EO60" s="23"/>
      <c r="EP60" s="23"/>
      <c r="EQ60" s="23"/>
      <c r="ER60" s="23"/>
      <c r="ES60" s="23"/>
      <c r="ET60" s="23"/>
      <c r="EU60" s="23"/>
      <c r="EV60" s="23"/>
      <c r="EW60" s="23"/>
      <c r="EX60" s="23"/>
      <c r="EY60" s="80" t="s">
        <v>73</v>
      </c>
      <c r="EZ60" s="76"/>
      <c r="FA60" s="77"/>
      <c r="FB60" s="77"/>
      <c r="FC60" s="23"/>
      <c r="FD60" s="23"/>
      <c r="FE60" s="23"/>
      <c r="FF60" s="23"/>
      <c r="FG60" s="23"/>
      <c r="FH60" s="23"/>
      <c r="FI60" s="23"/>
      <c r="FJ60" s="23"/>
      <c r="FK60" s="23"/>
      <c r="FL60" s="23"/>
      <c r="FM60" s="23"/>
      <c r="FN60" s="23"/>
      <c r="FO60" s="23"/>
      <c r="FP60" s="23"/>
      <c r="FQ60" s="23"/>
      <c r="FR60" s="23"/>
      <c r="FS60" s="23"/>
    </row>
    <row r="61" spans="1:185" ht="16" x14ac:dyDescent="0.35">
      <c r="A61" s="23"/>
      <c r="B61" s="23"/>
      <c r="C61" s="23"/>
      <c r="D61" s="23"/>
      <c r="E61" s="94"/>
      <c r="F61" s="109"/>
      <c r="G61" s="121"/>
      <c r="H61" s="121"/>
      <c r="I61" s="23"/>
      <c r="J61" s="23"/>
      <c r="K61" s="23"/>
      <c r="L61" s="23"/>
      <c r="M61" s="23"/>
      <c r="N61" s="23"/>
      <c r="O61" s="23"/>
      <c r="P61" s="23"/>
      <c r="Q61" s="23"/>
      <c r="R61" s="23"/>
      <c r="S61" s="23"/>
      <c r="T61" s="23"/>
      <c r="U61" s="23"/>
      <c r="V61" s="23"/>
      <c r="W61" s="23"/>
      <c r="X61" s="23"/>
      <c r="Y61" s="23"/>
      <c r="Z61" s="23"/>
      <c r="AA61" s="23"/>
      <c r="AB61" s="23"/>
      <c r="AC61" s="23"/>
      <c r="AD61" s="39"/>
      <c r="AE61" s="39"/>
      <c r="AF61" s="39"/>
      <c r="AG61" s="39"/>
      <c r="AH61" s="23"/>
      <c r="AI61" s="23"/>
      <c r="AJ61" s="23"/>
      <c r="AK61" s="23"/>
      <c r="AL61" s="23"/>
      <c r="AM61" s="23"/>
      <c r="AN61" s="23"/>
      <c r="AO61" s="23"/>
      <c r="AP61" s="23"/>
      <c r="AQ61" s="23"/>
      <c r="AR61" s="23"/>
      <c r="AS61" s="23"/>
      <c r="AT61" s="23"/>
      <c r="AU61" s="23"/>
      <c r="AV61" s="23"/>
      <c r="AW61" s="23"/>
      <c r="AX61" s="23"/>
      <c r="AY61" s="23"/>
      <c r="AZ61" s="23"/>
      <c r="BA61" s="23"/>
      <c r="BB61" s="23"/>
      <c r="BC61" s="79"/>
      <c r="BD61" s="79"/>
      <c r="BE61" s="79"/>
      <c r="BF61" s="79"/>
      <c r="BG61" s="23"/>
      <c r="BH61" s="23"/>
      <c r="BI61" s="23"/>
      <c r="BJ61" s="23"/>
      <c r="BK61" s="23"/>
      <c r="BL61" s="23"/>
      <c r="BM61" s="23"/>
      <c r="BN61" s="23"/>
      <c r="BO61" s="23"/>
      <c r="BP61" s="23"/>
      <c r="BQ61" s="23"/>
      <c r="BR61" s="23"/>
      <c r="BS61" s="23"/>
      <c r="BT61" s="23"/>
      <c r="BU61" s="23"/>
      <c r="BV61" s="23"/>
      <c r="BW61" s="23"/>
      <c r="BX61" s="23"/>
      <c r="BY61" s="23"/>
      <c r="BZ61" s="23"/>
      <c r="CA61" s="23"/>
      <c r="CB61" s="80"/>
      <c r="CC61" s="78"/>
      <c r="CD61" s="79"/>
      <c r="CE61" s="79"/>
      <c r="CF61" s="23"/>
      <c r="CG61" s="23"/>
      <c r="CH61" s="23"/>
      <c r="CI61" s="23"/>
      <c r="CJ61" s="23"/>
      <c r="CK61" s="23"/>
      <c r="CL61" s="23"/>
      <c r="CM61" s="23"/>
      <c r="CN61" s="23"/>
      <c r="CO61" s="23"/>
      <c r="CP61" s="23"/>
      <c r="CQ61" s="23"/>
      <c r="CR61" s="23"/>
      <c r="CS61" s="23"/>
      <c r="CT61" s="23"/>
      <c r="CU61" s="23"/>
      <c r="CV61" s="23"/>
      <c r="CW61" s="23"/>
      <c r="CX61" s="23"/>
      <c r="CY61" s="23"/>
      <c r="CZ61" s="23"/>
      <c r="DA61" s="80"/>
      <c r="DB61" s="78"/>
      <c r="DC61" s="79"/>
      <c r="DD61" s="79"/>
      <c r="DE61" s="23"/>
      <c r="DF61" s="23"/>
      <c r="DG61" s="23"/>
      <c r="DH61" s="23"/>
      <c r="DI61" s="23"/>
      <c r="DJ61" s="23"/>
      <c r="DK61" s="23"/>
      <c r="DL61" s="23"/>
      <c r="DM61" s="23"/>
      <c r="DN61" s="23"/>
      <c r="DO61" s="23"/>
      <c r="DP61" s="23"/>
      <c r="DQ61" s="23"/>
      <c r="DR61" s="23"/>
      <c r="DS61" s="23"/>
      <c r="DT61" s="23"/>
      <c r="DU61" s="23"/>
      <c r="DV61" s="23"/>
      <c r="DW61" s="23"/>
      <c r="DX61" s="23"/>
      <c r="DY61" s="23"/>
      <c r="DZ61" s="80"/>
      <c r="EA61" s="78"/>
      <c r="EB61" s="79"/>
      <c r="EC61" s="79"/>
      <c r="ED61" s="23"/>
      <c r="EE61" s="23"/>
      <c r="EF61" s="23"/>
      <c r="EG61" s="23"/>
      <c r="EH61" s="23"/>
      <c r="EI61" s="23"/>
      <c r="EJ61" s="23"/>
      <c r="EK61" s="23"/>
      <c r="EL61" s="23"/>
      <c r="EM61" s="23"/>
      <c r="EN61" s="23"/>
      <c r="EO61" s="23"/>
      <c r="EP61" s="23"/>
      <c r="EQ61" s="23"/>
      <c r="ER61" s="23"/>
      <c r="ES61" s="23"/>
      <c r="ET61" s="23"/>
      <c r="EU61" s="23"/>
      <c r="EV61" s="23"/>
      <c r="EW61" s="23"/>
      <c r="EX61" s="23"/>
      <c r="EY61" s="80"/>
      <c r="EZ61" s="78"/>
      <c r="FA61" s="79"/>
      <c r="FB61" s="79"/>
      <c r="FC61" s="23"/>
      <c r="FD61" s="23"/>
      <c r="FE61" s="23"/>
      <c r="FF61" s="23"/>
      <c r="FG61" s="23"/>
      <c r="FH61" s="23"/>
      <c r="FI61" s="23"/>
      <c r="FJ61" s="23"/>
      <c r="FK61" s="23"/>
      <c r="FL61" s="23"/>
      <c r="FM61" s="23"/>
      <c r="FN61" s="23"/>
      <c r="FO61" s="23"/>
      <c r="FP61" s="23"/>
      <c r="FQ61" s="23"/>
      <c r="FR61" s="23"/>
      <c r="FS61" s="23"/>
    </row>
    <row r="62" spans="1:185" ht="16" x14ac:dyDescent="0.35">
      <c r="A62" s="23"/>
      <c r="B62" s="23"/>
      <c r="C62" s="23"/>
      <c r="D62" s="23"/>
      <c r="E62" s="94"/>
      <c r="F62" s="109"/>
      <c r="G62" s="121"/>
      <c r="H62" s="121"/>
      <c r="I62" s="23"/>
      <c r="J62" s="23"/>
      <c r="K62" s="23"/>
      <c r="L62" s="23"/>
      <c r="M62" s="23"/>
      <c r="N62" s="23"/>
      <c r="O62" s="23"/>
      <c r="P62" s="23"/>
      <c r="Q62" s="23"/>
      <c r="R62" s="23"/>
      <c r="S62" s="23"/>
      <c r="T62" s="23"/>
      <c r="U62" s="23"/>
      <c r="V62" s="23"/>
      <c r="W62" s="23"/>
      <c r="X62" s="23"/>
      <c r="Y62" s="23"/>
      <c r="Z62" s="23"/>
      <c r="AA62" s="23"/>
      <c r="AB62" s="23"/>
      <c r="AC62" s="23"/>
      <c r="AD62" s="39"/>
      <c r="AE62" s="39"/>
      <c r="AF62" s="39"/>
      <c r="AG62" s="39"/>
      <c r="AH62" s="23"/>
      <c r="AI62" s="23"/>
      <c r="AJ62" s="23"/>
      <c r="AK62" s="23"/>
      <c r="AL62" s="23"/>
      <c r="AM62" s="23"/>
      <c r="AN62" s="23"/>
      <c r="AO62" s="23"/>
      <c r="AP62" s="23"/>
      <c r="AQ62" s="23"/>
      <c r="AR62" s="23"/>
      <c r="AS62" s="23"/>
      <c r="AT62" s="23"/>
      <c r="AU62" s="23"/>
      <c r="AV62" s="23"/>
      <c r="AW62" s="23"/>
      <c r="AX62" s="23"/>
      <c r="AY62" s="23"/>
      <c r="AZ62" s="23"/>
      <c r="BA62" s="23"/>
      <c r="BB62" s="23"/>
      <c r="BC62" s="79"/>
      <c r="BD62" s="79"/>
      <c r="BE62" s="79"/>
      <c r="BF62" s="79"/>
      <c r="BG62" s="23"/>
      <c r="BH62" s="23"/>
      <c r="BI62" s="23"/>
      <c r="BJ62" s="23"/>
      <c r="BK62" s="23"/>
      <c r="BL62" s="23"/>
      <c r="BM62" s="23"/>
      <c r="BN62" s="23"/>
      <c r="BO62" s="23"/>
      <c r="BP62" s="23"/>
      <c r="BQ62" s="23"/>
      <c r="BR62" s="23"/>
      <c r="BS62" s="23"/>
      <c r="BT62" s="23"/>
      <c r="BU62" s="23"/>
      <c r="BV62" s="23"/>
      <c r="BW62" s="23"/>
      <c r="BX62" s="23"/>
      <c r="BY62" s="23"/>
      <c r="BZ62" s="23"/>
      <c r="CA62" s="23"/>
      <c r="CB62" s="80"/>
      <c r="CC62" s="78"/>
      <c r="CD62" s="79"/>
      <c r="CE62" s="79"/>
      <c r="CF62" s="23"/>
      <c r="CG62" s="23"/>
      <c r="CH62" s="23"/>
      <c r="CI62" s="23"/>
      <c r="CJ62" s="23"/>
      <c r="CK62" s="23"/>
      <c r="CL62" s="23"/>
      <c r="CM62" s="23"/>
      <c r="CN62" s="23"/>
      <c r="CO62" s="23"/>
      <c r="CP62" s="23"/>
      <c r="CQ62" s="23"/>
      <c r="CR62" s="23"/>
      <c r="CS62" s="23"/>
      <c r="CT62" s="23"/>
      <c r="CU62" s="23"/>
      <c r="CV62" s="23"/>
      <c r="CW62" s="23"/>
      <c r="CX62" s="23"/>
      <c r="CY62" s="23"/>
      <c r="CZ62" s="23"/>
      <c r="DA62" s="80"/>
      <c r="DB62" s="78"/>
      <c r="DC62" s="79"/>
      <c r="DD62" s="79"/>
      <c r="DE62" s="23"/>
      <c r="DF62" s="23"/>
      <c r="DG62" s="23"/>
      <c r="DH62" s="23"/>
      <c r="DI62" s="23"/>
      <c r="DJ62" s="23"/>
      <c r="DK62" s="23"/>
      <c r="DL62" s="23"/>
      <c r="DM62" s="23"/>
      <c r="DN62" s="23"/>
      <c r="DO62" s="23"/>
      <c r="DP62" s="23"/>
      <c r="DQ62" s="23"/>
      <c r="DR62" s="23"/>
      <c r="DS62" s="23"/>
      <c r="DT62" s="23"/>
      <c r="DU62" s="23"/>
      <c r="DV62" s="23"/>
      <c r="DW62" s="23"/>
      <c r="DX62" s="23"/>
      <c r="DY62" s="23"/>
      <c r="DZ62" s="80"/>
      <c r="EA62" s="78"/>
      <c r="EB62" s="79"/>
      <c r="EC62" s="79"/>
      <c r="ED62" s="23"/>
      <c r="EE62" s="23"/>
      <c r="EF62" s="23"/>
      <c r="EG62" s="23"/>
      <c r="EH62" s="23"/>
      <c r="EI62" s="23"/>
      <c r="EJ62" s="23"/>
      <c r="EK62" s="23"/>
      <c r="EL62" s="23"/>
      <c r="EM62" s="23"/>
      <c r="EN62" s="23"/>
      <c r="EO62" s="23"/>
      <c r="EP62" s="23"/>
      <c r="EQ62" s="23"/>
      <c r="ER62" s="23"/>
      <c r="ES62" s="23"/>
      <c r="ET62" s="23"/>
      <c r="EU62" s="23"/>
      <c r="EV62" s="23"/>
      <c r="EW62" s="23"/>
      <c r="EX62" s="23"/>
      <c r="EY62" s="80"/>
      <c r="EZ62" s="78"/>
      <c r="FA62" s="79"/>
      <c r="FB62" s="79"/>
      <c r="FC62" s="23"/>
      <c r="FD62" s="23"/>
      <c r="FE62" s="23"/>
      <c r="FF62" s="23"/>
      <c r="FG62" s="23"/>
      <c r="FH62" s="23"/>
      <c r="FI62" s="2"/>
      <c r="FJ62" s="2"/>
      <c r="FK62" s="2"/>
      <c r="FL62" s="2"/>
      <c r="FM62" s="2"/>
      <c r="FN62" s="2"/>
      <c r="FO62" s="2"/>
      <c r="FP62" s="2"/>
      <c r="FQ62" s="2"/>
      <c r="FR62" s="2"/>
      <c r="FS62" s="2"/>
      <c r="FT62" s="2"/>
      <c r="FU62" s="2"/>
      <c r="FV62" s="2"/>
      <c r="FW62" s="2"/>
      <c r="FX62" s="2"/>
      <c r="FY62" s="2"/>
      <c r="FZ62" s="2"/>
      <c r="GA62" s="2"/>
      <c r="GB62" s="2"/>
      <c r="GC62" s="2"/>
    </row>
    <row r="63" spans="1:185" ht="16.5" thickBot="1" x14ac:dyDescent="0.4">
      <c r="A63" s="23"/>
      <c r="B63" s="23"/>
      <c r="C63" s="23"/>
      <c r="D63" s="23"/>
      <c r="E63" s="95"/>
      <c r="F63" s="109"/>
      <c r="G63" s="121"/>
      <c r="H63" s="121"/>
      <c r="I63" s="23"/>
      <c r="J63" s="23"/>
      <c r="K63" s="23"/>
      <c r="L63" s="23"/>
      <c r="M63" s="23"/>
      <c r="N63" s="23"/>
      <c r="O63" s="23"/>
      <c r="P63" s="23"/>
      <c r="Q63" s="23"/>
      <c r="R63" s="23"/>
      <c r="S63" s="23"/>
      <c r="T63" s="23"/>
      <c r="U63" s="23"/>
      <c r="V63" s="23"/>
      <c r="W63" s="23"/>
      <c r="X63" s="23"/>
      <c r="Y63" s="23"/>
      <c r="Z63" s="23"/>
      <c r="AA63" s="23"/>
      <c r="AB63" s="23"/>
      <c r="AC63" s="23"/>
      <c r="AD63" s="39"/>
      <c r="AE63" s="39"/>
      <c r="AF63" s="39"/>
      <c r="AG63" s="39"/>
      <c r="AH63" s="23"/>
      <c r="AI63" s="23"/>
      <c r="AJ63" s="23"/>
      <c r="AK63" s="23"/>
      <c r="AL63" s="23"/>
      <c r="AM63" s="23"/>
      <c r="AN63" s="23"/>
      <c r="AO63" s="23"/>
      <c r="AP63" s="23"/>
      <c r="AQ63" s="23"/>
      <c r="AR63" s="23"/>
      <c r="AS63" s="23"/>
      <c r="AT63" s="23"/>
      <c r="AU63" s="23"/>
      <c r="AV63" s="23"/>
      <c r="AW63" s="23"/>
      <c r="AX63" s="23"/>
      <c r="AY63" s="23"/>
      <c r="AZ63" s="23"/>
      <c r="BA63" s="23"/>
      <c r="BB63" s="23"/>
      <c r="BC63" s="79"/>
      <c r="BD63" s="79"/>
      <c r="BE63" s="79"/>
      <c r="BF63" s="79"/>
      <c r="BG63" s="23"/>
      <c r="BH63" s="23"/>
      <c r="BI63" s="23"/>
      <c r="BJ63" s="23"/>
      <c r="BK63" s="23"/>
      <c r="BL63" s="23"/>
      <c r="BM63" s="23"/>
      <c r="BN63" s="23"/>
      <c r="BO63" s="23"/>
      <c r="BP63" s="23"/>
      <c r="BQ63" s="23"/>
      <c r="BR63" s="23"/>
      <c r="BS63" s="23"/>
      <c r="BT63" s="23"/>
      <c r="BU63" s="23"/>
      <c r="BV63" s="23"/>
      <c r="BW63" s="23"/>
      <c r="BX63" s="23"/>
      <c r="BY63" s="23"/>
      <c r="BZ63" s="23"/>
      <c r="CA63" s="23"/>
      <c r="CB63" s="81"/>
      <c r="CC63" s="78"/>
      <c r="CD63" s="79"/>
      <c r="CE63" s="79"/>
      <c r="CF63" s="23"/>
      <c r="CG63" s="23"/>
      <c r="CH63" s="23"/>
      <c r="CI63" s="23"/>
      <c r="CJ63" s="23"/>
      <c r="CK63" s="23"/>
      <c r="CL63" s="23"/>
      <c r="CM63" s="23"/>
      <c r="CN63" s="23"/>
      <c r="CO63" s="23"/>
      <c r="CP63" s="23"/>
      <c r="CQ63" s="23"/>
      <c r="CR63" s="23"/>
      <c r="CS63" s="23"/>
      <c r="CT63" s="23"/>
      <c r="CU63" s="23"/>
      <c r="CV63" s="23"/>
      <c r="CW63" s="23"/>
      <c r="CX63" s="23"/>
      <c r="CY63" s="23"/>
      <c r="CZ63" s="23"/>
      <c r="DA63" s="81"/>
      <c r="DB63" s="78"/>
      <c r="DC63" s="79"/>
      <c r="DD63" s="79"/>
      <c r="DE63" s="23"/>
      <c r="DF63" s="23"/>
      <c r="DG63" s="23"/>
      <c r="DH63" s="23"/>
      <c r="DI63" s="23"/>
      <c r="DJ63" s="23"/>
      <c r="DK63" s="23"/>
      <c r="DL63" s="23"/>
      <c r="DM63" s="23"/>
      <c r="DN63" s="23"/>
      <c r="DO63" s="23"/>
      <c r="DP63" s="23"/>
      <c r="DQ63" s="23"/>
      <c r="DR63" s="23"/>
      <c r="DS63" s="23"/>
      <c r="DT63" s="23"/>
      <c r="DU63" s="23"/>
      <c r="DV63" s="23"/>
      <c r="DW63" s="23"/>
      <c r="DX63" s="23"/>
      <c r="DY63" s="23"/>
      <c r="DZ63" s="81"/>
      <c r="EA63" s="78"/>
      <c r="EB63" s="79"/>
      <c r="EC63" s="79"/>
      <c r="ED63" s="23"/>
      <c r="EE63" s="23"/>
      <c r="EF63" s="23"/>
      <c r="EG63" s="23"/>
      <c r="EH63" s="23"/>
      <c r="EI63" s="23"/>
      <c r="EJ63" s="23"/>
      <c r="EK63" s="23"/>
      <c r="EL63" s="23"/>
      <c r="EM63" s="23"/>
      <c r="EN63" s="23"/>
      <c r="EO63" s="23"/>
      <c r="EP63" s="23"/>
      <c r="EQ63" s="23"/>
      <c r="ER63" s="23"/>
      <c r="ES63" s="23"/>
      <c r="ET63" s="23"/>
      <c r="EU63" s="23"/>
      <c r="EV63" s="23"/>
      <c r="EW63" s="23"/>
      <c r="EX63" s="23"/>
      <c r="EY63" s="81"/>
      <c r="EZ63" s="78"/>
      <c r="FA63" s="79"/>
      <c r="FB63" s="79"/>
      <c r="FC63" s="23"/>
      <c r="FD63" s="23"/>
      <c r="FE63" s="23"/>
      <c r="FF63" s="23"/>
      <c r="FG63" s="23"/>
      <c r="FH63" s="23"/>
      <c r="FI63" s="2"/>
      <c r="FJ63" s="2"/>
      <c r="FK63" s="2"/>
      <c r="FL63" s="2"/>
      <c r="FM63" s="2"/>
      <c r="FN63" s="2"/>
      <c r="FO63" s="2"/>
      <c r="FP63" s="2"/>
      <c r="FQ63" s="2"/>
      <c r="FR63" s="2"/>
      <c r="FS63" s="2"/>
      <c r="FT63" s="2"/>
      <c r="FU63" s="2"/>
      <c r="FV63" s="2"/>
      <c r="FW63" s="2"/>
      <c r="FX63" s="2"/>
      <c r="FY63" s="2"/>
      <c r="FZ63" s="2"/>
      <c r="GA63" s="2"/>
      <c r="GB63" s="2"/>
      <c r="GC63" s="2"/>
    </row>
    <row r="64" spans="1:185" ht="16" x14ac:dyDescent="0.35">
      <c r="A64" s="23"/>
      <c r="B64" s="23"/>
      <c r="C64" s="23"/>
      <c r="D64" s="23"/>
      <c r="E64" s="94" t="s">
        <v>74</v>
      </c>
      <c r="F64" s="107">
        <f>(F60)/7700</f>
        <v>5.5302373511167477</v>
      </c>
      <c r="G64" s="120"/>
      <c r="H64" s="120"/>
      <c r="I64" s="23"/>
      <c r="J64" s="23"/>
      <c r="K64" s="23"/>
      <c r="L64" s="23"/>
      <c r="M64" s="23"/>
      <c r="N64" s="23"/>
      <c r="O64" s="23"/>
      <c r="P64" s="23"/>
      <c r="Q64" s="23"/>
      <c r="R64" s="23"/>
      <c r="S64" s="23"/>
      <c r="T64" s="23"/>
      <c r="U64" s="23"/>
      <c r="V64" s="23"/>
      <c r="W64" s="23"/>
      <c r="X64" s="23"/>
      <c r="Y64" s="23"/>
      <c r="Z64" s="23"/>
      <c r="AA64" s="23"/>
      <c r="AB64" s="23"/>
      <c r="AC64" s="23"/>
      <c r="AD64" s="23"/>
      <c r="AE64" s="39"/>
      <c r="AF64" s="39"/>
      <c r="AG64" s="39"/>
      <c r="AH64" s="23"/>
      <c r="AI64" s="23"/>
      <c r="AJ64" s="23"/>
      <c r="AK64" s="23"/>
      <c r="AL64" s="23"/>
      <c r="AM64" s="23"/>
      <c r="AN64" s="23"/>
      <c r="AO64" s="23"/>
      <c r="AP64" s="23"/>
      <c r="AQ64" s="23"/>
      <c r="AR64" s="23"/>
      <c r="AS64" s="23"/>
      <c r="AT64" s="23"/>
      <c r="AU64" s="23"/>
      <c r="AV64" s="23"/>
      <c r="AW64" s="23"/>
      <c r="AX64" s="23"/>
      <c r="AY64" s="23"/>
      <c r="AZ64" s="23"/>
      <c r="BA64" s="23"/>
      <c r="BB64" s="23"/>
      <c r="BC64" s="79"/>
      <c r="BD64" s="79"/>
      <c r="BE64" s="79"/>
      <c r="BF64" s="79"/>
      <c r="BG64" s="23"/>
      <c r="BH64" s="23"/>
      <c r="BI64" s="23"/>
      <c r="BJ64" s="23"/>
      <c r="BK64" s="23"/>
      <c r="BL64" s="23"/>
      <c r="BM64" s="23"/>
      <c r="BN64" s="23"/>
      <c r="BO64" s="23"/>
      <c r="BP64" s="23"/>
      <c r="BQ64" s="23"/>
      <c r="BR64" s="23"/>
      <c r="BS64" s="23"/>
      <c r="BT64" s="23"/>
      <c r="BU64" s="23"/>
      <c r="BV64" s="23"/>
      <c r="BW64" s="23"/>
      <c r="BX64" s="23"/>
      <c r="BY64" s="23"/>
      <c r="BZ64" s="23"/>
      <c r="CA64" s="23"/>
      <c r="CB64" s="80" t="s">
        <v>74</v>
      </c>
      <c r="CC64" s="76"/>
      <c r="CD64" s="77"/>
      <c r="CE64" s="77"/>
      <c r="CF64" s="23"/>
      <c r="CG64" s="23"/>
      <c r="CH64" s="23"/>
      <c r="CI64" s="23"/>
      <c r="CJ64" s="23"/>
      <c r="CK64" s="23"/>
      <c r="CL64" s="23"/>
      <c r="CM64" s="23"/>
      <c r="CN64" s="23"/>
      <c r="CO64" s="23"/>
      <c r="CP64" s="23"/>
      <c r="CQ64" s="23"/>
      <c r="CR64" s="23"/>
      <c r="CS64" s="23"/>
      <c r="CT64" s="23"/>
      <c r="CU64" s="23"/>
      <c r="CV64" s="23"/>
      <c r="CW64" s="23"/>
      <c r="CX64" s="23"/>
      <c r="CY64" s="23"/>
      <c r="CZ64" s="23"/>
      <c r="DA64" s="80" t="s">
        <v>74</v>
      </c>
      <c r="DB64" s="76"/>
      <c r="DC64" s="77"/>
      <c r="DD64" s="77"/>
      <c r="DE64" s="23"/>
      <c r="DF64" s="23"/>
      <c r="DG64" s="23"/>
      <c r="DH64" s="23"/>
      <c r="DI64" s="23"/>
      <c r="DJ64" s="23"/>
      <c r="DK64" s="23"/>
      <c r="DL64" s="23"/>
      <c r="DM64" s="23"/>
      <c r="DN64" s="23"/>
      <c r="DO64" s="23"/>
      <c r="DP64" s="23"/>
      <c r="DQ64" s="23"/>
      <c r="DR64" s="23"/>
      <c r="DS64" s="23"/>
      <c r="DT64" s="23"/>
      <c r="DU64" s="23"/>
      <c r="DV64" s="23"/>
      <c r="DW64" s="23"/>
      <c r="DX64" s="23"/>
      <c r="DY64" s="23"/>
      <c r="DZ64" s="80" t="s">
        <v>74</v>
      </c>
      <c r="EA64" s="76"/>
      <c r="EB64" s="77"/>
      <c r="EC64" s="77"/>
      <c r="ED64" s="23"/>
      <c r="EE64" s="23"/>
      <c r="EF64" s="23"/>
      <c r="EG64" s="23"/>
      <c r="EH64" s="23"/>
      <c r="EI64" s="23"/>
      <c r="EJ64" s="23"/>
      <c r="EK64" s="23"/>
      <c r="EL64" s="23"/>
      <c r="EM64" s="23"/>
      <c r="EN64" s="23"/>
      <c r="EO64" s="23"/>
      <c r="EP64" s="23"/>
      <c r="EQ64" s="23"/>
      <c r="ER64" s="23"/>
      <c r="ES64" s="23"/>
      <c r="ET64" s="23"/>
      <c r="EU64" s="23"/>
      <c r="EV64" s="23"/>
      <c r="EW64" s="23"/>
      <c r="EX64" s="23"/>
      <c r="EY64" s="80" t="s">
        <v>74</v>
      </c>
      <c r="EZ64" s="76"/>
      <c r="FA64" s="77"/>
      <c r="FB64" s="77"/>
      <c r="FC64" s="23"/>
      <c r="FD64" s="23"/>
      <c r="FE64" s="23"/>
      <c r="FF64" s="23"/>
      <c r="FG64" s="23"/>
      <c r="FH64" s="23"/>
      <c r="FI64" s="2"/>
      <c r="FJ64" s="2"/>
      <c r="FK64" s="2"/>
      <c r="FL64" s="2"/>
      <c r="FM64" s="2"/>
      <c r="FN64" s="2"/>
      <c r="FO64" s="2"/>
      <c r="FP64" s="2"/>
      <c r="FQ64" s="2"/>
      <c r="FR64" s="2"/>
      <c r="FS64" s="2"/>
      <c r="FT64" s="2"/>
      <c r="FU64" s="2"/>
      <c r="FV64" s="2"/>
      <c r="FW64" s="2"/>
      <c r="FX64" s="2"/>
      <c r="FY64" s="2"/>
      <c r="FZ64" s="2"/>
      <c r="GA64" s="2"/>
      <c r="GB64" s="2"/>
      <c r="GC64" s="2"/>
    </row>
    <row r="65" spans="1:185" ht="16" x14ac:dyDescent="0.35">
      <c r="A65" s="23"/>
      <c r="B65" s="23"/>
      <c r="C65" s="23"/>
      <c r="D65" s="23"/>
      <c r="E65" s="94"/>
      <c r="F65" s="109"/>
      <c r="G65" s="121"/>
      <c r="H65" s="121"/>
      <c r="I65" s="23"/>
      <c r="J65" s="23"/>
      <c r="K65" s="23"/>
      <c r="L65" s="23"/>
      <c r="M65" s="23"/>
      <c r="N65" s="23"/>
      <c r="O65" s="23"/>
      <c r="P65" s="23"/>
      <c r="Q65" s="23"/>
      <c r="R65" s="23"/>
      <c r="S65" s="23"/>
      <c r="T65" s="23"/>
      <c r="U65" s="23"/>
      <c r="V65" s="23"/>
      <c r="W65" s="23"/>
      <c r="X65" s="23"/>
      <c r="Y65" s="23"/>
      <c r="Z65" s="23"/>
      <c r="AA65" s="23"/>
      <c r="AB65" s="23"/>
      <c r="AC65" s="23"/>
      <c r="AD65" s="39"/>
      <c r="AE65" s="39"/>
      <c r="AF65" s="39"/>
      <c r="AG65" s="39"/>
      <c r="AH65" s="23"/>
      <c r="AI65" s="23"/>
      <c r="AJ65" s="23"/>
      <c r="AK65" s="23"/>
      <c r="AL65" s="23"/>
      <c r="AM65" s="23"/>
      <c r="AN65" s="23"/>
      <c r="AO65" s="23"/>
      <c r="AP65" s="23"/>
      <c r="AQ65" s="23"/>
      <c r="AR65" s="23"/>
      <c r="AS65" s="23"/>
      <c r="AT65" s="23"/>
      <c r="AU65" s="23"/>
      <c r="AV65" s="23"/>
      <c r="AW65" s="23"/>
      <c r="AX65" s="23"/>
      <c r="AY65" s="23"/>
      <c r="AZ65" s="23"/>
      <c r="BA65" s="23"/>
      <c r="BB65" s="23"/>
      <c r="BC65" s="79"/>
      <c r="BD65" s="79"/>
      <c r="BE65" s="79"/>
      <c r="BF65" s="79"/>
      <c r="BG65" s="23"/>
      <c r="BH65" s="23"/>
      <c r="BI65" s="23"/>
      <c r="BJ65" s="23"/>
      <c r="BK65" s="23"/>
      <c r="BL65" s="23"/>
      <c r="BM65" s="23"/>
      <c r="BN65" s="23"/>
      <c r="BO65" s="23"/>
      <c r="BP65" s="23"/>
      <c r="BQ65" s="23"/>
      <c r="BR65" s="23"/>
      <c r="BS65" s="23"/>
      <c r="BT65" s="23"/>
      <c r="BU65" s="23"/>
      <c r="BV65" s="23"/>
      <c r="BW65" s="23"/>
      <c r="BX65" s="23"/>
      <c r="BY65" s="23"/>
      <c r="BZ65" s="23"/>
      <c r="CA65" s="23"/>
      <c r="CB65" s="80"/>
      <c r="CC65" s="78"/>
      <c r="CD65" s="79"/>
      <c r="CE65" s="79"/>
      <c r="CF65" s="23"/>
      <c r="CG65" s="23"/>
      <c r="CH65" s="23"/>
      <c r="CI65" s="23"/>
      <c r="CJ65" s="23"/>
      <c r="CK65" s="23"/>
      <c r="CL65" s="23"/>
      <c r="CM65" s="23"/>
      <c r="CN65" s="23"/>
      <c r="CO65" s="23"/>
      <c r="CP65" s="23"/>
      <c r="CQ65" s="23"/>
      <c r="CR65" s="23"/>
      <c r="CS65" s="23"/>
      <c r="CT65" s="23"/>
      <c r="CU65" s="23"/>
      <c r="CV65" s="23"/>
      <c r="CW65" s="23"/>
      <c r="CX65" s="23"/>
      <c r="CY65" s="23"/>
      <c r="CZ65" s="23"/>
      <c r="DA65" s="80"/>
      <c r="DB65" s="78"/>
      <c r="DC65" s="79"/>
      <c r="DD65" s="79"/>
      <c r="DE65" s="23"/>
      <c r="DF65" s="23"/>
      <c r="DG65" s="23"/>
      <c r="DH65" s="23"/>
      <c r="DI65" s="23"/>
      <c r="DJ65" s="23"/>
      <c r="DK65" s="23"/>
      <c r="DL65" s="23"/>
      <c r="DM65" s="23"/>
      <c r="DN65" s="23"/>
      <c r="DO65" s="23"/>
      <c r="DP65" s="23"/>
      <c r="DQ65" s="23"/>
      <c r="DR65" s="23"/>
      <c r="DS65" s="23"/>
      <c r="DT65" s="23"/>
      <c r="DU65" s="23"/>
      <c r="DV65" s="23"/>
      <c r="DW65" s="23"/>
      <c r="DX65" s="23"/>
      <c r="DY65" s="23"/>
      <c r="DZ65" s="80"/>
      <c r="EA65" s="78"/>
      <c r="EB65" s="79"/>
      <c r="EC65" s="79"/>
      <c r="ED65" s="23"/>
      <c r="EE65" s="23"/>
      <c r="EF65" s="23"/>
      <c r="EG65" s="23"/>
      <c r="EH65" s="23"/>
      <c r="EI65" s="23"/>
      <c r="EJ65" s="23"/>
      <c r="EK65" s="23"/>
      <c r="EL65" s="23"/>
      <c r="EM65" s="23"/>
      <c r="EN65" s="23"/>
      <c r="EO65" s="23"/>
      <c r="EP65" s="23"/>
      <c r="EQ65" s="23"/>
      <c r="ER65" s="23"/>
      <c r="ES65" s="23"/>
      <c r="ET65" s="23"/>
      <c r="EU65" s="23"/>
      <c r="EV65" s="23"/>
      <c r="EW65" s="23"/>
      <c r="EX65" s="23"/>
      <c r="EY65" s="80"/>
      <c r="EZ65" s="78"/>
      <c r="FA65" s="79"/>
      <c r="FB65" s="79"/>
      <c r="FC65" s="23"/>
      <c r="FD65" s="23"/>
      <c r="FE65" s="23"/>
      <c r="FF65" s="23"/>
      <c r="FG65" s="23"/>
      <c r="FH65" s="23"/>
      <c r="FI65" s="2"/>
      <c r="FJ65" s="2"/>
      <c r="FK65" s="2"/>
      <c r="FL65" s="2"/>
      <c r="FM65" s="2"/>
      <c r="FN65" s="2"/>
      <c r="FO65" s="2"/>
      <c r="FP65" s="2"/>
      <c r="FQ65" s="2"/>
      <c r="FR65" s="2"/>
      <c r="FS65" s="2"/>
      <c r="FT65" s="2"/>
      <c r="FU65" s="2"/>
      <c r="FV65" s="2"/>
      <c r="FW65" s="2"/>
      <c r="FX65" s="2"/>
      <c r="FY65" s="2"/>
      <c r="FZ65" s="2"/>
      <c r="GA65" s="2"/>
      <c r="GB65" s="2"/>
      <c r="GC65" s="2"/>
    </row>
    <row r="66" spans="1:185" ht="16" x14ac:dyDescent="0.35">
      <c r="A66" s="23"/>
      <c r="B66" s="23"/>
      <c r="C66" s="23"/>
      <c r="D66" s="23"/>
      <c r="E66" s="94"/>
      <c r="F66" s="109"/>
      <c r="G66" s="121"/>
      <c r="H66" s="121"/>
      <c r="I66" s="23"/>
      <c r="J66" s="23"/>
      <c r="K66" s="23"/>
      <c r="L66" s="23"/>
      <c r="M66" s="23"/>
      <c r="N66" s="23"/>
      <c r="O66" s="23"/>
      <c r="P66" s="23"/>
      <c r="Q66" s="23"/>
      <c r="R66" s="23"/>
      <c r="S66" s="23"/>
      <c r="T66" s="23"/>
      <c r="U66" s="23"/>
      <c r="V66" s="23"/>
      <c r="W66" s="23"/>
      <c r="X66" s="23"/>
      <c r="Y66" s="23"/>
      <c r="Z66" s="23"/>
      <c r="AA66" s="23"/>
      <c r="AB66" s="23"/>
      <c r="AC66" s="23"/>
      <c r="AD66" s="39"/>
      <c r="AE66" s="39"/>
      <c r="AF66" s="39"/>
      <c r="AG66" s="39"/>
      <c r="AH66" s="23"/>
      <c r="AI66" s="23"/>
      <c r="AJ66" s="23"/>
      <c r="AK66" s="23"/>
      <c r="AL66" s="23"/>
      <c r="AM66" s="23"/>
      <c r="AN66" s="23"/>
      <c r="AO66" s="23"/>
      <c r="AP66" s="23"/>
      <c r="AQ66" s="23"/>
      <c r="AR66" s="23"/>
      <c r="AS66" s="23"/>
      <c r="AT66" s="23"/>
      <c r="AU66" s="23"/>
      <c r="AV66" s="23"/>
      <c r="AW66" s="23"/>
      <c r="AX66" s="23"/>
      <c r="AY66" s="23"/>
      <c r="AZ66" s="23"/>
      <c r="BA66" s="23"/>
      <c r="BB66" s="23"/>
      <c r="BC66" s="79"/>
      <c r="BD66" s="79"/>
      <c r="BE66" s="79"/>
      <c r="BF66" s="79"/>
      <c r="BG66" s="23"/>
      <c r="BH66" s="23"/>
      <c r="BI66" s="23"/>
      <c r="BJ66" s="23"/>
      <c r="BK66" s="23"/>
      <c r="BL66" s="23"/>
      <c r="BM66" s="23"/>
      <c r="BN66" s="23"/>
      <c r="BO66" s="23"/>
      <c r="BP66" s="23"/>
      <c r="BQ66" s="23"/>
      <c r="BR66" s="23"/>
      <c r="BS66" s="23"/>
      <c r="BT66" s="23"/>
      <c r="BU66" s="23"/>
      <c r="BV66" s="23"/>
      <c r="BW66" s="23"/>
      <c r="BX66" s="23"/>
      <c r="BY66" s="23"/>
      <c r="BZ66" s="23"/>
      <c r="CA66" s="23"/>
      <c r="CB66" s="80"/>
      <c r="CC66" s="78"/>
      <c r="CD66" s="79"/>
      <c r="CE66" s="79"/>
      <c r="CF66" s="23"/>
      <c r="CG66" s="23"/>
      <c r="CH66" s="23"/>
      <c r="CI66" s="23"/>
      <c r="CJ66" s="23"/>
      <c r="CK66" s="23"/>
      <c r="CL66" s="23"/>
      <c r="CM66" s="23"/>
      <c r="CN66" s="23"/>
      <c r="CO66" s="23"/>
      <c r="CP66" s="23"/>
      <c r="CQ66" s="23"/>
      <c r="CR66" s="23"/>
      <c r="CS66" s="23"/>
      <c r="CT66" s="23"/>
      <c r="CU66" s="23"/>
      <c r="CV66" s="23"/>
      <c r="CW66" s="23"/>
      <c r="CX66" s="23"/>
      <c r="CY66" s="23"/>
      <c r="CZ66" s="23"/>
      <c r="DA66" s="80"/>
      <c r="DB66" s="78"/>
      <c r="DC66" s="79"/>
      <c r="DD66" s="79"/>
      <c r="DE66" s="23"/>
      <c r="DF66" s="23"/>
      <c r="DG66" s="23"/>
      <c r="DH66" s="23"/>
      <c r="DI66" s="23"/>
      <c r="DJ66" s="23"/>
      <c r="DK66" s="23"/>
      <c r="DL66" s="23"/>
      <c r="DM66" s="23"/>
      <c r="DN66" s="23"/>
      <c r="DO66" s="23"/>
      <c r="DP66" s="23"/>
      <c r="DQ66" s="23"/>
      <c r="DR66" s="23"/>
      <c r="DS66" s="23"/>
      <c r="DT66" s="23"/>
      <c r="DU66" s="23"/>
      <c r="DV66" s="23"/>
      <c r="DW66" s="23"/>
      <c r="DX66" s="23"/>
      <c r="DY66" s="23"/>
      <c r="DZ66" s="80"/>
      <c r="EA66" s="78"/>
      <c r="EB66" s="79"/>
      <c r="EC66" s="79"/>
      <c r="ED66" s="23"/>
      <c r="EE66" s="23"/>
      <c r="EF66" s="23"/>
      <c r="EG66" s="23"/>
      <c r="EH66" s="23"/>
      <c r="EI66" s="23"/>
      <c r="EJ66" s="23"/>
      <c r="EK66" s="23"/>
      <c r="EL66" s="23"/>
      <c r="EM66" s="23"/>
      <c r="EN66" s="23"/>
      <c r="EO66" s="23"/>
      <c r="EP66" s="23"/>
      <c r="EQ66" s="23"/>
      <c r="ER66" s="23"/>
      <c r="ES66" s="23"/>
      <c r="ET66" s="23"/>
      <c r="EU66" s="23"/>
      <c r="EV66" s="23"/>
      <c r="EW66" s="23"/>
      <c r="EX66" s="23"/>
      <c r="EY66" s="80"/>
      <c r="EZ66" s="78"/>
      <c r="FA66" s="79"/>
      <c r="FB66" s="79"/>
      <c r="FC66" s="23"/>
      <c r="FD66" s="23"/>
      <c r="FE66" s="23"/>
      <c r="FF66" s="23"/>
      <c r="FG66" s="23"/>
      <c r="FH66" s="23"/>
      <c r="FI66" s="2"/>
      <c r="FJ66" s="2"/>
      <c r="FK66" s="2"/>
      <c r="FL66" s="2"/>
      <c r="FM66" s="2"/>
      <c r="FN66" s="2"/>
      <c r="FO66" s="2"/>
      <c r="FP66" s="2"/>
      <c r="FQ66" s="2"/>
      <c r="FR66" s="2"/>
      <c r="FS66" s="2"/>
      <c r="FT66" s="2"/>
      <c r="FU66" s="2"/>
      <c r="FV66" s="2"/>
      <c r="FW66" s="2"/>
      <c r="FX66" s="2"/>
      <c r="FY66" s="2"/>
      <c r="FZ66" s="2"/>
      <c r="GA66" s="2"/>
      <c r="GB66" s="2"/>
      <c r="GC66" s="2"/>
    </row>
    <row r="67" spans="1:185" ht="16.5" thickBot="1" x14ac:dyDescent="0.4">
      <c r="A67" s="23"/>
      <c r="B67" s="23"/>
      <c r="C67" s="23"/>
      <c r="D67" s="23"/>
      <c r="E67" s="95"/>
      <c r="F67" s="109"/>
      <c r="G67" s="121"/>
      <c r="H67" s="121"/>
      <c r="I67" s="23"/>
      <c r="J67" s="23"/>
      <c r="K67" s="23"/>
      <c r="L67" s="23"/>
      <c r="M67" s="23"/>
      <c r="N67" s="23"/>
      <c r="O67" s="23"/>
      <c r="P67" s="23"/>
      <c r="Q67" s="23"/>
      <c r="R67" s="23"/>
      <c r="S67" s="23"/>
      <c r="T67" s="23"/>
      <c r="U67" s="23"/>
      <c r="V67" s="23"/>
      <c r="W67" s="23"/>
      <c r="X67" s="23"/>
      <c r="Y67" s="23"/>
      <c r="Z67" s="23"/>
      <c r="AA67" s="23"/>
      <c r="AB67" s="23"/>
      <c r="AC67" s="23"/>
      <c r="AD67" s="39"/>
      <c r="AE67" s="39"/>
      <c r="AF67" s="39"/>
      <c r="AG67" s="39"/>
      <c r="AH67" s="23"/>
      <c r="AI67" s="23"/>
      <c r="AJ67" s="23"/>
      <c r="AK67" s="23"/>
      <c r="AL67" s="23"/>
      <c r="AM67" s="23"/>
      <c r="AN67" s="23"/>
      <c r="AO67" s="23"/>
      <c r="AP67" s="23"/>
      <c r="AQ67" s="23"/>
      <c r="AR67" s="23"/>
      <c r="AS67" s="23"/>
      <c r="AT67" s="23"/>
      <c r="AU67" s="23"/>
      <c r="AV67" s="23"/>
      <c r="AW67" s="23"/>
      <c r="AX67" s="23"/>
      <c r="AY67" s="23"/>
      <c r="AZ67" s="23"/>
      <c r="BA67" s="23"/>
      <c r="BB67" s="23"/>
      <c r="BC67" s="79"/>
      <c r="BD67" s="79"/>
      <c r="BE67" s="79"/>
      <c r="BF67" s="79"/>
      <c r="BG67" s="23"/>
      <c r="BH67" s="23"/>
      <c r="BI67" s="23"/>
      <c r="BJ67" s="23"/>
      <c r="BK67" s="23"/>
      <c r="BL67" s="23"/>
      <c r="BM67" s="23"/>
      <c r="BN67" s="23"/>
      <c r="BO67" s="23"/>
      <c r="BP67" s="23"/>
      <c r="BQ67" s="23"/>
      <c r="BR67" s="23"/>
      <c r="BS67" s="23"/>
      <c r="BT67" s="23"/>
      <c r="BU67" s="23"/>
      <c r="BV67" s="23"/>
      <c r="BW67" s="23"/>
      <c r="BX67" s="23"/>
      <c r="BY67" s="23"/>
      <c r="BZ67" s="23"/>
      <c r="CA67" s="23"/>
      <c r="CB67" s="81"/>
      <c r="CC67" s="78"/>
      <c r="CD67" s="79"/>
      <c r="CE67" s="79"/>
      <c r="CF67" s="23"/>
      <c r="CG67" s="23"/>
      <c r="CH67" s="23"/>
      <c r="CI67" s="23"/>
      <c r="CJ67" s="23"/>
      <c r="CK67" s="23"/>
      <c r="CL67" s="23"/>
      <c r="CM67" s="23"/>
      <c r="CN67" s="23"/>
      <c r="CO67" s="23"/>
      <c r="CP67" s="23"/>
      <c r="CQ67" s="23"/>
      <c r="CR67" s="23"/>
      <c r="CS67" s="23"/>
      <c r="CT67" s="23"/>
      <c r="CU67" s="23"/>
      <c r="CV67" s="23"/>
      <c r="CW67" s="23"/>
      <c r="CX67" s="23"/>
      <c r="CY67" s="23"/>
      <c r="CZ67" s="23"/>
      <c r="DA67" s="81"/>
      <c r="DB67" s="78"/>
      <c r="DC67" s="79"/>
      <c r="DD67" s="79"/>
      <c r="DE67" s="23"/>
      <c r="DF67" s="23"/>
      <c r="DG67" s="23"/>
      <c r="DH67" s="23"/>
      <c r="DI67" s="23"/>
      <c r="DJ67" s="23"/>
      <c r="DK67" s="23"/>
      <c r="DL67" s="23"/>
      <c r="DM67" s="23"/>
      <c r="DN67" s="23"/>
      <c r="DO67" s="23"/>
      <c r="DP67" s="23"/>
      <c r="DQ67" s="23"/>
      <c r="DR67" s="23"/>
      <c r="DS67" s="23"/>
      <c r="DT67" s="23"/>
      <c r="DU67" s="23"/>
      <c r="DV67" s="23"/>
      <c r="DW67" s="23"/>
      <c r="DX67" s="23"/>
      <c r="DY67" s="23"/>
      <c r="DZ67" s="81"/>
      <c r="EA67" s="78"/>
      <c r="EB67" s="79"/>
      <c r="EC67" s="79"/>
      <c r="ED67" s="23"/>
      <c r="EE67" s="23"/>
      <c r="EF67" s="23"/>
      <c r="EG67" s="23"/>
      <c r="EH67" s="23"/>
      <c r="EI67" s="23"/>
      <c r="EJ67" s="23"/>
      <c r="EK67" s="23"/>
      <c r="EL67" s="23"/>
      <c r="EM67" s="23"/>
      <c r="EN67" s="23"/>
      <c r="EO67" s="23"/>
      <c r="EP67" s="23"/>
      <c r="EQ67" s="23"/>
      <c r="ER67" s="23"/>
      <c r="ES67" s="23"/>
      <c r="ET67" s="23"/>
      <c r="EU67" s="23"/>
      <c r="EV67" s="23"/>
      <c r="EW67" s="23"/>
      <c r="EX67" s="23"/>
      <c r="EY67" s="81"/>
      <c r="EZ67" s="78"/>
      <c r="FA67" s="79"/>
      <c r="FB67" s="79"/>
      <c r="FC67" s="23"/>
      <c r="FD67" s="23"/>
      <c r="FE67" s="23"/>
      <c r="FF67" s="23"/>
      <c r="FG67" s="23"/>
      <c r="FH67" s="23"/>
      <c r="FI67" s="2"/>
      <c r="FJ67" s="2"/>
      <c r="FK67" s="2"/>
      <c r="FL67" s="2"/>
      <c r="FM67" s="2"/>
      <c r="FN67" s="2"/>
      <c r="FO67" s="2"/>
      <c r="FP67" s="2"/>
      <c r="FQ67" s="2"/>
      <c r="FR67" s="2"/>
      <c r="FS67" s="2"/>
      <c r="FT67" s="2"/>
      <c r="FU67" s="2"/>
      <c r="FV67" s="2"/>
      <c r="FW67" s="2"/>
      <c r="FX67" s="2"/>
      <c r="FY67" s="2"/>
      <c r="FZ67" s="2"/>
      <c r="GA67" s="2"/>
      <c r="GB67" s="2"/>
      <c r="GC67" s="2"/>
    </row>
    <row r="68" spans="1:185" ht="16" x14ac:dyDescent="0.35">
      <c r="A68" s="23"/>
      <c r="B68" s="23"/>
      <c r="C68" s="23"/>
      <c r="D68" s="23"/>
      <c r="E68" s="94" t="s">
        <v>84</v>
      </c>
      <c r="F68" s="107">
        <f>D3-F64</f>
        <v>171.61801384216281</v>
      </c>
      <c r="G68" s="120"/>
      <c r="H68" s="120"/>
      <c r="I68" s="23"/>
      <c r="J68" s="23"/>
      <c r="K68" s="23"/>
      <c r="L68" s="23"/>
      <c r="M68" s="23"/>
      <c r="N68" s="23"/>
      <c r="O68" s="23"/>
      <c r="P68" s="23"/>
      <c r="Q68" s="23"/>
      <c r="R68" s="23"/>
      <c r="S68" s="23"/>
      <c r="T68" s="23"/>
      <c r="U68" s="23"/>
      <c r="V68" s="23"/>
      <c r="W68" s="23"/>
      <c r="X68" s="23"/>
      <c r="Y68" s="23"/>
      <c r="Z68" s="23"/>
      <c r="AA68" s="23"/>
      <c r="AB68" s="23"/>
      <c r="AC68" s="23"/>
      <c r="AD68" s="39"/>
      <c r="AE68" s="39"/>
      <c r="AF68" s="39"/>
      <c r="AG68" s="39"/>
      <c r="AH68" s="23"/>
      <c r="AI68" s="23"/>
      <c r="AJ68" s="23"/>
      <c r="AK68" s="23"/>
      <c r="AL68" s="23"/>
      <c r="AM68" s="23"/>
      <c r="AN68" s="23"/>
      <c r="AO68" s="23"/>
      <c r="AP68" s="23"/>
      <c r="AQ68" s="23"/>
      <c r="AR68" s="23"/>
      <c r="AS68" s="23"/>
      <c r="AT68" s="23"/>
      <c r="AU68" s="23"/>
      <c r="AV68" s="23"/>
      <c r="AW68" s="23"/>
      <c r="AX68" s="23"/>
      <c r="AY68" s="23"/>
      <c r="AZ68" s="23"/>
      <c r="BA68" s="23"/>
      <c r="BB68" s="23"/>
      <c r="BC68" s="79"/>
      <c r="BD68" s="79"/>
      <c r="BE68" s="79"/>
      <c r="BF68" s="79"/>
      <c r="BG68" s="23"/>
      <c r="BH68" s="23"/>
      <c r="BI68" s="23"/>
      <c r="BJ68" s="23"/>
      <c r="BK68" s="23"/>
      <c r="BL68" s="23"/>
      <c r="BM68" s="23"/>
      <c r="BN68" s="23"/>
      <c r="BO68" s="23"/>
      <c r="BP68" s="23"/>
      <c r="BQ68" s="23"/>
      <c r="BR68" s="23"/>
      <c r="BS68" s="23"/>
      <c r="BT68" s="23"/>
      <c r="BU68" s="23"/>
      <c r="BV68" s="23"/>
      <c r="BW68" s="23"/>
      <c r="BX68" s="23"/>
      <c r="BY68" s="23"/>
      <c r="BZ68" s="23"/>
      <c r="CA68" s="23"/>
      <c r="CB68" s="80" t="s">
        <v>75</v>
      </c>
      <c r="CC68" s="76"/>
      <c r="CD68" s="77"/>
      <c r="CE68" s="77"/>
      <c r="CF68" s="23"/>
      <c r="CG68" s="23"/>
      <c r="CH68" s="23"/>
      <c r="CI68" s="23"/>
      <c r="CJ68" s="23"/>
      <c r="CK68" s="23"/>
      <c r="CL68" s="23"/>
      <c r="CM68" s="23"/>
      <c r="CN68" s="23"/>
      <c r="CO68" s="23"/>
      <c r="CP68" s="23"/>
      <c r="CQ68" s="23"/>
      <c r="CR68" s="23"/>
      <c r="CS68" s="23"/>
      <c r="CT68" s="23"/>
      <c r="CU68" s="23"/>
      <c r="CV68" s="23"/>
      <c r="CW68" s="23"/>
      <c r="CX68" s="23"/>
      <c r="CY68" s="23"/>
      <c r="CZ68" s="23"/>
      <c r="DA68" s="80" t="s">
        <v>75</v>
      </c>
      <c r="DB68" s="76"/>
      <c r="DC68" s="77"/>
      <c r="DD68" s="77"/>
      <c r="DE68" s="23"/>
      <c r="DF68" s="23"/>
      <c r="DG68" s="23"/>
      <c r="DH68" s="23"/>
      <c r="DI68" s="23"/>
      <c r="DJ68" s="23"/>
      <c r="DK68" s="23"/>
      <c r="DL68" s="23"/>
      <c r="DM68" s="23"/>
      <c r="DN68" s="23"/>
      <c r="DO68" s="23"/>
      <c r="DP68" s="23"/>
      <c r="DQ68" s="23"/>
      <c r="DR68" s="23"/>
      <c r="DS68" s="23"/>
      <c r="DT68" s="23"/>
      <c r="DU68" s="23"/>
      <c r="DV68" s="23"/>
      <c r="DW68" s="23"/>
      <c r="DX68" s="23"/>
      <c r="DY68" s="23"/>
      <c r="DZ68" s="80" t="s">
        <v>75</v>
      </c>
      <c r="EA68" s="76"/>
      <c r="EB68" s="77"/>
      <c r="EC68" s="77"/>
      <c r="ED68" s="23"/>
      <c r="EE68" s="23"/>
      <c r="EF68" s="23"/>
      <c r="EG68" s="23"/>
      <c r="EH68" s="23"/>
      <c r="EI68" s="23"/>
      <c r="EJ68" s="23"/>
      <c r="EK68" s="23"/>
      <c r="EL68" s="23"/>
      <c r="EM68" s="23"/>
      <c r="EN68" s="23"/>
      <c r="EO68" s="23"/>
      <c r="EP68" s="23"/>
      <c r="EQ68" s="23"/>
      <c r="ER68" s="23"/>
      <c r="ES68" s="23"/>
      <c r="ET68" s="23"/>
      <c r="EU68" s="23"/>
      <c r="EV68" s="23"/>
      <c r="EW68" s="23"/>
      <c r="EX68" s="23"/>
      <c r="EY68" s="80" t="s">
        <v>75</v>
      </c>
      <c r="EZ68" s="76"/>
      <c r="FA68" s="77"/>
      <c r="FB68" s="77"/>
      <c r="FC68" s="23"/>
      <c r="FD68" s="23"/>
      <c r="FE68" s="23"/>
      <c r="FF68" s="23"/>
      <c r="FG68" s="23"/>
      <c r="FH68" s="23"/>
      <c r="FI68" s="2"/>
      <c r="FJ68" s="2"/>
      <c r="FK68" s="2"/>
      <c r="FL68" s="2"/>
      <c r="FM68" s="2"/>
      <c r="FN68" s="2"/>
      <c r="FO68" s="2"/>
      <c r="FP68" s="2"/>
      <c r="FQ68" s="2"/>
      <c r="FR68" s="2"/>
      <c r="FS68" s="2"/>
      <c r="FT68" s="2"/>
      <c r="FU68" s="2"/>
      <c r="FV68" s="2"/>
      <c r="FW68" s="2"/>
      <c r="FX68" s="2"/>
      <c r="FY68" s="2"/>
      <c r="FZ68" s="2"/>
      <c r="GA68" s="2"/>
      <c r="GB68" s="2"/>
      <c r="GC68" s="2"/>
    </row>
    <row r="69" spans="1:185" ht="16" x14ac:dyDescent="0.35">
      <c r="A69" s="23"/>
      <c r="B69" s="23"/>
      <c r="C69" s="23"/>
      <c r="D69" s="23"/>
      <c r="E69" s="94"/>
      <c r="F69" s="109"/>
      <c r="G69" s="121"/>
      <c r="H69" s="121"/>
      <c r="I69" s="23"/>
      <c r="J69" s="23"/>
      <c r="K69" s="23"/>
      <c r="L69" s="23"/>
      <c r="M69" s="23"/>
      <c r="N69" s="23"/>
      <c r="O69" s="23"/>
      <c r="P69" s="23"/>
      <c r="Q69" s="23"/>
      <c r="R69" s="23"/>
      <c r="S69" s="23"/>
      <c r="T69" s="23"/>
      <c r="U69" s="23"/>
      <c r="V69" s="23"/>
      <c r="W69" s="23"/>
      <c r="X69" s="23"/>
      <c r="Y69" s="23"/>
      <c r="Z69" s="23"/>
      <c r="AA69" s="23"/>
      <c r="AB69" s="23"/>
      <c r="AC69" s="23"/>
      <c r="AD69" s="39"/>
      <c r="AE69" s="39"/>
      <c r="AF69" s="39"/>
      <c r="AG69" s="39"/>
      <c r="AH69" s="23"/>
      <c r="AI69" s="23"/>
      <c r="AJ69" s="23"/>
      <c r="AK69" s="23"/>
      <c r="AL69" s="23"/>
      <c r="AM69" s="23"/>
      <c r="AN69" s="23"/>
      <c r="AO69" s="23"/>
      <c r="AP69" s="23"/>
      <c r="AQ69" s="23"/>
      <c r="AR69" s="23"/>
      <c r="AS69" s="23"/>
      <c r="AT69" s="23"/>
      <c r="AU69" s="23"/>
      <c r="AV69" s="23"/>
      <c r="AW69" s="23"/>
      <c r="AX69" s="23"/>
      <c r="AY69" s="23"/>
      <c r="AZ69" s="23"/>
      <c r="BA69" s="23"/>
      <c r="BB69" s="23"/>
      <c r="BC69" s="79"/>
      <c r="BD69" s="79"/>
      <c r="BE69" s="79"/>
      <c r="BF69" s="79"/>
      <c r="BG69" s="23"/>
      <c r="BH69" s="23"/>
      <c r="BI69" s="23"/>
      <c r="BJ69" s="23"/>
      <c r="BK69" s="23"/>
      <c r="BL69" s="23"/>
      <c r="BM69" s="23"/>
      <c r="BN69" s="23"/>
      <c r="BO69" s="23"/>
      <c r="BP69" s="23"/>
      <c r="BQ69" s="23"/>
      <c r="BR69" s="23"/>
      <c r="BS69" s="23"/>
      <c r="BT69" s="23"/>
      <c r="BU69" s="23"/>
      <c r="BV69" s="23"/>
      <c r="BW69" s="23"/>
      <c r="BX69" s="23"/>
      <c r="BY69" s="23"/>
      <c r="BZ69" s="23"/>
      <c r="CA69" s="23"/>
      <c r="CB69" s="80"/>
      <c r="CC69" s="78"/>
      <c r="CD69" s="79"/>
      <c r="CE69" s="79"/>
      <c r="CF69" s="23"/>
      <c r="CG69" s="23"/>
      <c r="CH69" s="23"/>
      <c r="CI69" s="23"/>
      <c r="CJ69" s="23"/>
      <c r="CK69" s="23"/>
      <c r="CL69" s="23"/>
      <c r="CM69" s="23"/>
      <c r="CN69" s="23"/>
      <c r="CO69" s="23"/>
      <c r="CP69" s="23"/>
      <c r="CQ69" s="23"/>
      <c r="CR69" s="23"/>
      <c r="CS69" s="23"/>
      <c r="CT69" s="23"/>
      <c r="CU69" s="23"/>
      <c r="CV69" s="23"/>
      <c r="CW69" s="23"/>
      <c r="CX69" s="23"/>
      <c r="CY69" s="23"/>
      <c r="CZ69" s="23"/>
      <c r="DA69" s="80"/>
      <c r="DB69" s="78"/>
      <c r="DC69" s="79"/>
      <c r="DD69" s="79"/>
      <c r="DE69" s="23"/>
      <c r="DF69" s="23"/>
      <c r="DG69" s="23"/>
      <c r="DH69" s="23"/>
      <c r="DI69" s="23"/>
      <c r="DJ69" s="23"/>
      <c r="DK69" s="23"/>
      <c r="DL69" s="23"/>
      <c r="DM69" s="23"/>
      <c r="DN69" s="23"/>
      <c r="DO69" s="23"/>
      <c r="DP69" s="23"/>
      <c r="DQ69" s="23"/>
      <c r="DR69" s="23"/>
      <c r="DS69" s="23"/>
      <c r="DT69" s="23"/>
      <c r="DU69" s="23"/>
      <c r="DV69" s="23"/>
      <c r="DW69" s="23"/>
      <c r="DX69" s="23"/>
      <c r="DY69" s="23"/>
      <c r="DZ69" s="80"/>
      <c r="EA69" s="78"/>
      <c r="EB69" s="79"/>
      <c r="EC69" s="79"/>
      <c r="ED69" s="23"/>
      <c r="EE69" s="23"/>
      <c r="EF69" s="23"/>
      <c r="EG69" s="23"/>
      <c r="EH69" s="23"/>
      <c r="EI69" s="23"/>
      <c r="EJ69" s="23"/>
      <c r="EK69" s="23"/>
      <c r="EL69" s="23"/>
      <c r="EM69" s="23"/>
      <c r="EN69" s="23"/>
      <c r="EO69" s="23"/>
      <c r="EP69" s="23"/>
      <c r="EQ69" s="23"/>
      <c r="ER69" s="23"/>
      <c r="ES69" s="23"/>
      <c r="ET69" s="23"/>
      <c r="EU69" s="23"/>
      <c r="EV69" s="23"/>
      <c r="EW69" s="23"/>
      <c r="EX69" s="23"/>
      <c r="EY69" s="80"/>
      <c r="EZ69" s="78"/>
      <c r="FA69" s="79"/>
      <c r="FB69" s="79"/>
      <c r="FC69" s="23"/>
      <c r="FD69" s="23"/>
      <c r="FE69" s="23"/>
      <c r="FF69" s="23"/>
      <c r="FG69" s="23"/>
      <c r="FH69" s="23"/>
      <c r="FI69" s="2"/>
      <c r="FJ69" s="2"/>
      <c r="FK69" s="2"/>
      <c r="FL69" s="2"/>
      <c r="FM69" s="2"/>
      <c r="FN69" s="2"/>
      <c r="FO69" s="2"/>
      <c r="FP69" s="2"/>
      <c r="FQ69" s="2"/>
      <c r="FR69" s="2"/>
      <c r="FS69" s="2"/>
      <c r="FT69" s="2"/>
      <c r="FU69" s="2"/>
      <c r="FV69" s="2"/>
      <c r="FW69" s="2"/>
      <c r="FX69" s="2"/>
      <c r="FY69" s="2"/>
      <c r="FZ69" s="2"/>
      <c r="GA69" s="2"/>
      <c r="GB69" s="2"/>
      <c r="GC69" s="2"/>
    </row>
    <row r="70" spans="1:185" ht="16" x14ac:dyDescent="0.35">
      <c r="A70" s="23"/>
      <c r="B70" s="23"/>
      <c r="C70" s="23"/>
      <c r="D70" s="23"/>
      <c r="E70" s="94"/>
      <c r="F70" s="109"/>
      <c r="G70" s="121"/>
      <c r="H70" s="121"/>
      <c r="I70" s="23"/>
      <c r="J70" s="23"/>
      <c r="K70" s="23"/>
      <c r="L70" s="23"/>
      <c r="M70" s="23"/>
      <c r="N70" s="23"/>
      <c r="O70" s="23"/>
      <c r="P70" s="23"/>
      <c r="Q70" s="23"/>
      <c r="R70" s="23"/>
      <c r="S70" s="23"/>
      <c r="T70" s="23"/>
      <c r="U70" s="23"/>
      <c r="V70" s="23"/>
      <c r="W70" s="23"/>
      <c r="X70" s="23"/>
      <c r="Y70" s="23"/>
      <c r="Z70" s="23"/>
      <c r="AA70" s="23"/>
      <c r="AB70" s="23"/>
      <c r="AC70" s="23"/>
      <c r="AD70" s="39"/>
      <c r="AE70" s="39"/>
      <c r="AF70" s="39"/>
      <c r="AG70" s="39"/>
      <c r="AH70" s="23"/>
      <c r="AI70" s="23"/>
      <c r="AJ70" s="23"/>
      <c r="AK70" s="23"/>
      <c r="AL70" s="23"/>
      <c r="AM70" s="23"/>
      <c r="AN70" s="23"/>
      <c r="AO70" s="23"/>
      <c r="AP70" s="23"/>
      <c r="AQ70" s="23"/>
      <c r="AR70" s="23"/>
      <c r="AS70" s="23"/>
      <c r="AT70" s="23"/>
      <c r="AU70" s="23"/>
      <c r="AV70" s="23"/>
      <c r="AW70" s="23"/>
      <c r="AX70" s="23"/>
      <c r="AY70" s="23"/>
      <c r="AZ70" s="23"/>
      <c r="BA70" s="23"/>
      <c r="BB70" s="23"/>
      <c r="BC70" s="79"/>
      <c r="BD70" s="79"/>
      <c r="BE70" s="79"/>
      <c r="BF70" s="79"/>
      <c r="BG70" s="23"/>
      <c r="BH70" s="23"/>
      <c r="BI70" s="23"/>
      <c r="BJ70" s="23"/>
      <c r="BK70" s="23"/>
      <c r="BL70" s="23"/>
      <c r="BM70" s="23"/>
      <c r="BN70" s="23"/>
      <c r="BO70" s="23"/>
      <c r="BP70" s="23"/>
      <c r="BQ70" s="23"/>
      <c r="BR70" s="23"/>
      <c r="BS70" s="23"/>
      <c r="BT70" s="23"/>
      <c r="BU70" s="23"/>
      <c r="BV70" s="23"/>
      <c r="BW70" s="23"/>
      <c r="BX70" s="23"/>
      <c r="BY70" s="23"/>
      <c r="BZ70" s="23"/>
      <c r="CA70" s="23"/>
      <c r="CB70" s="80"/>
      <c r="CC70" s="78"/>
      <c r="CD70" s="79"/>
      <c r="CE70" s="79"/>
      <c r="CF70" s="23"/>
      <c r="CG70" s="23"/>
      <c r="CH70" s="23"/>
      <c r="CI70" s="23"/>
      <c r="CJ70" s="23"/>
      <c r="CK70" s="23"/>
      <c r="CL70" s="23"/>
      <c r="CM70" s="23"/>
      <c r="CN70" s="23"/>
      <c r="CO70" s="23"/>
      <c r="CP70" s="23"/>
      <c r="CQ70" s="23"/>
      <c r="CR70" s="23"/>
      <c r="CS70" s="23"/>
      <c r="CT70" s="23"/>
      <c r="CU70" s="23"/>
      <c r="CV70" s="23"/>
      <c r="CW70" s="23"/>
      <c r="CX70" s="23"/>
      <c r="CY70" s="23"/>
      <c r="CZ70" s="23"/>
      <c r="DA70" s="80"/>
      <c r="DB70" s="78"/>
      <c r="DC70" s="79"/>
      <c r="DD70" s="79"/>
      <c r="DE70" s="23"/>
      <c r="DF70" s="23"/>
      <c r="DG70" s="23"/>
      <c r="DH70" s="23"/>
      <c r="DI70" s="23"/>
      <c r="DJ70" s="23"/>
      <c r="DK70" s="23"/>
      <c r="DL70" s="23"/>
      <c r="DM70" s="23"/>
      <c r="DN70" s="23"/>
      <c r="DO70" s="23"/>
      <c r="DP70" s="23"/>
      <c r="DQ70" s="23"/>
      <c r="DR70" s="23"/>
      <c r="DS70" s="23"/>
      <c r="DT70" s="23"/>
      <c r="DU70" s="23"/>
      <c r="DV70" s="23"/>
      <c r="DW70" s="23"/>
      <c r="DX70" s="23"/>
      <c r="DY70" s="23"/>
      <c r="DZ70" s="80"/>
      <c r="EA70" s="78"/>
      <c r="EB70" s="79"/>
      <c r="EC70" s="79"/>
      <c r="ED70" s="23"/>
      <c r="EE70" s="23"/>
      <c r="EF70" s="23"/>
      <c r="EG70" s="23"/>
      <c r="EH70" s="23"/>
      <c r="EI70" s="23"/>
      <c r="EJ70" s="23"/>
      <c r="EK70" s="23"/>
      <c r="EL70" s="23"/>
      <c r="EM70" s="23"/>
      <c r="EN70" s="23"/>
      <c r="EO70" s="23"/>
      <c r="EP70" s="23"/>
      <c r="EQ70" s="23"/>
      <c r="ER70" s="23"/>
      <c r="ES70" s="23"/>
      <c r="ET70" s="23"/>
      <c r="EU70" s="23"/>
      <c r="EV70" s="23"/>
      <c r="EW70" s="23"/>
      <c r="EX70" s="23"/>
      <c r="EY70" s="80"/>
      <c r="EZ70" s="78"/>
      <c r="FA70" s="79"/>
      <c r="FB70" s="79"/>
      <c r="FC70" s="23"/>
      <c r="FD70" s="23"/>
      <c r="FE70" s="23"/>
      <c r="FF70" s="23"/>
      <c r="FG70" s="23"/>
      <c r="FH70" s="23"/>
      <c r="FI70" s="2"/>
      <c r="FJ70" s="2"/>
      <c r="FK70" s="2"/>
      <c r="FL70" s="2"/>
      <c r="FM70" s="2"/>
      <c r="FN70" s="2"/>
      <c r="FO70" s="2"/>
      <c r="FP70" s="2"/>
      <c r="FQ70" s="2"/>
      <c r="FR70" s="2"/>
      <c r="FS70" s="2"/>
      <c r="FT70" s="2"/>
      <c r="FU70" s="2"/>
      <c r="FV70" s="2"/>
      <c r="FW70" s="2"/>
      <c r="FX70" s="2"/>
      <c r="FY70" s="2"/>
      <c r="FZ70" s="2"/>
      <c r="GA70" s="2"/>
      <c r="GB70" s="2"/>
      <c r="GC70" s="2"/>
    </row>
    <row r="71" spans="1:185" ht="16.5" thickBot="1" x14ac:dyDescent="0.4">
      <c r="A71" s="23"/>
      <c r="B71" s="23"/>
      <c r="C71" s="23"/>
      <c r="D71" s="23"/>
      <c r="E71" s="95"/>
      <c r="F71" s="109"/>
      <c r="G71" s="121"/>
      <c r="H71" s="121"/>
      <c r="I71" s="23"/>
      <c r="J71" s="23"/>
      <c r="K71" s="23"/>
      <c r="L71" s="23"/>
      <c r="M71" s="23"/>
      <c r="N71" s="23"/>
      <c r="O71" s="23"/>
      <c r="P71" s="23"/>
      <c r="Q71" s="23"/>
      <c r="R71" s="23"/>
      <c r="S71" s="23"/>
      <c r="T71" s="23"/>
      <c r="U71" s="23"/>
      <c r="V71" s="23"/>
      <c r="W71" s="23"/>
      <c r="X71" s="23"/>
      <c r="Y71" s="23"/>
      <c r="Z71" s="23"/>
      <c r="AA71" s="23"/>
      <c r="AB71" s="23"/>
      <c r="AC71" s="23"/>
      <c r="AD71" s="39"/>
      <c r="AE71" s="39"/>
      <c r="AF71" s="39"/>
      <c r="AG71" s="39"/>
      <c r="AH71" s="23"/>
      <c r="AI71" s="23"/>
      <c r="AJ71" s="23"/>
      <c r="AK71" s="23"/>
      <c r="AL71" s="23"/>
      <c r="AM71" s="23"/>
      <c r="AN71" s="23"/>
      <c r="AO71" s="23"/>
      <c r="AP71" s="23"/>
      <c r="AQ71" s="23"/>
      <c r="AR71" s="23"/>
      <c r="AS71" s="23"/>
      <c r="AT71" s="23"/>
      <c r="AU71" s="23"/>
      <c r="AV71" s="23"/>
      <c r="AW71" s="23"/>
      <c r="AX71" s="23"/>
      <c r="AY71" s="23"/>
      <c r="AZ71" s="23"/>
      <c r="BA71" s="23"/>
      <c r="BB71" s="23"/>
      <c r="BC71" s="79"/>
      <c r="BD71" s="79"/>
      <c r="BE71" s="79"/>
      <c r="BF71" s="79"/>
      <c r="BG71" s="23"/>
      <c r="BH71" s="23"/>
      <c r="BI71" s="23"/>
      <c r="BJ71" s="23"/>
      <c r="BK71" s="23"/>
      <c r="BL71" s="23"/>
      <c r="BM71" s="23"/>
      <c r="BN71" s="23"/>
      <c r="BO71" s="23"/>
      <c r="BP71" s="23"/>
      <c r="BQ71" s="23"/>
      <c r="BR71" s="23"/>
      <c r="BS71" s="23"/>
      <c r="BT71" s="23"/>
      <c r="BU71" s="23"/>
      <c r="BV71" s="23"/>
      <c r="BW71" s="23"/>
      <c r="BX71" s="23"/>
      <c r="BY71" s="23"/>
      <c r="BZ71" s="23"/>
      <c r="CA71" s="23"/>
      <c r="CB71" s="81"/>
      <c r="CC71" s="78"/>
      <c r="CD71" s="79"/>
      <c r="CE71" s="79"/>
      <c r="CF71" s="23"/>
      <c r="CG71" s="23"/>
      <c r="CH71" s="23"/>
      <c r="CI71" s="23"/>
      <c r="CJ71" s="23"/>
      <c r="CK71" s="23"/>
      <c r="CL71" s="23"/>
      <c r="CM71" s="23"/>
      <c r="CN71" s="23"/>
      <c r="CO71" s="23"/>
      <c r="CP71" s="23"/>
      <c r="CQ71" s="23"/>
      <c r="CR71" s="23"/>
      <c r="CS71" s="23"/>
      <c r="CT71" s="23"/>
      <c r="CU71" s="23"/>
      <c r="CV71" s="23"/>
      <c r="CW71" s="23"/>
      <c r="CX71" s="23"/>
      <c r="CY71" s="23"/>
      <c r="CZ71" s="23"/>
      <c r="DA71" s="81"/>
      <c r="DB71" s="78"/>
      <c r="DC71" s="79"/>
      <c r="DD71" s="79"/>
      <c r="DE71" s="23"/>
      <c r="DF71" s="23"/>
      <c r="DG71" s="23"/>
      <c r="DH71" s="23"/>
      <c r="DI71" s="23"/>
      <c r="DJ71" s="23"/>
      <c r="DK71" s="23"/>
      <c r="DL71" s="23"/>
      <c r="DM71" s="23"/>
      <c r="DN71" s="23"/>
      <c r="DO71" s="23"/>
      <c r="DP71" s="23"/>
      <c r="DQ71" s="23"/>
      <c r="DR71" s="23"/>
      <c r="DS71" s="23"/>
      <c r="DT71" s="23"/>
      <c r="DU71" s="23"/>
      <c r="DV71" s="23"/>
      <c r="DW71" s="23"/>
      <c r="DX71" s="23"/>
      <c r="DY71" s="23"/>
      <c r="DZ71" s="81"/>
      <c r="EA71" s="78"/>
      <c r="EB71" s="79"/>
      <c r="EC71" s="79"/>
      <c r="ED71" s="23"/>
      <c r="EE71" s="23"/>
      <c r="EF71" s="23"/>
      <c r="EG71" s="23"/>
      <c r="EH71" s="23"/>
      <c r="EI71" s="23"/>
      <c r="EJ71" s="23"/>
      <c r="EK71" s="23"/>
      <c r="EL71" s="23"/>
      <c r="EM71" s="23"/>
      <c r="EN71" s="23"/>
      <c r="EO71" s="23"/>
      <c r="EP71" s="23"/>
      <c r="EQ71" s="23"/>
      <c r="ER71" s="23"/>
      <c r="ES71" s="23"/>
      <c r="ET71" s="23"/>
      <c r="EU71" s="23"/>
      <c r="EV71" s="23"/>
      <c r="EW71" s="23"/>
      <c r="EX71" s="23"/>
      <c r="EY71" s="81"/>
      <c r="EZ71" s="78"/>
      <c r="FA71" s="79"/>
      <c r="FB71" s="79"/>
      <c r="FC71" s="23"/>
      <c r="FD71" s="23"/>
      <c r="FE71" s="23"/>
      <c r="FF71" s="23"/>
      <c r="FG71" s="23"/>
      <c r="FH71" s="23"/>
      <c r="FI71" s="23"/>
      <c r="FJ71" s="23"/>
      <c r="FK71" s="23"/>
      <c r="FL71" s="23"/>
      <c r="FM71" s="23"/>
      <c r="FN71" s="23"/>
      <c r="FO71" s="23"/>
      <c r="FP71" s="23"/>
      <c r="FQ71" s="23"/>
      <c r="FR71" s="23"/>
      <c r="FS71" s="23"/>
    </row>
    <row r="72" spans="1:185" ht="16" x14ac:dyDescent="0.35">
      <c r="A72" s="23"/>
      <c r="B72" s="23"/>
      <c r="C72" s="23"/>
      <c r="D72" s="23"/>
      <c r="E72" s="94" t="s">
        <v>85</v>
      </c>
      <c r="F72" s="107">
        <f>Week5endweight/(HeightMeters*HeightMeters)</f>
        <v>42.904503460540703</v>
      </c>
      <c r="G72" s="120"/>
      <c r="H72" s="120"/>
      <c r="I72" s="23"/>
      <c r="J72" s="23"/>
      <c r="K72" s="23"/>
      <c r="L72" s="23"/>
      <c r="M72" s="23"/>
      <c r="N72" s="23"/>
      <c r="O72" s="23"/>
      <c r="P72" s="23"/>
      <c r="Q72" s="23"/>
      <c r="R72" s="23"/>
      <c r="S72" s="23"/>
      <c r="T72" s="23"/>
      <c r="U72" s="23"/>
      <c r="V72" s="23"/>
      <c r="W72" s="23"/>
      <c r="X72" s="23"/>
      <c r="Y72" s="23"/>
      <c r="Z72" s="23"/>
      <c r="AA72" s="23"/>
      <c r="AB72" s="23"/>
      <c r="AC72" s="23"/>
      <c r="AD72" s="39"/>
      <c r="AE72" s="39"/>
      <c r="AF72" s="39"/>
      <c r="AG72" s="39"/>
      <c r="AH72" s="23"/>
      <c r="AI72" s="23"/>
      <c r="AJ72" s="23"/>
      <c r="AK72" s="23"/>
      <c r="AL72" s="23"/>
      <c r="AM72" s="23"/>
      <c r="AN72" s="23"/>
      <c r="AO72" s="23"/>
      <c r="AP72" s="23"/>
      <c r="AQ72" s="23"/>
      <c r="AR72" s="23"/>
      <c r="AS72" s="23"/>
      <c r="AT72" s="23"/>
      <c r="AU72" s="23"/>
      <c r="AV72" s="23"/>
      <c r="AW72" s="23"/>
      <c r="AX72" s="23"/>
      <c r="AY72" s="23"/>
      <c r="AZ72" s="23"/>
      <c r="BA72" s="23"/>
      <c r="BB72" s="23"/>
      <c r="BC72" s="79"/>
      <c r="BD72" s="79"/>
      <c r="BE72" s="79"/>
      <c r="BF72" s="79"/>
      <c r="BG72" s="23"/>
      <c r="BH72" s="23"/>
      <c r="BI72" s="23"/>
      <c r="BJ72" s="23"/>
      <c r="BK72" s="23"/>
      <c r="BL72" s="23"/>
      <c r="BM72" s="23"/>
      <c r="BN72" s="23"/>
      <c r="BO72" s="23"/>
      <c r="BP72" s="23"/>
      <c r="BQ72" s="23"/>
      <c r="BR72" s="23"/>
      <c r="BS72" s="23"/>
      <c r="BT72" s="23"/>
      <c r="BU72" s="23"/>
      <c r="BV72" s="23"/>
      <c r="BW72" s="23"/>
      <c r="BX72" s="23"/>
      <c r="BY72" s="23"/>
      <c r="BZ72" s="23"/>
      <c r="CA72" s="23"/>
      <c r="CB72" s="80" t="s">
        <v>76</v>
      </c>
      <c r="CC72" s="76"/>
      <c r="CD72" s="77"/>
      <c r="CE72" s="77"/>
      <c r="CF72" s="23"/>
      <c r="CG72" s="23"/>
      <c r="CH72" s="23"/>
      <c r="CI72" s="23"/>
      <c r="CJ72" s="23"/>
      <c r="CK72" s="23"/>
      <c r="CL72" s="23"/>
      <c r="CM72" s="23"/>
      <c r="CN72" s="23"/>
      <c r="CO72" s="23"/>
      <c r="CP72" s="23"/>
      <c r="CQ72" s="23"/>
      <c r="CR72" s="23"/>
      <c r="CS72" s="23"/>
      <c r="CT72" s="23"/>
      <c r="CU72" s="23"/>
      <c r="CV72" s="23"/>
      <c r="CW72" s="23"/>
      <c r="CX72" s="23"/>
      <c r="CY72" s="23"/>
      <c r="CZ72" s="23"/>
      <c r="DA72" s="80" t="s">
        <v>76</v>
      </c>
      <c r="DB72" s="76"/>
      <c r="DC72" s="77"/>
      <c r="DD72" s="77"/>
      <c r="DE72" s="23"/>
      <c r="DF72" s="23"/>
      <c r="DG72" s="23"/>
      <c r="DH72" s="23"/>
      <c r="DI72" s="23"/>
      <c r="DJ72" s="23"/>
      <c r="DK72" s="23"/>
      <c r="DL72" s="23"/>
      <c r="DM72" s="23"/>
      <c r="DN72" s="23"/>
      <c r="DO72" s="23"/>
      <c r="DP72" s="23"/>
      <c r="DQ72" s="23"/>
      <c r="DR72" s="23"/>
      <c r="DS72" s="23"/>
      <c r="DT72" s="23"/>
      <c r="DU72" s="23"/>
      <c r="DV72" s="23"/>
      <c r="DW72" s="23"/>
      <c r="DX72" s="23"/>
      <c r="DY72" s="23"/>
      <c r="DZ72" s="80" t="s">
        <v>76</v>
      </c>
      <c r="EA72" s="76"/>
      <c r="EB72" s="77"/>
      <c r="EC72" s="77"/>
      <c r="ED72" s="23"/>
      <c r="EE72" s="23"/>
      <c r="EF72" s="23"/>
      <c r="EG72" s="23"/>
      <c r="EH72" s="23"/>
      <c r="EI72" s="23"/>
      <c r="EJ72" s="23"/>
      <c r="EK72" s="23"/>
      <c r="EL72" s="23"/>
      <c r="EM72" s="23"/>
      <c r="EN72" s="23"/>
      <c r="EO72" s="23"/>
      <c r="EP72" s="23"/>
      <c r="EQ72" s="23"/>
      <c r="ER72" s="23"/>
      <c r="ES72" s="23"/>
      <c r="ET72" s="23"/>
      <c r="EU72" s="23"/>
      <c r="EV72" s="23"/>
      <c r="EW72" s="23"/>
      <c r="EX72" s="23"/>
      <c r="EY72" s="80" t="s">
        <v>76</v>
      </c>
      <c r="EZ72" s="76"/>
      <c r="FA72" s="77"/>
      <c r="FB72" s="77"/>
      <c r="FC72" s="23"/>
      <c r="FD72" s="23"/>
      <c r="FE72" s="23"/>
      <c r="FF72" s="23"/>
      <c r="FG72" s="23"/>
      <c r="FH72" s="23"/>
      <c r="FI72" s="23"/>
      <c r="FJ72" s="23"/>
      <c r="FK72" s="23"/>
      <c r="FL72" s="23"/>
      <c r="FM72" s="23"/>
      <c r="FN72" s="23"/>
      <c r="FO72" s="23"/>
      <c r="FP72" s="23"/>
      <c r="FQ72" s="23"/>
      <c r="FR72" s="23"/>
      <c r="FS72" s="23"/>
    </row>
    <row r="73" spans="1:185" ht="16" x14ac:dyDescent="0.35">
      <c r="A73" s="23"/>
      <c r="B73" s="23"/>
      <c r="C73" s="23"/>
      <c r="D73" s="23"/>
      <c r="E73" s="94"/>
      <c r="F73" s="109"/>
      <c r="G73" s="121"/>
      <c r="H73" s="121"/>
      <c r="I73" s="23"/>
      <c r="J73" s="23"/>
      <c r="K73" s="23"/>
      <c r="L73" s="23"/>
      <c r="M73" s="23"/>
      <c r="N73" s="23"/>
      <c r="O73" s="23"/>
      <c r="P73" s="23"/>
      <c r="Q73" s="23"/>
      <c r="R73" s="23"/>
      <c r="S73" s="23"/>
      <c r="T73" s="23"/>
      <c r="U73" s="23"/>
      <c r="V73" s="23"/>
      <c r="W73" s="23"/>
      <c r="X73" s="23"/>
      <c r="Y73" s="23"/>
      <c r="Z73" s="23"/>
      <c r="AA73" s="23"/>
      <c r="AB73" s="23"/>
      <c r="AC73" s="23"/>
      <c r="AD73" s="39"/>
      <c r="AE73" s="39"/>
      <c r="AF73" s="39"/>
      <c r="AG73" s="39"/>
      <c r="AH73" s="23"/>
      <c r="AI73" s="23"/>
      <c r="AJ73" s="23"/>
      <c r="AK73" s="23"/>
      <c r="AL73" s="23"/>
      <c r="AM73" s="23"/>
      <c r="AN73" s="23"/>
      <c r="AO73" s="23"/>
      <c r="AP73" s="23"/>
      <c r="AQ73" s="23"/>
      <c r="AR73" s="23"/>
      <c r="AS73" s="23"/>
      <c r="AT73" s="23"/>
      <c r="AU73" s="23"/>
      <c r="AV73" s="23"/>
      <c r="AW73" s="23"/>
      <c r="AX73" s="23"/>
      <c r="AY73" s="23"/>
      <c r="AZ73" s="23"/>
      <c r="BA73" s="23"/>
      <c r="BB73" s="23"/>
      <c r="BC73" s="79"/>
      <c r="BD73" s="79"/>
      <c r="BE73" s="79"/>
      <c r="BF73" s="79"/>
      <c r="BG73" s="23"/>
      <c r="BH73" s="23"/>
      <c r="BI73" s="23"/>
      <c r="BJ73" s="23"/>
      <c r="BK73" s="23"/>
      <c r="BL73" s="23"/>
      <c r="BM73" s="23"/>
      <c r="BN73" s="23"/>
      <c r="BO73" s="23"/>
      <c r="BP73" s="23"/>
      <c r="BQ73" s="23"/>
      <c r="BR73" s="23"/>
      <c r="BS73" s="23"/>
      <c r="BT73" s="23"/>
      <c r="BU73" s="23"/>
      <c r="BV73" s="23"/>
      <c r="BW73" s="23"/>
      <c r="BX73" s="23"/>
      <c r="BY73" s="23"/>
      <c r="BZ73" s="23"/>
      <c r="CA73" s="23"/>
      <c r="CB73" s="80"/>
      <c r="CC73" s="78"/>
      <c r="CD73" s="79"/>
      <c r="CE73" s="79"/>
      <c r="CF73" s="23"/>
      <c r="CG73" s="23"/>
      <c r="CH73" s="23"/>
      <c r="CI73" s="23"/>
      <c r="CJ73" s="23"/>
      <c r="CK73" s="23"/>
      <c r="CL73" s="23"/>
      <c r="CM73" s="23"/>
      <c r="CN73" s="23"/>
      <c r="CO73" s="23"/>
      <c r="CP73" s="23"/>
      <c r="CQ73" s="23"/>
      <c r="CR73" s="23"/>
      <c r="CS73" s="23"/>
      <c r="CT73" s="23"/>
      <c r="CU73" s="23"/>
      <c r="CV73" s="23"/>
      <c r="CW73" s="23"/>
      <c r="CX73" s="23"/>
      <c r="CY73" s="23"/>
      <c r="CZ73" s="23"/>
      <c r="DA73" s="80"/>
      <c r="DB73" s="78"/>
      <c r="DC73" s="79"/>
      <c r="DD73" s="79"/>
      <c r="DE73" s="23"/>
      <c r="DF73" s="23"/>
      <c r="DG73" s="23"/>
      <c r="DH73" s="23"/>
      <c r="DI73" s="23"/>
      <c r="DJ73" s="23"/>
      <c r="DK73" s="23"/>
      <c r="DL73" s="23"/>
      <c r="DM73" s="23"/>
      <c r="DN73" s="23"/>
      <c r="DO73" s="23"/>
      <c r="DP73" s="23"/>
      <c r="DQ73" s="23"/>
      <c r="DR73" s="23"/>
      <c r="DS73" s="23"/>
      <c r="DT73" s="23"/>
      <c r="DU73" s="23"/>
      <c r="DV73" s="23"/>
      <c r="DW73" s="23"/>
      <c r="DX73" s="23"/>
      <c r="DY73" s="23"/>
      <c r="DZ73" s="80"/>
      <c r="EA73" s="78"/>
      <c r="EB73" s="79"/>
      <c r="EC73" s="79"/>
      <c r="ED73" s="23"/>
      <c r="EE73" s="23"/>
      <c r="EF73" s="23"/>
      <c r="EG73" s="23"/>
      <c r="EH73" s="23"/>
      <c r="EI73" s="23"/>
      <c r="EJ73" s="23"/>
      <c r="EK73" s="23"/>
      <c r="EL73" s="23"/>
      <c r="EM73" s="23"/>
      <c r="EN73" s="23"/>
      <c r="EO73" s="23"/>
      <c r="EP73" s="23"/>
      <c r="EQ73" s="23"/>
      <c r="ER73" s="23"/>
      <c r="ES73" s="23"/>
      <c r="ET73" s="23"/>
      <c r="EU73" s="23"/>
      <c r="EV73" s="23"/>
      <c r="EW73" s="23"/>
      <c r="EX73" s="23"/>
      <c r="EY73" s="80"/>
      <c r="EZ73" s="78"/>
      <c r="FA73" s="79"/>
      <c r="FB73" s="79"/>
      <c r="FC73" s="23"/>
      <c r="FD73" s="23"/>
      <c r="FE73" s="23"/>
      <c r="FF73" s="23"/>
      <c r="FG73" s="23"/>
      <c r="FH73" s="23"/>
      <c r="FI73" s="23"/>
      <c r="FJ73" s="23"/>
      <c r="FK73" s="23"/>
      <c r="FL73" s="23"/>
      <c r="FM73" s="23"/>
      <c r="FN73" s="23"/>
      <c r="FO73" s="23"/>
      <c r="FP73" s="23"/>
      <c r="FQ73" s="23"/>
      <c r="FR73" s="23"/>
      <c r="FS73" s="23"/>
    </row>
    <row r="74" spans="1:185" ht="16" x14ac:dyDescent="0.35">
      <c r="A74" s="23"/>
      <c r="B74" s="23"/>
      <c r="C74" s="23"/>
      <c r="D74" s="23"/>
      <c r="E74" s="94"/>
      <c r="F74" s="109"/>
      <c r="G74" s="121"/>
      <c r="H74" s="121"/>
      <c r="I74" s="23"/>
      <c r="J74" s="23"/>
      <c r="K74" s="23"/>
      <c r="L74" s="23"/>
      <c r="M74" s="23"/>
      <c r="N74" s="23"/>
      <c r="O74" s="23"/>
      <c r="P74" s="23"/>
      <c r="Q74" s="23"/>
      <c r="R74" s="23"/>
      <c r="S74" s="23"/>
      <c r="T74" s="23"/>
      <c r="U74" s="23"/>
      <c r="V74" s="23"/>
      <c r="W74" s="23"/>
      <c r="X74" s="23"/>
      <c r="Y74" s="23"/>
      <c r="Z74" s="23"/>
      <c r="AA74" s="23"/>
      <c r="AB74" s="23"/>
      <c r="AC74" s="23"/>
      <c r="AD74" s="39"/>
      <c r="AE74" s="39"/>
      <c r="AF74" s="39"/>
      <c r="AG74" s="39"/>
      <c r="AH74" s="23"/>
      <c r="AI74" s="23"/>
      <c r="AJ74" s="23"/>
      <c r="AK74" s="23"/>
      <c r="AL74" s="23"/>
      <c r="AM74" s="23"/>
      <c r="AN74" s="23"/>
      <c r="AO74" s="23"/>
      <c r="AP74" s="23"/>
      <c r="AQ74" s="23"/>
      <c r="AR74" s="23"/>
      <c r="AS74" s="23"/>
      <c r="AT74" s="23"/>
      <c r="AU74" s="23"/>
      <c r="AV74" s="23"/>
      <c r="AW74" s="23"/>
      <c r="AX74" s="23"/>
      <c r="AY74" s="23"/>
      <c r="AZ74" s="23"/>
      <c r="BA74" s="23"/>
      <c r="BB74" s="23"/>
      <c r="BC74" s="79"/>
      <c r="BD74" s="79"/>
      <c r="BE74" s="79"/>
      <c r="BF74" s="79"/>
      <c r="BG74" s="23"/>
      <c r="BH74" s="23"/>
      <c r="BI74" s="23"/>
      <c r="BJ74" s="23"/>
      <c r="BK74" s="23"/>
      <c r="BL74" s="23"/>
      <c r="BM74" s="23"/>
      <c r="BN74" s="23"/>
      <c r="BO74" s="23"/>
      <c r="BP74" s="23"/>
      <c r="BQ74" s="23"/>
      <c r="BR74" s="23"/>
      <c r="BS74" s="23"/>
      <c r="BT74" s="23"/>
      <c r="BU74" s="23"/>
      <c r="BV74" s="23"/>
      <c r="BW74" s="23"/>
      <c r="BX74" s="23"/>
      <c r="BY74" s="23"/>
      <c r="BZ74" s="23"/>
      <c r="CA74" s="23"/>
      <c r="CB74" s="80"/>
      <c r="CC74" s="78"/>
      <c r="CD74" s="79"/>
      <c r="CE74" s="79"/>
      <c r="CF74" s="23"/>
      <c r="CG74" s="23"/>
      <c r="CH74" s="23"/>
      <c r="CI74" s="23"/>
      <c r="CJ74" s="23"/>
      <c r="CK74" s="23"/>
      <c r="CL74" s="23"/>
      <c r="CM74" s="23"/>
      <c r="CN74" s="23"/>
      <c r="CO74" s="23"/>
      <c r="CP74" s="23"/>
      <c r="CQ74" s="23"/>
      <c r="CR74" s="23"/>
      <c r="CS74" s="23"/>
      <c r="CT74" s="23"/>
      <c r="CU74" s="23"/>
      <c r="CV74" s="23"/>
      <c r="CW74" s="23"/>
      <c r="CX74" s="23"/>
      <c r="CY74" s="23"/>
      <c r="CZ74" s="23"/>
      <c r="DA74" s="80"/>
      <c r="DB74" s="78"/>
      <c r="DC74" s="79"/>
      <c r="DD74" s="79"/>
      <c r="DE74" s="23"/>
      <c r="DF74" s="23"/>
      <c r="DG74" s="23"/>
      <c r="DH74" s="23"/>
      <c r="DI74" s="23"/>
      <c r="DJ74" s="23"/>
      <c r="DK74" s="23"/>
      <c r="DL74" s="23"/>
      <c r="DM74" s="23"/>
      <c r="DN74" s="23"/>
      <c r="DO74" s="23"/>
      <c r="DP74" s="23"/>
      <c r="DQ74" s="23"/>
      <c r="DR74" s="23"/>
      <c r="DS74" s="23"/>
      <c r="DT74" s="23"/>
      <c r="DU74" s="23"/>
      <c r="DV74" s="23"/>
      <c r="DW74" s="23"/>
      <c r="DX74" s="23"/>
      <c r="DY74" s="23"/>
      <c r="DZ74" s="80"/>
      <c r="EA74" s="78"/>
      <c r="EB74" s="79"/>
      <c r="EC74" s="79"/>
      <c r="ED74" s="23"/>
      <c r="EE74" s="23"/>
      <c r="EF74" s="23"/>
      <c r="EG74" s="23"/>
      <c r="EH74" s="23"/>
      <c r="EI74" s="23"/>
      <c r="EJ74" s="23"/>
      <c r="EK74" s="23"/>
      <c r="EL74" s="23"/>
      <c r="EM74" s="23"/>
      <c r="EN74" s="23"/>
      <c r="EO74" s="23"/>
      <c r="EP74" s="23"/>
      <c r="EQ74" s="23"/>
      <c r="ER74" s="23"/>
      <c r="ES74" s="23"/>
      <c r="ET74" s="23"/>
      <c r="EU74" s="23"/>
      <c r="EV74" s="23"/>
      <c r="EW74" s="23"/>
      <c r="EX74" s="23"/>
      <c r="EY74" s="80"/>
      <c r="EZ74" s="78"/>
      <c r="FA74" s="79"/>
      <c r="FB74" s="79"/>
      <c r="FC74" s="23"/>
      <c r="FD74" s="23"/>
      <c r="FE74" s="23"/>
      <c r="FF74" s="23"/>
      <c r="FG74" s="23"/>
      <c r="FH74" s="23"/>
      <c r="FI74" s="23"/>
      <c r="FJ74" s="23"/>
      <c r="FK74" s="23"/>
      <c r="FL74" s="23"/>
      <c r="FM74" s="23"/>
      <c r="FN74" s="23"/>
      <c r="FO74" s="23"/>
      <c r="FP74" s="23"/>
      <c r="FQ74" s="23"/>
      <c r="FR74" s="23"/>
      <c r="FS74" s="23"/>
    </row>
    <row r="75" spans="1:185" ht="16.5" thickBot="1" x14ac:dyDescent="0.4">
      <c r="A75" s="23"/>
      <c r="B75" s="23"/>
      <c r="C75" s="23"/>
      <c r="D75" s="23"/>
      <c r="E75" s="95"/>
      <c r="F75" s="109"/>
      <c r="G75" s="121"/>
      <c r="H75" s="121"/>
      <c r="I75" s="23"/>
      <c r="J75" s="23"/>
      <c r="K75" s="23"/>
      <c r="L75" s="23"/>
      <c r="M75" s="23"/>
      <c r="N75" s="23"/>
      <c r="O75" s="23"/>
      <c r="P75" s="23"/>
      <c r="Q75" s="23"/>
      <c r="R75" s="23"/>
      <c r="S75" s="23"/>
      <c r="T75" s="23"/>
      <c r="U75" s="23"/>
      <c r="V75" s="23"/>
      <c r="W75" s="23"/>
      <c r="X75" s="23"/>
      <c r="Y75" s="23"/>
      <c r="Z75" s="23"/>
      <c r="AA75" s="23"/>
      <c r="AB75" s="23"/>
      <c r="AC75" s="23"/>
      <c r="AD75" s="39"/>
      <c r="AE75" s="39"/>
      <c r="AF75" s="39"/>
      <c r="AG75" s="39" t="s">
        <v>77</v>
      </c>
      <c r="AH75" s="23"/>
      <c r="AI75" s="23"/>
      <c r="AJ75" s="23"/>
      <c r="AK75" s="23"/>
      <c r="AL75" s="23"/>
      <c r="AM75" s="23"/>
      <c r="AN75" s="23"/>
      <c r="AO75" s="23"/>
      <c r="AP75" s="23"/>
      <c r="AQ75" s="23"/>
      <c r="AR75" s="23"/>
      <c r="AS75" s="23"/>
      <c r="AT75" s="23"/>
      <c r="AU75" s="23"/>
      <c r="AV75" s="23"/>
      <c r="AW75" s="23"/>
      <c r="AX75" s="23"/>
      <c r="AY75" s="23"/>
      <c r="AZ75" s="23"/>
      <c r="BA75" s="23"/>
      <c r="BB75" s="23"/>
      <c r="BC75" s="79"/>
      <c r="BD75" s="79"/>
      <c r="BE75" s="79"/>
      <c r="BF75" s="79"/>
      <c r="BG75" s="23"/>
      <c r="BH75" s="23"/>
      <c r="BI75" s="23"/>
      <c r="BJ75" s="23"/>
      <c r="BK75" s="23"/>
      <c r="BL75" s="23"/>
      <c r="BM75" s="23"/>
      <c r="BN75" s="23"/>
      <c r="BO75" s="23"/>
      <c r="BP75" s="23"/>
      <c r="BQ75" s="23"/>
      <c r="BR75" s="23"/>
      <c r="BS75" s="23"/>
      <c r="BT75" s="23"/>
      <c r="BU75" s="23"/>
      <c r="BV75" s="23"/>
      <c r="BW75" s="23"/>
      <c r="BX75" s="23"/>
      <c r="BY75" s="23"/>
      <c r="BZ75" s="23"/>
      <c r="CA75" s="23"/>
      <c r="CB75" s="81"/>
      <c r="CC75" s="78"/>
      <c r="CD75" s="79"/>
      <c r="CE75" s="79"/>
      <c r="CF75" s="23"/>
      <c r="CG75" s="23"/>
      <c r="CH75" s="23"/>
      <c r="CI75" s="23"/>
      <c r="CJ75" s="23"/>
      <c r="CK75" s="23"/>
      <c r="CL75" s="23"/>
      <c r="CM75" s="23"/>
      <c r="CN75" s="23"/>
      <c r="CO75" s="23"/>
      <c r="CP75" s="23"/>
      <c r="CQ75" s="23"/>
      <c r="CR75" s="23"/>
      <c r="CS75" s="23"/>
      <c r="CT75" s="23"/>
      <c r="CU75" s="23"/>
      <c r="CV75" s="23"/>
      <c r="CW75" s="23"/>
      <c r="CX75" s="23"/>
      <c r="CY75" s="23"/>
      <c r="CZ75" s="23"/>
      <c r="DA75" s="81"/>
      <c r="DB75" s="78"/>
      <c r="DC75" s="79"/>
      <c r="DD75" s="79"/>
      <c r="DE75" s="23"/>
      <c r="DF75" s="23"/>
      <c r="DG75" s="23"/>
      <c r="DH75" s="23"/>
      <c r="DI75" s="23"/>
      <c r="DJ75" s="23"/>
      <c r="DK75" s="23"/>
      <c r="DL75" s="23"/>
      <c r="DM75" s="23"/>
      <c r="DN75" s="23"/>
      <c r="DO75" s="23"/>
      <c r="DP75" s="23"/>
      <c r="DQ75" s="23"/>
      <c r="DR75" s="23"/>
      <c r="DS75" s="23"/>
      <c r="DT75" s="23"/>
      <c r="DU75" s="23"/>
      <c r="DV75" s="23"/>
      <c r="DW75" s="23"/>
      <c r="DX75" s="23"/>
      <c r="DY75" s="23"/>
      <c r="DZ75" s="81"/>
      <c r="EA75" s="78"/>
      <c r="EB75" s="79"/>
      <c r="EC75" s="79"/>
      <c r="ED75" s="23"/>
      <c r="EE75" s="23"/>
      <c r="EF75" s="23"/>
      <c r="EG75" s="23"/>
      <c r="EH75" s="23"/>
      <c r="EI75" s="23"/>
      <c r="EJ75" s="23"/>
      <c r="EK75" s="23"/>
      <c r="EL75" s="23"/>
      <c r="EM75" s="23"/>
      <c r="EN75" s="23"/>
      <c r="EO75" s="23"/>
      <c r="EP75" s="23"/>
      <c r="EQ75" s="23"/>
      <c r="ER75" s="23"/>
      <c r="ES75" s="23"/>
      <c r="ET75" s="23"/>
      <c r="EU75" s="23"/>
      <c r="EV75" s="23"/>
      <c r="EW75" s="23"/>
      <c r="EX75" s="23"/>
      <c r="EY75" s="81"/>
      <c r="EZ75" s="78"/>
      <c r="FA75" s="79"/>
      <c r="FB75" s="79"/>
      <c r="FC75" s="23"/>
      <c r="FD75" s="23"/>
      <c r="FE75" s="23"/>
      <c r="FF75" s="23"/>
      <c r="FG75" s="23"/>
      <c r="FH75" s="23"/>
      <c r="FI75" s="23"/>
      <c r="FJ75" s="23"/>
      <c r="FK75" s="23"/>
      <c r="FL75" s="23"/>
      <c r="FM75" s="23"/>
      <c r="FN75" s="23"/>
      <c r="FO75" s="23"/>
      <c r="FP75" s="23"/>
      <c r="FQ75" s="23"/>
      <c r="FR75" s="23"/>
      <c r="FS75" s="23"/>
    </row>
    <row r="76" spans="1:185" x14ac:dyDescent="0.3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row>
    <row r="77" spans="1:185" x14ac:dyDescent="0.3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23"/>
      <c r="FG77" s="23"/>
      <c r="FH77" s="23"/>
      <c r="FI77" s="23"/>
      <c r="FJ77" s="23"/>
      <c r="FK77" s="23"/>
      <c r="FL77" s="23"/>
      <c r="FM77" s="23"/>
      <c r="FN77" s="23"/>
      <c r="FO77" s="23"/>
      <c r="FP77" s="23"/>
      <c r="FQ77" s="23"/>
      <c r="FR77" s="23"/>
      <c r="FS77" s="23"/>
    </row>
    <row r="78" spans="1:185" x14ac:dyDescent="0.3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row>
  </sheetData>
  <mergeCells count="253">
    <mergeCell ref="DA72:DA75"/>
    <mergeCell ref="DB72:DD75"/>
    <mergeCell ref="DZ72:DZ75"/>
    <mergeCell ref="EA72:EC75"/>
    <mergeCell ref="EY72:EY75"/>
    <mergeCell ref="EZ72:FB75"/>
    <mergeCell ref="E72:E75"/>
    <mergeCell ref="F72:H75"/>
    <mergeCell ref="BC72:BC75"/>
    <mergeCell ref="BD72:BF75"/>
    <mergeCell ref="CB72:CB75"/>
    <mergeCell ref="CC72:CE75"/>
    <mergeCell ref="DA68:DA71"/>
    <mergeCell ref="DB68:DD71"/>
    <mergeCell ref="DZ68:DZ71"/>
    <mergeCell ref="EA68:EC71"/>
    <mergeCell ref="EY68:EY71"/>
    <mergeCell ref="EZ68:FB71"/>
    <mergeCell ref="E68:E71"/>
    <mergeCell ref="F68:H71"/>
    <mergeCell ref="BC68:BC71"/>
    <mergeCell ref="BD68:BF71"/>
    <mergeCell ref="CB68:CB71"/>
    <mergeCell ref="CC68:CE71"/>
    <mergeCell ref="DA64:DA67"/>
    <mergeCell ref="DB64:DD67"/>
    <mergeCell ref="DZ64:DZ67"/>
    <mergeCell ref="EA64:EC67"/>
    <mergeCell ref="EY64:EY67"/>
    <mergeCell ref="EZ64:FB67"/>
    <mergeCell ref="E64:E67"/>
    <mergeCell ref="F64:H67"/>
    <mergeCell ref="BC64:BC67"/>
    <mergeCell ref="BD64:BF67"/>
    <mergeCell ref="CB64:CB67"/>
    <mergeCell ref="CC64:CE67"/>
    <mergeCell ref="DA60:DA63"/>
    <mergeCell ref="DB60:DD63"/>
    <mergeCell ref="DZ60:DZ63"/>
    <mergeCell ref="EA60:EC63"/>
    <mergeCell ref="EY60:EY63"/>
    <mergeCell ref="EZ60:FB63"/>
    <mergeCell ref="E60:E63"/>
    <mergeCell ref="F60:H63"/>
    <mergeCell ref="BC60:BC63"/>
    <mergeCell ref="BD60:BF63"/>
    <mergeCell ref="CB60:CB63"/>
    <mergeCell ref="CC60:CE63"/>
    <mergeCell ref="DA56:DA59"/>
    <mergeCell ref="DB56:DD59"/>
    <mergeCell ref="DZ56:DZ59"/>
    <mergeCell ref="EA56:EC59"/>
    <mergeCell ref="EY56:EY59"/>
    <mergeCell ref="EZ56:FB59"/>
    <mergeCell ref="E56:E59"/>
    <mergeCell ref="F56:H59"/>
    <mergeCell ref="BC56:BC59"/>
    <mergeCell ref="BD56:BF59"/>
    <mergeCell ref="CB56:CB59"/>
    <mergeCell ref="CC56:CE59"/>
    <mergeCell ref="DA52:DA55"/>
    <mergeCell ref="DB52:DD55"/>
    <mergeCell ref="DZ52:DZ55"/>
    <mergeCell ref="EA52:EC55"/>
    <mergeCell ref="EY52:EY55"/>
    <mergeCell ref="EZ52:FB55"/>
    <mergeCell ref="E52:E55"/>
    <mergeCell ref="F52:H55"/>
    <mergeCell ref="BC52:BC55"/>
    <mergeCell ref="BD52:BF55"/>
    <mergeCell ref="CB52:CB55"/>
    <mergeCell ref="CC52:CE55"/>
    <mergeCell ref="EZ39:EZ42"/>
    <mergeCell ref="E50:H51"/>
    <mergeCell ref="BC50:BF51"/>
    <mergeCell ref="CB50:CE51"/>
    <mergeCell ref="DA50:DD51"/>
    <mergeCell ref="DZ50:EC51"/>
    <mergeCell ref="EY50:FB51"/>
    <mergeCell ref="DY39:DY42"/>
    <mergeCell ref="DZ39:DZ42"/>
    <mergeCell ref="EA39:EA42"/>
    <mergeCell ref="EW39:EW42"/>
    <mergeCell ref="EX39:EX42"/>
    <mergeCell ref="EY39:EY42"/>
    <mergeCell ref="CC39:CC42"/>
    <mergeCell ref="CY39:CY42"/>
    <mergeCell ref="CZ39:CZ42"/>
    <mergeCell ref="DA39:DA42"/>
    <mergeCell ref="DB39:DB42"/>
    <mergeCell ref="DX39:DX42"/>
    <mergeCell ref="BB39:BB42"/>
    <mergeCell ref="BC39:BC42"/>
    <mergeCell ref="BD39:BD42"/>
    <mergeCell ref="BZ39:BZ42"/>
    <mergeCell ref="CA39:CA42"/>
    <mergeCell ref="CB39:CB42"/>
    <mergeCell ref="EZ35:EZ38"/>
    <mergeCell ref="C39:C42"/>
    <mergeCell ref="D39:D42"/>
    <mergeCell ref="E39:E42"/>
    <mergeCell ref="F39:F42"/>
    <mergeCell ref="AB39:AB42"/>
    <mergeCell ref="AC39:AC42"/>
    <mergeCell ref="AD39:AD42"/>
    <mergeCell ref="AE39:AE42"/>
    <mergeCell ref="BA39:BA42"/>
    <mergeCell ref="DY35:DY38"/>
    <mergeCell ref="DZ35:DZ38"/>
    <mergeCell ref="EA35:EA38"/>
    <mergeCell ref="EW35:EW38"/>
    <mergeCell ref="EX35:EX38"/>
    <mergeCell ref="EY35:EY38"/>
    <mergeCell ref="CC35:CC38"/>
    <mergeCell ref="CY35:CY38"/>
    <mergeCell ref="CZ35:CZ38"/>
    <mergeCell ref="DA35:DA38"/>
    <mergeCell ref="DB35:DB38"/>
    <mergeCell ref="DX35:DX38"/>
    <mergeCell ref="BB35:BB38"/>
    <mergeCell ref="BC35:BC38"/>
    <mergeCell ref="BD35:BD38"/>
    <mergeCell ref="BZ35:BZ38"/>
    <mergeCell ref="CA35:CA38"/>
    <mergeCell ref="CB35:CB38"/>
    <mergeCell ref="EW33:EZ34"/>
    <mergeCell ref="C35:C38"/>
    <mergeCell ref="D35:D38"/>
    <mergeCell ref="E35:E38"/>
    <mergeCell ref="F35:F38"/>
    <mergeCell ref="AB35:AB38"/>
    <mergeCell ref="AC35:AC38"/>
    <mergeCell ref="AD35:AD38"/>
    <mergeCell ref="AE35:AE38"/>
    <mergeCell ref="BA35:BA38"/>
    <mergeCell ref="EU19:EV22"/>
    <mergeCell ref="EW19:EW22"/>
    <mergeCell ref="EX19:EY22"/>
    <mergeCell ref="EZ19:EZ22"/>
    <mergeCell ref="C33:F34"/>
    <mergeCell ref="AB33:AE34"/>
    <mergeCell ref="BA33:BD34"/>
    <mergeCell ref="BZ33:CC34"/>
    <mergeCell ref="CY33:DB34"/>
    <mergeCell ref="DX33:EA34"/>
    <mergeCell ref="CZ19:DA22"/>
    <mergeCell ref="DB19:DB22"/>
    <mergeCell ref="DV19:DW22"/>
    <mergeCell ref="DX19:DX22"/>
    <mergeCell ref="DY19:DZ22"/>
    <mergeCell ref="EA19:EA22"/>
    <mergeCell ref="BX19:BY22"/>
    <mergeCell ref="BZ19:BZ22"/>
    <mergeCell ref="CA19:CB22"/>
    <mergeCell ref="CC19:CC22"/>
    <mergeCell ref="CW19:CX22"/>
    <mergeCell ref="CY19:CY22"/>
    <mergeCell ref="AC19:AD22"/>
    <mergeCell ref="AE19:AE22"/>
    <mergeCell ref="AY19:AZ22"/>
    <mergeCell ref="BA19:BA22"/>
    <mergeCell ref="BB19:BC22"/>
    <mergeCell ref="BD19:BD22"/>
    <mergeCell ref="EU15:EV18"/>
    <mergeCell ref="EW15:EW18"/>
    <mergeCell ref="EX15:EY18"/>
    <mergeCell ref="EZ15:EZ18"/>
    <mergeCell ref="A19:B22"/>
    <mergeCell ref="C19:C22"/>
    <mergeCell ref="D19:E22"/>
    <mergeCell ref="F19:F22"/>
    <mergeCell ref="Z19:AA22"/>
    <mergeCell ref="AB19:AB22"/>
    <mergeCell ref="CZ15:DA18"/>
    <mergeCell ref="DB15:DB18"/>
    <mergeCell ref="DV15:DW18"/>
    <mergeCell ref="DX15:DX18"/>
    <mergeCell ref="DY15:DZ18"/>
    <mergeCell ref="EA15:EA18"/>
    <mergeCell ref="BX15:BY18"/>
    <mergeCell ref="BZ15:BZ18"/>
    <mergeCell ref="CA15:CB18"/>
    <mergeCell ref="CC15:CC18"/>
    <mergeCell ref="CW15:CX18"/>
    <mergeCell ref="CY15:CY18"/>
    <mergeCell ref="AC15:AD18"/>
    <mergeCell ref="AE15:AE18"/>
    <mergeCell ref="AY15:AZ18"/>
    <mergeCell ref="BA15:BA18"/>
    <mergeCell ref="BB15:BC18"/>
    <mergeCell ref="BD15:BD18"/>
    <mergeCell ref="EU11:EV14"/>
    <mergeCell ref="BA11:BA14"/>
    <mergeCell ref="BB11:BC14"/>
    <mergeCell ref="BD11:BD14"/>
    <mergeCell ref="BB3:BB4"/>
    <mergeCell ref="DV9:EA10"/>
    <mergeCell ref="EW11:EW14"/>
    <mergeCell ref="EX11:EY14"/>
    <mergeCell ref="EZ11:EZ14"/>
    <mergeCell ref="A15:B18"/>
    <mergeCell ref="C15:C18"/>
    <mergeCell ref="D15:E18"/>
    <mergeCell ref="F15:F18"/>
    <mergeCell ref="Z15:AA18"/>
    <mergeCell ref="AB15:AB18"/>
    <mergeCell ref="CZ11:DA14"/>
    <mergeCell ref="DB11:DB14"/>
    <mergeCell ref="DV11:DW14"/>
    <mergeCell ref="DX11:DX14"/>
    <mergeCell ref="DY11:DZ14"/>
    <mergeCell ref="EA11:EA14"/>
    <mergeCell ref="BX11:BY14"/>
    <mergeCell ref="BZ11:BZ14"/>
    <mergeCell ref="CA11:CB14"/>
    <mergeCell ref="CC11:CC14"/>
    <mergeCell ref="CW11:CX14"/>
    <mergeCell ref="CY11:CY14"/>
    <mergeCell ref="AC11:AD14"/>
    <mergeCell ref="A11:B14"/>
    <mergeCell ref="C11:C14"/>
    <mergeCell ref="D11:E14"/>
    <mergeCell ref="F11:F14"/>
    <mergeCell ref="Z11:AA14"/>
    <mergeCell ref="AB11:AB14"/>
    <mergeCell ref="CW9:DB10"/>
    <mergeCell ref="DE9:DN10"/>
    <mergeCell ref="AY11:AZ14"/>
    <mergeCell ref="AE11:AE14"/>
    <mergeCell ref="ED9:EM10"/>
    <mergeCell ref="EU9:EZ10"/>
    <mergeCell ref="FC9:FL10"/>
    <mergeCell ref="EV3:EW4"/>
    <mergeCell ref="EX3:EX4"/>
    <mergeCell ref="A9:F10"/>
    <mergeCell ref="I9:R10"/>
    <mergeCell ref="Z9:AE10"/>
    <mergeCell ref="AH9:AQ10"/>
    <mergeCell ref="AY9:BD10"/>
    <mergeCell ref="BG9:BP10"/>
    <mergeCell ref="BX9:CC10"/>
    <mergeCell ref="CF9:CO10"/>
    <mergeCell ref="BY3:BZ4"/>
    <mergeCell ref="CA3:CA4"/>
    <mergeCell ref="CX3:CY4"/>
    <mergeCell ref="CZ3:CZ4"/>
    <mergeCell ref="DW3:DX4"/>
    <mergeCell ref="DY3:DY4"/>
    <mergeCell ref="B3:C4"/>
    <mergeCell ref="D3:D4"/>
    <mergeCell ref="AA3:AB4"/>
    <mergeCell ref="AC3:AC4"/>
    <mergeCell ref="AZ3:BA4"/>
  </mergeCells>
  <conditionalFormatting sqref="F39:F42">
    <cfRule type="containsText" dxfId="13" priority="13" operator="containsText" text="Bad shape">
      <formula>NOT(ISERROR(SEARCH("Bad shape",F39)))</formula>
    </cfRule>
    <cfRule type="containsText" dxfId="12" priority="14" operator="containsText" text="Fit shape">
      <formula>NOT(ISERROR(SEARCH("Fit shape",F39)))</formula>
    </cfRule>
  </conditionalFormatting>
  <conditionalFormatting sqref="AE39:AE42">
    <cfRule type="containsText" dxfId="11" priority="11" operator="containsText" text="Bad shape">
      <formula>NOT(ISERROR(SEARCH("Bad shape",AE39)))</formula>
    </cfRule>
    <cfRule type="containsText" dxfId="10" priority="12" operator="containsText" text="Fit shape">
      <formula>NOT(ISERROR(SEARCH("Fit shape",AE39)))</formula>
    </cfRule>
  </conditionalFormatting>
  <conditionalFormatting sqref="BD39:BD42">
    <cfRule type="containsText" dxfId="9" priority="9" operator="containsText" text="Bad shape">
      <formula>NOT(ISERROR(SEARCH("Bad shape",BD39)))</formula>
    </cfRule>
    <cfRule type="containsText" dxfId="8" priority="10" operator="containsText" text="Fit shape">
      <formula>NOT(ISERROR(SEARCH("Fit shape",BD39)))</formula>
    </cfRule>
  </conditionalFormatting>
  <conditionalFormatting sqref="CC39:CC42">
    <cfRule type="containsText" dxfId="7" priority="7" operator="containsText" text="Bad shape">
      <formula>NOT(ISERROR(SEARCH("Bad shape",CC39)))</formula>
    </cfRule>
    <cfRule type="containsText" dxfId="6" priority="8" operator="containsText" text="Fit shape">
      <formula>NOT(ISERROR(SEARCH("Fit shape",CC39)))</formula>
    </cfRule>
  </conditionalFormatting>
  <conditionalFormatting sqref="DB39:DB42">
    <cfRule type="containsText" dxfId="5" priority="5" operator="containsText" text="Bad shape">
      <formula>NOT(ISERROR(SEARCH("Bad shape",DB39)))</formula>
    </cfRule>
    <cfRule type="containsText" dxfId="4" priority="6" operator="containsText" text="Fit shape">
      <formula>NOT(ISERROR(SEARCH("Fit shape",DB39)))</formula>
    </cfRule>
  </conditionalFormatting>
  <conditionalFormatting sqref="EA39:EA42">
    <cfRule type="containsText" dxfId="3" priority="3" operator="containsText" text="Bad shape">
      <formula>NOT(ISERROR(SEARCH("Bad shape",EA39)))</formula>
    </cfRule>
    <cfRule type="containsText" dxfId="2" priority="4" operator="containsText" text="Fit shape">
      <formula>NOT(ISERROR(SEARCH("Fit shape",EA39)))</formula>
    </cfRule>
  </conditionalFormatting>
  <conditionalFormatting sqref="EZ39:EZ42">
    <cfRule type="containsText" dxfId="1" priority="1" operator="containsText" text="Bad shape">
      <formula>NOT(ISERROR(SEARCH("Bad shape",EZ39)))</formula>
    </cfRule>
    <cfRule type="containsText" dxfId="0" priority="2" operator="containsText" text="Fit shape">
      <formula>NOT(ISERROR(SEARCH("Fit shape",EZ39)))</formula>
    </cfRule>
  </conditionalFormatting>
  <dataValidations count="5">
    <dataValidation type="list" allowBlank="1" showInputMessage="1" showErrorMessage="1" errorTitle="error" error="Please ensure the right breakfast" promptTitle="Hint" prompt="Select your breakfast" sqref="C11:C14 AB11:AB14 BA11:BA14 BZ11:BZ14 CY11:CY14 DX11:DX14 EW11:EW14" xr:uid="{6D2529F8-FD49-427B-9DDC-98449688C76B}">
      <formula1>BREAKFAST</formula1>
    </dataValidation>
    <dataValidation type="list" allowBlank="1" showInputMessage="1" showErrorMessage="1" errorTitle="error" error="Please ensure the right lunch" promptTitle="Hint" prompt="select your lunch" sqref="C15:C18 AB15:AB18 BA15:BA18 BZ15:BZ18 CY15:CY18 DX15:DX18 EW15:EW18" xr:uid="{E8A828D9-BEF5-4737-B3E0-5D9F138F1C47}">
      <formula1>LUNCH</formula1>
    </dataValidation>
    <dataValidation type="list" allowBlank="1" showInputMessage="1" showErrorMessage="1" errorTitle="Error" error="Please ensure the right dinner" promptTitle="Hint" prompt="Select your dinner" sqref="C19:C22 AB19:AB22 BA19:BA22 BZ19:BZ22 CY19:CY22 DX19:DX22 EW19:EW22" xr:uid="{5D81B546-7BD2-42B6-8C98-0E4C1B77AB84}">
      <formula1>DINNER</formula1>
    </dataValidation>
    <dataValidation type="list" allowBlank="1" showInputMessage="1" showErrorMessage="1" sqref="I13:J30 AH13:AI30 BG13:BH30 CF13:CG30 DE13:DF30 ED13:EE30 FC13:FD30" xr:uid="{FB4CCB75-2002-43B6-8A37-0D7170C9C242}">
      <formula1>EXERCISES</formula1>
    </dataValidation>
    <dataValidation type="list" allowBlank="1" showInputMessage="1" showErrorMessage="1" sqref="M13:N30 AL13:AL29 BK13:BK29 CJ13:CJ29 DI13:DI29 EH13:EH29 FG13:FG29" xr:uid="{583717CF-9EF5-4EA5-ACE4-F6F86A679C80}">
      <formula1>ExercisesTime</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41E15-4194-4DC2-9479-684D442CF993}">
  <dimension ref="A1:AF37"/>
  <sheetViews>
    <sheetView zoomScale="60" zoomScaleNormal="60" workbookViewId="0">
      <selection activeCell="Q24" sqref="Q24"/>
    </sheetView>
  </sheetViews>
  <sheetFormatPr defaultRowHeight="14.5" x14ac:dyDescent="0.35"/>
  <sheetData>
    <row r="1" spans="1:32" x14ac:dyDescent="0.35">
      <c r="A1" s="60" t="s">
        <v>86</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row>
    <row r="2" spans="1:32" x14ac:dyDescent="0.35">
      <c r="A2" s="60"/>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spans="1:32" x14ac:dyDescent="0.35">
      <c r="A3" s="60"/>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spans="1:32" x14ac:dyDescent="0.35">
      <c r="A4" s="60"/>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spans="1:32" x14ac:dyDescent="0.35">
      <c r="A5" s="2"/>
      <c r="B5" s="16" t="s">
        <v>87</v>
      </c>
      <c r="C5" s="2"/>
      <c r="D5" s="2"/>
      <c r="E5" s="2"/>
      <c r="F5" s="2"/>
      <c r="G5" s="2"/>
      <c r="H5" s="2"/>
      <c r="I5" s="2"/>
      <c r="J5" s="2"/>
      <c r="K5" s="16" t="s">
        <v>88</v>
      </c>
      <c r="L5" s="2"/>
      <c r="M5" s="2"/>
      <c r="N5" s="2"/>
      <c r="O5" s="2"/>
      <c r="P5" s="2"/>
      <c r="Q5" s="2"/>
      <c r="R5" s="2"/>
      <c r="S5" s="2"/>
      <c r="T5" s="16" t="s">
        <v>89</v>
      </c>
      <c r="U5" s="2"/>
      <c r="V5" s="2"/>
      <c r="W5" s="2"/>
      <c r="X5" s="2"/>
      <c r="Y5" s="2"/>
      <c r="Z5" s="2"/>
      <c r="AA5" s="2"/>
      <c r="AB5" s="2"/>
      <c r="AC5" s="2"/>
      <c r="AD5" s="2"/>
      <c r="AE5" s="2"/>
      <c r="AF5" s="2"/>
    </row>
    <row r="6" spans="1:32" x14ac:dyDescent="0.35">
      <c r="A6" s="2" cm="1">
        <f t="array" aca="1" ref="A6" ca="1">A6:Z32</f>
        <v>0</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x14ac:dyDescent="0.35">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row>
    <row r="8" spans="1:32" x14ac:dyDescent="0.35">
      <c r="A8" s="2" t="s">
        <v>90</v>
      </c>
      <c r="B8" s="2">
        <f>weightKG0</f>
        <v>200</v>
      </c>
      <c r="C8" s="2"/>
      <c r="D8" s="2"/>
      <c r="E8" s="2"/>
      <c r="F8" s="2"/>
      <c r="G8" s="2"/>
      <c r="H8" s="2"/>
      <c r="I8" s="2"/>
      <c r="J8" s="2"/>
      <c r="K8" s="2" t="s">
        <v>90</v>
      </c>
      <c r="L8" s="2">
        <v>50</v>
      </c>
      <c r="M8" s="2"/>
      <c r="N8" s="2"/>
      <c r="O8" s="2"/>
      <c r="P8" s="2"/>
      <c r="Q8" s="2"/>
      <c r="R8" s="2"/>
      <c r="S8" s="2" t="s">
        <v>91</v>
      </c>
      <c r="T8" s="2">
        <f>Weight1KG</f>
        <v>6.7155844155844155</v>
      </c>
      <c r="U8" s="2"/>
      <c r="V8" s="2"/>
      <c r="W8" s="2"/>
      <c r="X8" s="2"/>
      <c r="Y8" s="2"/>
      <c r="Z8" s="2"/>
      <c r="AA8" s="2"/>
      <c r="AB8" s="2"/>
      <c r="AC8" s="2"/>
      <c r="AD8" s="2"/>
      <c r="AE8" s="2"/>
      <c r="AF8" s="2"/>
    </row>
    <row r="9" spans="1:32" x14ac:dyDescent="0.35">
      <c r="A9" s="2" t="s">
        <v>92</v>
      </c>
      <c r="B9" s="2">
        <f>Week1endweight</f>
        <v>193.2844155844156</v>
      </c>
      <c r="C9" s="2"/>
      <c r="D9" s="2"/>
      <c r="E9" s="2"/>
      <c r="F9" s="2"/>
      <c r="G9" s="2"/>
      <c r="H9" s="2"/>
      <c r="I9" s="2"/>
      <c r="J9" s="2"/>
      <c r="K9" s="2" t="s">
        <v>92</v>
      </c>
      <c r="L9" s="2">
        <f>BMIWeek1</f>
        <v>48.321103896103899</v>
      </c>
      <c r="M9" s="2"/>
      <c r="N9" s="2"/>
      <c r="O9" s="2"/>
      <c r="P9" s="2"/>
      <c r="Q9" s="2"/>
      <c r="R9" s="2"/>
      <c r="S9" s="2" t="s">
        <v>93</v>
      </c>
      <c r="T9" s="2">
        <f>Weight2Kg</f>
        <v>7.1320860516107256</v>
      </c>
      <c r="U9" s="2"/>
      <c r="V9" s="2"/>
      <c r="W9" s="2"/>
      <c r="X9" s="2"/>
      <c r="Y9" s="2"/>
      <c r="Z9" s="2"/>
      <c r="AA9" s="2"/>
      <c r="AB9" s="2"/>
      <c r="AC9" s="2"/>
      <c r="AD9" s="2"/>
      <c r="AE9" s="2"/>
      <c r="AF9" s="2"/>
    </row>
    <row r="10" spans="1:32" x14ac:dyDescent="0.35">
      <c r="A10" s="2" t="s">
        <v>94</v>
      </c>
      <c r="B10" s="2">
        <f>Week2endweight</f>
        <v>186.15232953280488</v>
      </c>
      <c r="C10" s="2"/>
      <c r="D10" s="2"/>
      <c r="E10" s="2"/>
      <c r="F10" s="2"/>
      <c r="G10" s="2"/>
      <c r="H10" s="2"/>
      <c r="I10" s="2"/>
      <c r="J10" s="2"/>
      <c r="K10" s="2" t="s">
        <v>94</v>
      </c>
      <c r="L10" s="2">
        <f>BMIWeek2</f>
        <v>46.538082383201221</v>
      </c>
      <c r="M10" s="2"/>
      <c r="N10" s="2"/>
      <c r="O10" s="2"/>
      <c r="P10" s="2"/>
      <c r="Q10" s="2"/>
      <c r="R10" s="2"/>
      <c r="S10" s="2" t="s">
        <v>95</v>
      </c>
      <c r="T10" s="2">
        <f>Weight3kg</f>
        <v>3.8452298795746418</v>
      </c>
      <c r="U10" s="2"/>
      <c r="V10" s="2"/>
      <c r="W10" s="2"/>
      <c r="X10" s="2"/>
      <c r="Y10" s="2"/>
      <c r="Z10" s="2"/>
      <c r="AA10" s="2"/>
      <c r="AB10" s="2"/>
      <c r="AC10" s="2"/>
      <c r="AD10" s="2"/>
      <c r="AE10" s="2"/>
      <c r="AF10" s="2"/>
    </row>
    <row r="11" spans="1:32" x14ac:dyDescent="0.35">
      <c r="A11" s="2" t="s">
        <v>96</v>
      </c>
      <c r="B11" s="2">
        <f>Week3endweight</f>
        <v>182.30709965323024</v>
      </c>
      <c r="C11" s="2"/>
      <c r="D11" s="2"/>
      <c r="E11" s="2"/>
      <c r="F11" s="2"/>
      <c r="G11" s="2"/>
      <c r="H11" s="2"/>
      <c r="I11" s="2"/>
      <c r="J11" s="2"/>
      <c r="K11" s="2" t="s">
        <v>96</v>
      </c>
      <c r="L11" s="2">
        <f>BMIweek3</f>
        <v>45.57677491330756</v>
      </c>
      <c r="M11" s="2"/>
      <c r="N11" s="2"/>
      <c r="O11" s="2"/>
      <c r="P11" s="2"/>
      <c r="Q11" s="2"/>
      <c r="R11" s="2"/>
      <c r="S11" s="2" t="s">
        <v>97</v>
      </c>
      <c r="T11" s="2">
        <f>Weight4kg</f>
        <v>5.1588484599506899</v>
      </c>
      <c r="U11" s="2"/>
      <c r="V11" s="2"/>
      <c r="W11" s="2"/>
      <c r="X11" s="2"/>
      <c r="Y11" s="2"/>
      <c r="Z11" s="2"/>
      <c r="AA11" s="2"/>
      <c r="AB11" s="2"/>
      <c r="AC11" s="2"/>
      <c r="AD11" s="2"/>
      <c r="AE11" s="2"/>
      <c r="AF11" s="2"/>
    </row>
    <row r="12" spans="1:32" x14ac:dyDescent="0.35">
      <c r="A12" s="2" t="s">
        <v>98</v>
      </c>
      <c r="B12" s="2">
        <f>Week4endweight</f>
        <v>177.14825119327955</v>
      </c>
      <c r="C12" s="2"/>
      <c r="D12" s="2"/>
      <c r="E12" s="2"/>
      <c r="F12" s="2"/>
      <c r="G12" s="2"/>
      <c r="H12" s="2"/>
      <c r="I12" s="2"/>
      <c r="J12" s="2"/>
      <c r="K12" s="2" t="s">
        <v>98</v>
      </c>
      <c r="L12" s="2">
        <f>BMIweek4</f>
        <v>44.287062798319887</v>
      </c>
      <c r="M12" s="2"/>
      <c r="N12" s="2"/>
      <c r="O12" s="2"/>
      <c r="P12" s="2"/>
      <c r="Q12" s="2"/>
      <c r="R12" s="2"/>
      <c r="S12" s="2" t="s">
        <v>99</v>
      </c>
      <c r="T12" s="2">
        <f>Weight5kg</f>
        <v>5.5302373511167477</v>
      </c>
      <c r="U12" s="2"/>
      <c r="V12" s="2"/>
      <c r="W12" s="2"/>
      <c r="X12" s="2"/>
      <c r="Y12" s="2"/>
      <c r="Z12" s="2"/>
      <c r="AA12" s="2"/>
      <c r="AB12" s="2"/>
      <c r="AC12" s="2"/>
      <c r="AD12" s="2"/>
      <c r="AE12" s="2"/>
      <c r="AF12" s="2"/>
    </row>
    <row r="13" spans="1:32" x14ac:dyDescent="0.35">
      <c r="A13" s="2" t="s">
        <v>100</v>
      </c>
      <c r="B13" s="2">
        <f>Week5endweight</f>
        <v>171.61801384216281</v>
      </c>
      <c r="C13" s="2"/>
      <c r="D13" s="2"/>
      <c r="E13" s="2"/>
      <c r="F13" s="2"/>
      <c r="G13" s="2"/>
      <c r="H13" s="2"/>
      <c r="I13" s="2"/>
      <c r="J13" s="2"/>
      <c r="K13" s="2" t="s">
        <v>100</v>
      </c>
      <c r="L13" s="2">
        <f>BMIweek5</f>
        <v>42.904503460540703</v>
      </c>
      <c r="M13" s="2"/>
      <c r="N13" s="2"/>
      <c r="O13" s="2"/>
      <c r="P13" s="2"/>
      <c r="Q13" s="2"/>
      <c r="R13" s="2"/>
      <c r="S13" s="2"/>
      <c r="T13" s="2"/>
      <c r="U13" s="2"/>
      <c r="V13" s="2"/>
      <c r="W13" s="2"/>
      <c r="X13" s="2"/>
      <c r="Y13" s="2"/>
      <c r="Z13" s="2"/>
      <c r="AA13" s="2"/>
      <c r="AB13" s="2"/>
      <c r="AC13" s="2"/>
      <c r="AD13" s="2"/>
      <c r="AE13" s="2"/>
      <c r="AF13" s="2"/>
    </row>
    <row r="14" spans="1:32" x14ac:dyDescent="0.3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row>
    <row r="15" spans="1:32" x14ac:dyDescent="0.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row>
    <row r="16" spans="1:32" x14ac:dyDescent="0.3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row>
    <row r="17" spans="1:32" x14ac:dyDescent="0.3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row>
    <row r="18" spans="1:32" x14ac:dyDescent="0.3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row>
    <row r="19" spans="1:32" x14ac:dyDescent="0.3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row>
    <row r="20" spans="1:32" x14ac:dyDescent="0.3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row>
    <row r="21" spans="1:32" x14ac:dyDescent="0.3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row>
    <row r="22" spans="1:32" x14ac:dyDescent="0.3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row>
    <row r="23" spans="1:32" x14ac:dyDescent="0.3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row>
    <row r="24" spans="1:32" x14ac:dyDescent="0.3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row>
    <row r="25" spans="1:32" x14ac:dyDescent="0.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row>
    <row r="27" spans="1:32" x14ac:dyDescent="0.3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row>
    <row r="28" spans="1:32" x14ac:dyDescent="0.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row>
    <row r="29" spans="1:32"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row>
    <row r="30" spans="1:32" x14ac:dyDescent="0.3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row>
    <row r="31" spans="1:32"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row>
    <row r="32" spans="1:32"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row>
    <row r="33" spans="1:32"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row>
    <row r="34" spans="1:32"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row>
    <row r="35" spans="1:32"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row>
    <row r="36" spans="1:32"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row>
    <row r="37" spans="1:32"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row>
  </sheetData>
  <mergeCells count="1">
    <mergeCell ref="A1:AF4"/>
  </mergeCells>
  <phoneticPr fontId="1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27</vt:i4>
      </vt:variant>
    </vt:vector>
  </HeadingPairs>
  <TitlesOfParts>
    <vt:vector size="35" baseType="lpstr">
      <vt:lpstr>Datasheet</vt:lpstr>
      <vt:lpstr>Start menu </vt:lpstr>
      <vt:lpstr>Week1</vt:lpstr>
      <vt:lpstr>Week2</vt:lpstr>
      <vt:lpstr>Week3</vt:lpstr>
      <vt:lpstr>Week4</vt:lpstr>
      <vt:lpstr>Week 5</vt:lpstr>
      <vt:lpstr>Progress Week</vt:lpstr>
      <vt:lpstr>BMIWeek1</vt:lpstr>
      <vt:lpstr>BMIWeek2</vt:lpstr>
      <vt:lpstr>BMIweek3</vt:lpstr>
      <vt:lpstr>BMIweek4</vt:lpstr>
      <vt:lpstr>BMIweek5</vt:lpstr>
      <vt:lpstr>BREAKFAST</vt:lpstr>
      <vt:lpstr>BREAKFASTTABLE</vt:lpstr>
      <vt:lpstr>DINNER</vt:lpstr>
      <vt:lpstr>DINNERTABLE</vt:lpstr>
      <vt:lpstr>EXERCISES</vt:lpstr>
      <vt:lpstr>ExercisesTime</vt:lpstr>
      <vt:lpstr>HeightMeters</vt:lpstr>
      <vt:lpstr>LUNCH</vt:lpstr>
      <vt:lpstr>LUNCHTABLE</vt:lpstr>
      <vt:lpstr>METVALUE</vt:lpstr>
      <vt:lpstr>Week1endweight</vt:lpstr>
      <vt:lpstr>Week2endweight</vt:lpstr>
      <vt:lpstr>Week3endweight</vt:lpstr>
      <vt:lpstr>Week4endweight</vt:lpstr>
      <vt:lpstr>Week5endweight</vt:lpstr>
      <vt:lpstr>weight</vt:lpstr>
      <vt:lpstr>Weight1KG</vt:lpstr>
      <vt:lpstr>Weight2Kg</vt:lpstr>
      <vt:lpstr>Weight3kg</vt:lpstr>
      <vt:lpstr>Weight4kg</vt:lpstr>
      <vt:lpstr>Weight5kg</vt:lpstr>
      <vt:lpstr>weightKG0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Haque D16741</dc:creator>
  <cp:keywords/>
  <dc:description/>
  <cp:lastModifiedBy>Adam Haque D16741</cp:lastModifiedBy>
  <cp:revision/>
  <dcterms:created xsi:type="dcterms:W3CDTF">2026-01-29T15:56:44Z</dcterms:created>
  <dcterms:modified xsi:type="dcterms:W3CDTF">2026-03-05T17:08:01Z</dcterms:modified>
  <cp:category/>
  <cp:contentStatus/>
</cp:coreProperties>
</file>