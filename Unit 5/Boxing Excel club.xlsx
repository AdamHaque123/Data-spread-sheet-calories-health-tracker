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jcsfc-my.sharepoint.com/personal/d16741_jcc_ac_uk/Documents/Unit 5/"/>
    </mc:Choice>
  </mc:AlternateContent>
  <xr:revisionPtr revIDLastSave="15" documentId="8_{DFDB71E7-D64C-4302-8DB2-4EF8251E79FA}" xr6:coauthVersionLast="47" xr6:coauthVersionMax="47" xr10:uidLastSave="{2D64F065-88E0-424F-A7D2-4B23A74AE598}"/>
  <bookViews>
    <workbookView xWindow="-120" yWindow="-120" windowWidth="29040" windowHeight="15720" xr2:uid="{731D6C0F-3734-4318-B7DE-ECA8F1864092}"/>
  </bookViews>
  <sheets>
    <sheet name="Sheet1" sheetId="1" r:id="rId1"/>
    <sheet name="Sheet2" sheetId="2" r:id="rId2"/>
  </sheets>
  <definedNames>
    <definedName name="Boxing">Sheet2!$O$7:$O$19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K15" i="1"/>
  <c r="K14" i="1"/>
  <c r="K13" i="1"/>
  <c r="K12" i="1"/>
  <c r="K11" i="1"/>
  <c r="K10" i="1"/>
  <c r="J26" i="1" s="1"/>
  <c r="K20" i="1" l="1"/>
  <c r="K21" i="1" l="1"/>
  <c r="K22" i="1" s="1"/>
  <c r="K23" i="1" l="1"/>
  <c r="M23" i="1" s="1"/>
  <c r="K24" i="1" l="1"/>
</calcChain>
</file>

<file path=xl/sharedStrings.xml><?xml version="1.0" encoding="utf-8"?>
<sst xmlns="http://schemas.openxmlformats.org/spreadsheetml/2006/main" count="42" uniqueCount="41">
  <si>
    <t xml:space="preserve"> Adams Boxing shop</t>
  </si>
  <si>
    <t>B12Sparkbrook</t>
  </si>
  <si>
    <t>INVOICE#</t>
  </si>
  <si>
    <t>Date</t>
  </si>
  <si>
    <t xml:space="preserve">Birmingham </t>
  </si>
  <si>
    <t>B12 Sparknrook</t>
  </si>
  <si>
    <t>Tel:01212116666</t>
  </si>
  <si>
    <t>Staff Member</t>
  </si>
  <si>
    <t>Gamal Yafai</t>
  </si>
  <si>
    <t>DESCRIPTION</t>
  </si>
  <si>
    <t>UNIT PRICE</t>
  </si>
  <si>
    <t>QUANTITY</t>
  </si>
  <si>
    <t>TOTAL</t>
  </si>
  <si>
    <t>Boxing Gloves</t>
  </si>
  <si>
    <t>Mouthgaurd</t>
  </si>
  <si>
    <t>Headgear</t>
  </si>
  <si>
    <t>Boxing boots</t>
  </si>
  <si>
    <t>Groingaurd</t>
  </si>
  <si>
    <t>Skipping ropes</t>
  </si>
  <si>
    <t xml:space="preserve">Boxing pads </t>
  </si>
  <si>
    <t xml:space="preserve">Weights </t>
  </si>
  <si>
    <t>SUBTOTAL</t>
  </si>
  <si>
    <t>VAT (20%)</t>
  </si>
  <si>
    <t>TOTAL DUE</t>
  </si>
  <si>
    <t>Add</t>
  </si>
  <si>
    <t>Discount</t>
  </si>
  <si>
    <t>Discount Offered (10%)</t>
  </si>
  <si>
    <t xml:space="preserve">Final Total Due </t>
  </si>
  <si>
    <t xml:space="preserve">Payment Method </t>
  </si>
  <si>
    <t>Boxing gloves (training, sparring, competition)</t>
  </si>
  <si>
    <t>Hand wraps</t>
  </si>
  <si>
    <t>Punching bags (heavy bags, speed bags, double-end bags)</t>
  </si>
  <si>
    <t>Mouthguards</t>
  </si>
  <si>
    <t>Boxing shoes</t>
  </si>
  <si>
    <t>Focus mitts &amp; punch pads</t>
  </si>
  <si>
    <t>Protective gear (groin guards, chest protectors, shin guards)</t>
  </si>
  <si>
    <t>Jump ropes</t>
  </si>
  <si>
    <t>Boxing apparel (shorts, vests, hoodies)</t>
  </si>
  <si>
    <t>Gym accessories (towels, water bottles)</t>
  </si>
  <si>
    <t>Fitness &amp; conditioning equipment</t>
  </si>
  <si>
    <t>Gear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</si>
</sst>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£&quot;#,##0.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4" fillId="2" borderId="0" xfId="1" applyFont="1" applyFill="1"/>
    <xf numFmtId="0" fontId="1" fillId="0" borderId="0" xfId="0" applyFont="1"/>
    <xf numFmtId="0" fontId="1" fillId="2" borderId="2" xfId="0" applyFont="1" applyFill="1" applyBorder="1"/>
    <xf numFmtId="165" fontId="1" fillId="2" borderId="3" xfId="0" applyNumberFormat="1" applyFont="1" applyFill="1" applyBorder="1"/>
    <xf numFmtId="165" fontId="1" fillId="2" borderId="4" xfId="0" applyNumberFormat="1" applyFont="1" applyFill="1" applyBorder="1"/>
    <xf numFmtId="0" fontId="1" fillId="2" borderId="1" xfId="0" applyFont="1" applyFill="1" applyBorder="1"/>
    <xf numFmtId="0" fontId="1" fillId="2" borderId="4" xfId="0" applyFont="1" applyFill="1" applyBorder="1"/>
    <xf numFmtId="14" fontId="1" fillId="2" borderId="2" xfId="0" applyNumberFormat="1" applyFont="1" applyFill="1" applyBorder="1"/>
    <xf numFmtId="164" fontId="1" fillId="2" borderId="4" xfId="0" applyNumberFormat="1" applyFont="1" applyFill="1" applyBorder="1"/>
    <xf numFmtId="0" fontId="1" fillId="2" borderId="5" xfId="0" applyFont="1" applyFill="1" applyBorder="1"/>
    <xf numFmtId="0" fontId="1" fillId="2" borderId="3" xfId="0" applyFont="1" applyFill="1" applyBorder="1"/>
    <xf numFmtId="165" fontId="0" fillId="0" borderId="0" xfId="0" applyNumberFormat="1"/>
    <xf numFmtId="0" fontId="6" fillId="3" borderId="0" xfId="0" applyFont="1" applyFill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ill>
        <patternFill patternType="mediumGray">
          <bgColor theme="9"/>
        </patternFill>
      </fill>
    </dxf>
    <dxf>
      <fill>
        <patternFill patternType="mediumGray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77F-458D-9282-234A3F77F3F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7F-458D-9282-234A3F77F3FE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77F-458D-9282-234A3F77F3FE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7F-458D-9282-234A3F77F3FE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77F-458D-9282-234A3F77F3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77F-458D-9282-234A3F77F3FE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77F-458D-9282-234A3F77F3FE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77F-458D-9282-234A3F77F3FE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977F-458D-9282-234A3F77F3FE}"/>
              </c:ext>
            </c:extLst>
          </c:dPt>
          <c:val>
            <c:numRef>
              <c:f>Sheet1!$K$10:$K$24</c:f>
              <c:numCache>
                <c:formatCode>"£"#,##0.00</c:formatCode>
                <c:ptCount val="15"/>
                <c:pt idx="0">
                  <c:v>175</c:v>
                </c:pt>
                <c:pt idx="1">
                  <c:v>125</c:v>
                </c:pt>
                <c:pt idx="2">
                  <c:v>0</c:v>
                </c:pt>
                <c:pt idx="3">
                  <c:v>180</c:v>
                </c:pt>
                <c:pt idx="4">
                  <c:v>180</c:v>
                </c:pt>
                <c:pt idx="5">
                  <c:v>20</c:v>
                </c:pt>
                <c:pt idx="6">
                  <c:v>0</c:v>
                </c:pt>
                <c:pt idx="7">
                  <c:v>135</c:v>
                </c:pt>
                <c:pt idx="10">
                  <c:v>815</c:v>
                </c:pt>
                <c:pt idx="11">
                  <c:v>163</c:v>
                </c:pt>
                <c:pt idx="12">
                  <c:v>978</c:v>
                </c:pt>
                <c:pt idx="13">
                  <c:v>97.800000000000011</c:v>
                </c:pt>
                <c:pt idx="14">
                  <c:v>880.2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F-458D-9282-234A3F77F3FE}"/>
            </c:ext>
          </c:extLst>
        </c:ser>
        <c:ser>
          <c:idx val="1"/>
          <c:order val="1"/>
          <c:tx>
            <c:strRef>
              <c:f>Sheet1!$H$10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Sheet1!$H$11:$H$25</c:f>
              <c:numCache>
                <c:formatCode>General</c:formatCode>
                <c:ptCount val="15"/>
                <c:pt idx="0">
                  <c:v>5</c:v>
                </c:pt>
                <c:pt idx="1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0</c:v>
                </c:pt>
                <c:pt idx="6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7F-458D-9282-234A3F77F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2489647"/>
        <c:axId val="1302488207"/>
      </c:barChart>
      <c:catAx>
        <c:axId val="1302489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88207"/>
        <c:crosses val="autoZero"/>
        <c:auto val="1"/>
        <c:lblAlgn val="ctr"/>
        <c:lblOffset val="100"/>
        <c:noMultiLvlLbl val="0"/>
      </c:catAx>
      <c:valAx>
        <c:axId val="13024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8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00000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2055455093429777E-2"/>
          <c:y val="0.19229184893554974"/>
          <c:w val="0.94695599758890903"/>
          <c:h val="0.588957057451151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0C-444D-BD27-9D0A9375315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0C-444D-BD27-9D0A9375315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0C-444D-BD27-9D0A9375315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0C-444D-BD27-9D0A9375315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0C-444D-BD27-9D0A9375315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30C-444D-BD27-9D0A9375315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F30C-444D-BD27-9D0A9375315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F30C-444D-BD27-9D0A93753153}"/>
              </c:ext>
            </c:extLst>
          </c:dPt>
          <c:cat>
            <c:strRef>
              <c:f>Sheet1!$A$10:$A$17</c:f>
              <c:strCache>
                <c:ptCount val="8"/>
                <c:pt idx="0">
                  <c:v>Boxing Gloves</c:v>
                </c:pt>
                <c:pt idx="1">
                  <c:v>Mouthgaurd</c:v>
                </c:pt>
                <c:pt idx="2">
                  <c:v>Headgear</c:v>
                </c:pt>
                <c:pt idx="3">
                  <c:v>Boxing boots</c:v>
                </c:pt>
                <c:pt idx="4">
                  <c:v>Groingaurd</c:v>
                </c:pt>
                <c:pt idx="5">
                  <c:v>Skipping ropes</c:v>
                </c:pt>
                <c:pt idx="6">
                  <c:v>Boxing pads </c:v>
                </c:pt>
                <c:pt idx="7">
                  <c:v>Weights </c:v>
                </c:pt>
              </c:strCache>
            </c:strRef>
          </c:cat>
          <c:val>
            <c:numRef>
              <c:f>Sheet1!$D$10:$D$17</c:f>
              <c:numCache>
                <c:formatCode>"£"#,##0.00</c:formatCode>
                <c:ptCount val="8"/>
                <c:pt idx="0">
                  <c:v>35</c:v>
                </c:pt>
                <c:pt idx="1">
                  <c:v>25</c:v>
                </c:pt>
                <c:pt idx="2">
                  <c:v>25</c:v>
                </c:pt>
                <c:pt idx="3">
                  <c:v>60</c:v>
                </c:pt>
                <c:pt idx="4">
                  <c:v>75</c:v>
                </c:pt>
                <c:pt idx="5">
                  <c:v>5</c:v>
                </c:pt>
                <c:pt idx="6">
                  <c:v>20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1-44D7-9BB3-0B5E9F1CA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C00000"/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19</xdr:row>
      <xdr:rowOff>138112</xdr:rowOff>
    </xdr:from>
    <xdr:to>
      <xdr:col>5</xdr:col>
      <xdr:colOff>600075</xdr:colOff>
      <xdr:row>34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A4463-9F95-702C-2BDF-01678DDD4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257175</xdr:colOff>
      <xdr:row>36</xdr:row>
      <xdr:rowOff>23812</xdr:rowOff>
    </xdr:from>
    <xdr:to>
      <xdr:col>11</xdr:col>
      <xdr:colOff>95250</xdr:colOff>
      <xdr:row>50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24E054-6873-0F26-8D81-A8CCE1F7A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12121166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9D52-4AB7-4F50-A390-27637DCDD92A}">
  <dimension ref="A1:T26"/>
  <sheetViews>
    <sheetView tabSelected="1" topLeftCell="A11" workbookViewId="0">
      <selection activeCell="I34" sqref="I34"/>
    </sheetView>
  </sheetViews>
  <sheetFormatPr defaultRowHeight="15"/>
  <cols>
    <col min="1" max="1" width="15.42578125" bestFit="1" customWidth="1"/>
    <col min="2" max="2" width="16" customWidth="1"/>
    <col min="4" max="4" width="15.140625" customWidth="1"/>
    <col min="8" max="8" width="21.28515625" customWidth="1"/>
    <col min="9" max="9" width="22.28515625" customWidth="1"/>
    <col min="11" max="11" width="19.5703125" customWidth="1"/>
    <col min="12" max="12" width="13.7109375" customWidth="1"/>
    <col min="13" max="13" width="11.42578125" customWidth="1"/>
    <col min="17" max="17" width="24.5703125" customWidth="1"/>
    <col min="21" max="21" width="32" customWidth="1"/>
  </cols>
  <sheetData>
    <row r="1" spans="1:20" ht="36.75" thickBo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>
      <c r="A2" s="1" t="s">
        <v>1</v>
      </c>
      <c r="B2" s="4"/>
      <c r="H2" s="4" t="s">
        <v>2</v>
      </c>
      <c r="I2" s="9" t="s">
        <v>3</v>
      </c>
    </row>
    <row r="3" spans="1:20" ht="15.75" thickBot="1">
      <c r="A3" s="1" t="s">
        <v>4</v>
      </c>
      <c r="B3" s="12"/>
      <c r="H3" s="8">
        <v>1122</v>
      </c>
      <c r="I3" s="10">
        <v>46041</v>
      </c>
    </row>
    <row r="4" spans="1:20">
      <c r="A4" s="1" t="s">
        <v>5</v>
      </c>
      <c r="B4" s="12"/>
    </row>
    <row r="5" spans="1:20" ht="15.75" thickBot="1">
      <c r="A5" s="2" t="s">
        <v>6</v>
      </c>
      <c r="B5" s="8"/>
    </row>
    <row r="6" spans="1:20" ht="15.75" thickBot="1"/>
    <row r="7" spans="1:20" ht="15.75" thickBot="1">
      <c r="A7" s="11" t="s">
        <v>7</v>
      </c>
      <c r="B7" s="3"/>
      <c r="D7" s="7" t="s">
        <v>8</v>
      </c>
    </row>
    <row r="8" spans="1:20" ht="15.75" thickBot="1">
      <c r="D8" s="3"/>
    </row>
    <row r="9" spans="1:20">
      <c r="A9" s="15" t="s">
        <v>9</v>
      </c>
      <c r="B9" s="13"/>
      <c r="D9" s="4" t="s">
        <v>10</v>
      </c>
      <c r="H9" s="4" t="s">
        <v>11</v>
      </c>
      <c r="K9" s="4" t="s">
        <v>12</v>
      </c>
    </row>
    <row r="10" spans="1:20">
      <c r="A10" s="16" t="s">
        <v>13</v>
      </c>
      <c r="B10" s="13"/>
      <c r="D10" s="5">
        <v>35</v>
      </c>
      <c r="H10" s="12">
        <v>5</v>
      </c>
      <c r="K10" s="5">
        <f>D10*H10</f>
        <v>175</v>
      </c>
    </row>
    <row r="11" spans="1:20">
      <c r="A11" s="16" t="s">
        <v>14</v>
      </c>
      <c r="B11" s="13"/>
      <c r="D11" s="5">
        <v>25</v>
      </c>
      <c r="H11" s="12">
        <v>5</v>
      </c>
      <c r="K11" s="5">
        <f>D11*H11</f>
        <v>125</v>
      </c>
    </row>
    <row r="12" spans="1:20">
      <c r="A12" s="16" t="s">
        <v>15</v>
      </c>
      <c r="B12" s="13"/>
      <c r="D12" s="5">
        <v>25</v>
      </c>
      <c r="H12" s="12">
        <v>0</v>
      </c>
      <c r="K12" s="5">
        <f>D12*H12</f>
        <v>0</v>
      </c>
    </row>
    <row r="13" spans="1:20">
      <c r="A13" s="16" t="s">
        <v>16</v>
      </c>
      <c r="B13" s="13"/>
      <c r="D13" s="5">
        <v>60</v>
      </c>
      <c r="H13" s="12">
        <v>3</v>
      </c>
      <c r="K13" s="5">
        <f>D13*H13</f>
        <v>180</v>
      </c>
    </row>
    <row r="14" spans="1:20">
      <c r="A14" s="16" t="s">
        <v>17</v>
      </c>
      <c r="B14" s="13"/>
      <c r="D14" s="5">
        <v>75</v>
      </c>
      <c r="H14" s="12">
        <v>6</v>
      </c>
      <c r="K14" s="5">
        <f>D13*H13</f>
        <v>180</v>
      </c>
    </row>
    <row r="15" spans="1:20">
      <c r="A15" s="16" t="s">
        <v>18</v>
      </c>
      <c r="B15" s="13"/>
      <c r="D15" s="5">
        <v>5</v>
      </c>
      <c r="H15" s="12">
        <v>4</v>
      </c>
      <c r="K15" s="5">
        <f>D15*H15</f>
        <v>20</v>
      </c>
    </row>
    <row r="16" spans="1:20">
      <c r="A16" s="16" t="s">
        <v>19</v>
      </c>
      <c r="B16" s="13"/>
      <c r="D16" s="5">
        <v>20</v>
      </c>
      <c r="H16" s="12">
        <v>0</v>
      </c>
      <c r="K16" s="5">
        <f>D16*H16</f>
        <v>0</v>
      </c>
    </row>
    <row r="17" spans="1:13" ht="15.75" thickBot="1">
      <c r="A17" s="17" t="s">
        <v>20</v>
      </c>
      <c r="B17" s="13"/>
      <c r="D17" s="6">
        <v>15</v>
      </c>
      <c r="H17" s="12">
        <v>9</v>
      </c>
      <c r="K17" s="5">
        <f>D17*H17</f>
        <v>135</v>
      </c>
    </row>
    <row r="18" spans="1:13">
      <c r="H18" s="12"/>
      <c r="K18" s="5"/>
    </row>
    <row r="19" spans="1:13">
      <c r="H19" s="12"/>
      <c r="K19" s="5"/>
    </row>
    <row r="20" spans="1:13">
      <c r="H20" s="12" t="s">
        <v>21</v>
      </c>
      <c r="K20" s="5">
        <f>SUM(K10:K17)</f>
        <v>815</v>
      </c>
    </row>
    <row r="21" spans="1:13">
      <c r="H21" s="12" t="s">
        <v>22</v>
      </c>
      <c r="K21" s="5">
        <f>K20*0.2</f>
        <v>163</v>
      </c>
    </row>
    <row r="22" spans="1:13">
      <c r="H22" s="12" t="s">
        <v>23</v>
      </c>
      <c r="K22" s="5">
        <f>K20+K21</f>
        <v>978</v>
      </c>
      <c r="L22" t="s">
        <v>24</v>
      </c>
      <c r="M22" s="14" t="s">
        <v>25</v>
      </c>
    </row>
    <row r="23" spans="1:13">
      <c r="H23" s="12" t="s">
        <v>26</v>
      </c>
      <c r="K23" s="5">
        <f>IF(K22&gt;100,K22*0.1,0)</f>
        <v>97.800000000000011</v>
      </c>
      <c r="M23" t="str">
        <f>IF(K23&gt;0,"YES","NO")</f>
        <v>YES</v>
      </c>
    </row>
    <row r="24" spans="1:13" ht="15.75" thickBot="1">
      <c r="H24" s="12" t="s">
        <v>27</v>
      </c>
      <c r="K24" s="6">
        <f>K22-K23</f>
        <v>880.2</v>
      </c>
    </row>
    <row r="25" spans="1:13" ht="15.75" thickBot="1">
      <c r="H25" s="8" t="s">
        <v>28</v>
      </c>
    </row>
    <row r="26" spans="1:13">
      <c r="J26" s="13">
        <f>AVERAGE(K10:K17)</f>
        <v>101.875</v>
      </c>
    </row>
  </sheetData>
  <mergeCells count="1">
    <mergeCell ref="A1:T1"/>
  </mergeCells>
  <conditionalFormatting sqref="M23">
    <cfRule type="containsText" dxfId="1" priority="1" operator="containsText" text="NO">
      <formula>NOT(ISERROR(SEARCH("NO",M23)))</formula>
    </cfRule>
    <cfRule type="containsText" dxfId="0" priority="2" operator="containsText" text="YES">
      <formula>NOT(ISERROR(SEARCH("YES",M23)))</formula>
    </cfRule>
  </conditionalFormatting>
  <dataValidations count="3">
    <dataValidation type="list" allowBlank="1" showInputMessage="1" showErrorMessage="1" sqref="U9:U26" xr:uid="{EB1223A2-B65B-4CBA-A256-444AD862200F}">
      <formula1>"Adam Boxing shop"</formula1>
    </dataValidation>
    <dataValidation type="list" allowBlank="1" showInputMessage="1" showErrorMessage="1" sqref="Q6:Q20" xr:uid="{7AD144E1-2B33-4CCC-896A-9C3872A92563}">
      <formula1>"Boxing gloves (training, sparring, competition)"</formula1>
    </dataValidation>
    <dataValidation type="list" allowBlank="1" showInputMessage="1" showErrorMessage="1" error="Please choose from the list " sqref="A10:A17" xr:uid="{6D3B025D-4278-419E-8DDF-17EDF9D232CC}">
      <formula1>Boxing</formula1>
    </dataValidation>
  </dataValidations>
  <hyperlinks>
    <hyperlink ref="A5" r:id="rId1" xr:uid="{530BE795-7C04-43BF-AE20-7B29D80209A8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6071-325F-408C-A1AD-A7A86C585950}">
  <dimension ref="O7:O19"/>
  <sheetViews>
    <sheetView workbookViewId="0">
      <selection activeCell="S10" sqref="S10"/>
    </sheetView>
  </sheetViews>
  <sheetFormatPr defaultRowHeight="15"/>
  <cols>
    <col min="15" max="15" width="51.7109375" customWidth="1"/>
    <col min="19" max="19" width="13.140625" customWidth="1"/>
  </cols>
  <sheetData>
    <row r="7" spans="15:15">
      <c r="O7" t="s">
        <v>29</v>
      </c>
    </row>
    <row r="8" spans="15:15">
      <c r="O8" t="s">
        <v>30</v>
      </c>
    </row>
    <row r="9" spans="15:15">
      <c r="O9" t="s">
        <v>31</v>
      </c>
    </row>
    <row r="10" spans="15:15">
      <c r="O10" t="s">
        <v>15</v>
      </c>
    </row>
    <row r="11" spans="15:15">
      <c r="O11" t="s">
        <v>32</v>
      </c>
    </row>
    <row r="12" spans="15:15">
      <c r="O12" t="s">
        <v>33</v>
      </c>
    </row>
    <row r="13" spans="15:15">
      <c r="O13" t="s">
        <v>34</v>
      </c>
    </row>
    <row r="14" spans="15:15">
      <c r="O14" t="s">
        <v>35</v>
      </c>
    </row>
    <row r="15" spans="15:15">
      <c r="O15" t="s">
        <v>36</v>
      </c>
    </row>
    <row r="16" spans="15:15">
      <c r="O16" t="s">
        <v>37</v>
      </c>
    </row>
    <row r="17" spans="15:15">
      <c r="O17" t="s">
        <v>38</v>
      </c>
    </row>
    <row r="18" spans="15:15">
      <c r="O18" t="s">
        <v>39</v>
      </c>
    </row>
    <row r="19" spans="15:15">
      <c r="O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Haque D16741</dc:creator>
  <cp:keywords/>
  <dc:description/>
  <cp:lastModifiedBy>Adam Haque D16741</cp:lastModifiedBy>
  <cp:revision/>
  <dcterms:created xsi:type="dcterms:W3CDTF">2026-01-19T11:40:15Z</dcterms:created>
  <dcterms:modified xsi:type="dcterms:W3CDTF">2026-09-30T11:41:07Z</dcterms:modified>
  <cp:category/>
  <cp:contentStatus/>
</cp:coreProperties>
</file>